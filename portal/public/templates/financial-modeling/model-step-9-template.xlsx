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0" documentId="8_{62FFF898-DB52-4CE2-A010-833C2E6A0C08}" xr6:coauthVersionLast="47" xr6:coauthVersionMax="47" xr10:uidLastSave="{00000000-0000-0000-0000-000000000000}"/>
  <bookViews>
    <workbookView xWindow="-120" yWindow="-120" windowWidth="29040" windowHeight="17520" firstSheet="10" activeTab="18"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 name="Step 3 Answer Key" sheetId="8" r:id="rId8"/>
    <sheet name="Step 4" sheetId="9" r:id="rId9"/>
    <sheet name="Step 4 Answer Key" sheetId="10" r:id="rId10"/>
    <sheet name="Step 5" sheetId="11" r:id="rId11"/>
    <sheet name="Step 5 Answer Key" sheetId="12" r:id="rId12"/>
    <sheet name="Step 6" sheetId="13" r:id="rId13"/>
    <sheet name="Step 6 Answer Key" sheetId="14" r:id="rId14"/>
    <sheet name="Step 7" sheetId="15" r:id="rId15"/>
    <sheet name="Step 7 Answer Key" sheetId="16" r:id="rId16"/>
    <sheet name="Step 8" sheetId="17" r:id="rId17"/>
    <sheet name="Step 8 Answer Key" sheetId="18" r:id="rId18"/>
    <sheet name="Step 9" sheetId="19" r:id="rId19"/>
  </sheets>
  <externalReferences>
    <externalReference r:id="rId20"/>
    <externalReference r:id="rId21"/>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ags1" localSheetId="7" hidden="1">"&lt;tags&gt;&lt;tag n=""Palette"" v=""-1"" /&gt;&lt;tag n=""ClosestPalette"" v=""1"" /&gt;&lt;/tags&gt;"</definedName>
    <definedName name="_tags1" localSheetId="8" hidden="1">"&lt;tags&gt;&lt;tag n=""Palette"" v=""-1"" /&gt;&lt;tag n=""ClosestPalette"" v=""1"" /&gt;&lt;/tags&gt;"</definedName>
    <definedName name="_tags1" localSheetId="9" hidden="1">"&lt;tags&gt;&lt;tag n=""Palette"" v=""-1"" /&gt;&lt;tag n=""ClosestPalette"" v=""1"" /&gt;&lt;/tags&gt;"</definedName>
    <definedName name="_tags1" localSheetId="10" hidden="1">"&lt;tags&gt;&lt;tag n=""Palette"" v=""-1"" /&gt;&lt;tag n=""ClosestPalette"" v=""1"" /&gt;&lt;/tags&gt;"</definedName>
    <definedName name="_tags1" localSheetId="11" hidden="1">"&lt;tags&gt;&lt;tag n=""Palette"" v=""-1"" /&gt;&lt;tag n=""ClosestPalette"" v=""1"" /&gt;&lt;/tags&gt;"</definedName>
    <definedName name="_tags1" localSheetId="12" hidden="1">"&lt;tags&gt;&lt;tag n=""Palette"" v=""-1"" /&gt;&lt;tag n=""ClosestPalette"" v=""1"" /&gt;&lt;/tags&gt;"</definedName>
    <definedName name="_tags1" localSheetId="13" hidden="1">"&lt;tags&gt;&lt;tag n=""Palette"" v=""-1"" /&gt;&lt;tag n=""ClosestPalette"" v=""1"" /&gt;&lt;/tags&gt;"</definedName>
    <definedName name="_tags1" localSheetId="14" hidden="1">"&lt;tags&gt;&lt;tag n=""Palette"" v=""-1"" /&gt;&lt;tag n=""ClosestPalette"" v=""1"" /&gt;&lt;/tags&gt;"</definedName>
    <definedName name="_tags1" localSheetId="15" hidden="1">"&lt;tags&gt;&lt;tag n=""Palette"" v=""-1"" /&gt;&lt;tag n=""ClosestPalette"" v=""1"" /&gt;&lt;/tags&gt;"</definedName>
    <definedName name="_tags1" localSheetId="16" hidden="1">"&lt;tags&gt;&lt;tag n=""Palette"" v=""-1"" /&gt;&lt;tag n=""ClosestPalette"" v=""1"" /&gt;&lt;/tags&gt;"</definedName>
    <definedName name="_tags1" localSheetId="17" hidden="1">"&lt;tags&gt;&lt;tag n=""Palette"" v=""-1"" /&gt;&lt;tag n=""ClosestPalette"" v=""1"" /&gt;&lt;/tags&gt;"</definedName>
    <definedName name="_tags1" localSheetId="18"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_xlnm.Print_Area" localSheetId="7">'Step 3 Answer Key'!$A$1:$M$90</definedName>
    <definedName name="_xlnm.Print_Area" localSheetId="8">'Step 4'!$A$1:$M$90</definedName>
    <definedName name="_xlnm.Print_Area" localSheetId="9">'Step 4 Answer Key'!$A$1:$M$90</definedName>
    <definedName name="_xlnm.Print_Area" localSheetId="10">'Step 5'!$A$1:$M$90</definedName>
    <definedName name="_xlnm.Print_Area" localSheetId="11">'Step 5 Answer Key'!$A$1:$M$90</definedName>
    <definedName name="_xlnm.Print_Area" localSheetId="12">'Step 6'!$A$1:$M$90</definedName>
    <definedName name="_xlnm.Print_Area" localSheetId="13">'Step 6 Answer Key'!$A$1:$M$90</definedName>
    <definedName name="_xlnm.Print_Area" localSheetId="14">'Step 7'!$A$1:$M$90</definedName>
    <definedName name="_xlnm.Print_Area" localSheetId="15">'Step 7 Answer Key'!$A$1:$M$90</definedName>
    <definedName name="_xlnm.Print_Area" localSheetId="16">'Step 8'!$A$1:$M$90</definedName>
    <definedName name="_xlnm.Print_Area" localSheetId="17">'Step 8 Answer Key'!$A$1:$M$90</definedName>
    <definedName name="_xlnm.Print_Area" localSheetId="18">'Step 9'!$A$1:$M$90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localSheetId="7" hidden="1">_xll.ContributionAxisOffset(#REF!,#REF!,#REF!,0)</definedName>
    <definedName name="VI7_AxisOffset" localSheetId="8" hidden="1">_xll.ContributionAxisOffset(#REF!,#REF!,#REF!,0)</definedName>
    <definedName name="VI7_AxisOffset" localSheetId="9" hidden="1">_xll.ContributionAxisOffset(#REF!,#REF!,#REF!,0)</definedName>
    <definedName name="VI7_AxisOffset" localSheetId="10" hidden="1">_xll.ContributionAxisOffset(#REF!,#REF!,#REF!,0)</definedName>
    <definedName name="VI7_AxisOffset" localSheetId="11" hidden="1">_xll.ContributionAxisOffset(#REF!,#REF!,#REF!,0)</definedName>
    <definedName name="VI7_AxisOffset" localSheetId="12" hidden="1">_xll.ContributionAxisOffset(#REF!,#REF!,#REF!,0)</definedName>
    <definedName name="VI7_AxisOffset" localSheetId="13" hidden="1">_xll.ContributionAxisOffset(#REF!,#REF!,#REF!,0)</definedName>
    <definedName name="VI7_AxisOffset" localSheetId="14" hidden="1">_xll.ContributionAxisOffset(#REF!,#REF!,#REF!,0)</definedName>
    <definedName name="VI7_AxisOffset" localSheetId="15" hidden="1">_xll.ContributionAxisOffset(#REF!,#REF!,#REF!,0)</definedName>
    <definedName name="VI7_AxisOffset" localSheetId="16" hidden="1">_xll.ContributionAxisOffset(#REF!,#REF!,#REF!,0)</definedName>
    <definedName name="VI7_AxisOffset" localSheetId="17" hidden="1">_xll.ContributionAxisOffset(#REF!,#REF!,#REF!,0)</definedName>
    <definedName name="VI7_AxisOffset" localSheetId="18"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localSheetId="7" hidden="1">_xll.ContributionCumulative(#REF!,#REF!,#REF!)</definedName>
    <definedName name="VI7_Cumulative" localSheetId="8" hidden="1">_xll.ContributionCumulative(#REF!,#REF!,#REF!)</definedName>
    <definedName name="VI7_Cumulative" localSheetId="9" hidden="1">_xll.ContributionCumulative(#REF!,#REF!,#REF!)</definedName>
    <definedName name="VI7_Cumulative" localSheetId="10" hidden="1">_xll.ContributionCumulative(#REF!,#REF!,#REF!)</definedName>
    <definedName name="VI7_Cumulative" localSheetId="11" hidden="1">_xll.ContributionCumulative(#REF!,#REF!,#REF!)</definedName>
    <definedName name="VI7_Cumulative" localSheetId="12" hidden="1">_xll.ContributionCumulative(#REF!,#REF!,#REF!)</definedName>
    <definedName name="VI7_Cumulative" localSheetId="13" hidden="1">_xll.ContributionCumulative(#REF!,#REF!,#REF!)</definedName>
    <definedName name="VI7_Cumulative" localSheetId="14" hidden="1">_xll.ContributionCumulative(#REF!,#REF!,#REF!)</definedName>
    <definedName name="VI7_Cumulative" localSheetId="15" hidden="1">_xll.ContributionCumulative(#REF!,#REF!,#REF!)</definedName>
    <definedName name="VI7_Cumulative" localSheetId="16" hidden="1">_xll.ContributionCumulative(#REF!,#REF!,#REF!)</definedName>
    <definedName name="VI7_Cumulative" localSheetId="17" hidden="1">_xll.ContributionCumulative(#REF!,#REF!,#REF!)</definedName>
    <definedName name="VI7_Cumulative" localSheetId="18"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localSheetId="7" hidden="1">_xll.DifferenceCalculatedIndex(#REF!,#REF!,#REF!,#REF!)</definedName>
    <definedName name="VI7_Difference1CalculatedIndex1" localSheetId="8" hidden="1">_xll.DifferenceCalculatedIndex(#REF!,#REF!,#REF!,#REF!)</definedName>
    <definedName name="VI7_Difference1CalculatedIndex1" localSheetId="9" hidden="1">_xll.DifferenceCalculatedIndex(#REF!,#REF!,#REF!,#REF!)</definedName>
    <definedName name="VI7_Difference1CalculatedIndex1" localSheetId="10" hidden="1">_xll.DifferenceCalculatedIndex(#REF!,#REF!,#REF!,#REF!)</definedName>
    <definedName name="VI7_Difference1CalculatedIndex1" localSheetId="11" hidden="1">_xll.DifferenceCalculatedIndex(#REF!,#REF!,#REF!,#REF!)</definedName>
    <definedName name="VI7_Difference1CalculatedIndex1" localSheetId="12" hidden="1">_xll.DifferenceCalculatedIndex(#REF!,#REF!,#REF!,#REF!)</definedName>
    <definedName name="VI7_Difference1CalculatedIndex1" localSheetId="13" hidden="1">_xll.DifferenceCalculatedIndex(#REF!,#REF!,#REF!,#REF!)</definedName>
    <definedName name="VI7_Difference1CalculatedIndex1" localSheetId="14" hidden="1">_xll.DifferenceCalculatedIndex(#REF!,#REF!,#REF!,#REF!)</definedName>
    <definedName name="VI7_Difference1CalculatedIndex1" localSheetId="15" hidden="1">_xll.DifferenceCalculatedIndex(#REF!,#REF!,#REF!,#REF!)</definedName>
    <definedName name="VI7_Difference1CalculatedIndex1" localSheetId="16" hidden="1">_xll.DifferenceCalculatedIndex(#REF!,#REF!,#REF!,#REF!)</definedName>
    <definedName name="VI7_Difference1CalculatedIndex1" localSheetId="17" hidden="1">_xll.DifferenceCalculatedIndex(#REF!,#REF!,#REF!,#REF!)</definedName>
    <definedName name="VI7_Difference1CalculatedIndex1" localSheetId="18"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localSheetId="7" hidden="1">_xll.DifferenceCalculatedIndex(#REF!,#REF!,#REF!,#REF!)</definedName>
    <definedName name="VI7_Difference1CalculatedIndex2" localSheetId="8" hidden="1">_xll.DifferenceCalculatedIndex(#REF!,#REF!,#REF!,#REF!)</definedName>
    <definedName name="VI7_Difference1CalculatedIndex2" localSheetId="9" hidden="1">_xll.DifferenceCalculatedIndex(#REF!,#REF!,#REF!,#REF!)</definedName>
    <definedName name="VI7_Difference1CalculatedIndex2" localSheetId="10" hidden="1">_xll.DifferenceCalculatedIndex(#REF!,#REF!,#REF!,#REF!)</definedName>
    <definedName name="VI7_Difference1CalculatedIndex2" localSheetId="11" hidden="1">_xll.DifferenceCalculatedIndex(#REF!,#REF!,#REF!,#REF!)</definedName>
    <definedName name="VI7_Difference1CalculatedIndex2" localSheetId="12" hidden="1">_xll.DifferenceCalculatedIndex(#REF!,#REF!,#REF!,#REF!)</definedName>
    <definedName name="VI7_Difference1CalculatedIndex2" localSheetId="13" hidden="1">_xll.DifferenceCalculatedIndex(#REF!,#REF!,#REF!,#REF!)</definedName>
    <definedName name="VI7_Difference1CalculatedIndex2" localSheetId="14" hidden="1">_xll.DifferenceCalculatedIndex(#REF!,#REF!,#REF!,#REF!)</definedName>
    <definedName name="VI7_Difference1CalculatedIndex2" localSheetId="15" hidden="1">_xll.DifferenceCalculatedIndex(#REF!,#REF!,#REF!,#REF!)</definedName>
    <definedName name="VI7_Difference1CalculatedIndex2" localSheetId="16" hidden="1">_xll.DifferenceCalculatedIndex(#REF!,#REF!,#REF!,#REF!)</definedName>
    <definedName name="VI7_Difference1CalculatedIndex2" localSheetId="17" hidden="1">_xll.DifferenceCalculatedIndex(#REF!,#REF!,#REF!,#REF!)</definedName>
    <definedName name="VI7_Difference1CalculatedIndex2" localSheetId="18"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localSheetId="7" hidden="1">_xll.ContributionDifferenceY(#REF!,#REF!,0,0,0)</definedName>
    <definedName name="VI7_Difference1LabelY1" localSheetId="8" hidden="1">_xll.ContributionDifferenceY(#REF!,#REF!,0,0,0)</definedName>
    <definedName name="VI7_Difference1LabelY1" localSheetId="9" hidden="1">_xll.ContributionDifferenceY(#REF!,#REF!,0,0,0)</definedName>
    <definedName name="VI7_Difference1LabelY1" localSheetId="10" hidden="1">_xll.ContributionDifferenceY(#REF!,#REF!,0,0,0)</definedName>
    <definedName name="VI7_Difference1LabelY1" localSheetId="11" hidden="1">_xll.ContributionDifferenceY(#REF!,#REF!,0,0,0)</definedName>
    <definedName name="VI7_Difference1LabelY1" localSheetId="12" hidden="1">_xll.ContributionDifferenceY(#REF!,#REF!,0,0,0)</definedName>
    <definedName name="VI7_Difference1LabelY1" localSheetId="13" hidden="1">_xll.ContributionDifferenceY(#REF!,#REF!,0,0,0)</definedName>
    <definedName name="VI7_Difference1LabelY1" localSheetId="14" hidden="1">_xll.ContributionDifferenceY(#REF!,#REF!,0,0,0)</definedName>
    <definedName name="VI7_Difference1LabelY1" localSheetId="15" hidden="1">_xll.ContributionDifferenceY(#REF!,#REF!,0,0,0)</definedName>
    <definedName name="VI7_Difference1LabelY1" localSheetId="16" hidden="1">_xll.ContributionDifferenceY(#REF!,#REF!,0,0,0)</definedName>
    <definedName name="VI7_Difference1LabelY1" localSheetId="17" hidden="1">_xll.ContributionDifferenceY(#REF!,#REF!,0,0,0)</definedName>
    <definedName name="VI7_Difference1LabelY1" localSheetId="18"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localSheetId="7" hidden="1">_xll.ContributionDifferenceY(#REF!,#REF!,0,0,0)</definedName>
    <definedName name="VI7_Difference1LabelY2" localSheetId="8" hidden="1">_xll.ContributionDifferenceY(#REF!,#REF!,0,0,0)</definedName>
    <definedName name="VI7_Difference1LabelY2" localSheetId="9" hidden="1">_xll.ContributionDifferenceY(#REF!,#REF!,0,0,0)</definedName>
    <definedName name="VI7_Difference1LabelY2" localSheetId="10" hidden="1">_xll.ContributionDifferenceY(#REF!,#REF!,0,0,0)</definedName>
    <definedName name="VI7_Difference1LabelY2" localSheetId="11" hidden="1">_xll.ContributionDifferenceY(#REF!,#REF!,0,0,0)</definedName>
    <definedName name="VI7_Difference1LabelY2" localSheetId="12" hidden="1">_xll.ContributionDifferenceY(#REF!,#REF!,0,0,0)</definedName>
    <definedName name="VI7_Difference1LabelY2" localSheetId="13" hidden="1">_xll.ContributionDifferenceY(#REF!,#REF!,0,0,0)</definedName>
    <definedName name="VI7_Difference1LabelY2" localSheetId="14" hidden="1">_xll.ContributionDifferenceY(#REF!,#REF!,0,0,0)</definedName>
    <definedName name="VI7_Difference1LabelY2" localSheetId="15" hidden="1">_xll.ContributionDifferenceY(#REF!,#REF!,0,0,0)</definedName>
    <definedName name="VI7_Difference1LabelY2" localSheetId="16" hidden="1">_xll.ContributionDifferenceY(#REF!,#REF!,0,0,0)</definedName>
    <definedName name="VI7_Difference1LabelY2" localSheetId="17" hidden="1">_xll.ContributionDifferenceY(#REF!,#REF!,0,0,0)</definedName>
    <definedName name="VI7_Difference1LabelY2" localSheetId="18"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localSheetId="7" hidden="1">_xll.LabelOffset(#REF!,#REF!,204,10,"$#,##0.0",1,0,0)</definedName>
    <definedName name="VI7_LabelOffsetMax" localSheetId="8" hidden="1">_xll.LabelOffset(#REF!,#REF!,204,10,"$#,##0.0",1,0,0)</definedName>
    <definedName name="VI7_LabelOffsetMax" localSheetId="9" hidden="1">_xll.LabelOffset(#REF!,#REF!,204,10,"$#,##0.0",1,0,0)</definedName>
    <definedName name="VI7_LabelOffsetMax" localSheetId="10" hidden="1">_xll.LabelOffset(#REF!,#REF!,204,10,"$#,##0.0",1,0,0)</definedName>
    <definedName name="VI7_LabelOffsetMax" localSheetId="11" hidden="1">_xll.LabelOffset(#REF!,#REF!,204,10,"$#,##0.0",1,0,0)</definedName>
    <definedName name="VI7_LabelOffsetMax" localSheetId="12" hidden="1">_xll.LabelOffset(#REF!,#REF!,204,10,"$#,##0.0",1,0,0)</definedName>
    <definedName name="VI7_LabelOffsetMax" localSheetId="13" hidden="1">_xll.LabelOffset(#REF!,#REF!,204,10,"$#,##0.0",1,0,0)</definedName>
    <definedName name="VI7_LabelOffsetMax" localSheetId="14" hidden="1">_xll.LabelOffset(#REF!,#REF!,204,10,"$#,##0.0",1,0,0)</definedName>
    <definedName name="VI7_LabelOffsetMax" localSheetId="15" hidden="1">_xll.LabelOffset(#REF!,#REF!,204,10,"$#,##0.0",1,0,0)</definedName>
    <definedName name="VI7_LabelOffsetMax" localSheetId="16" hidden="1">_xll.LabelOffset(#REF!,#REF!,204,10,"$#,##0.0",1,0,0)</definedName>
    <definedName name="VI7_LabelOffsetMax" localSheetId="17" hidden="1">_xll.LabelOffset(#REF!,#REF!,204,10,"$#,##0.0",1,0,0)</definedName>
    <definedName name="VI7_LabelOffsetMax" localSheetId="18"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localSheetId="7" hidden="1">_xll.LabelOffset(#REF!,#REF!,204,10,"$#,##0.0",0,0,0)</definedName>
    <definedName name="VI7_LabelOffsetMin" localSheetId="8" hidden="1">_xll.LabelOffset(#REF!,#REF!,204,10,"$#,##0.0",0,0,0)</definedName>
    <definedName name="VI7_LabelOffsetMin" localSheetId="9" hidden="1">_xll.LabelOffset(#REF!,#REF!,204,10,"$#,##0.0",0,0,0)</definedName>
    <definedName name="VI7_LabelOffsetMin" localSheetId="10" hidden="1">_xll.LabelOffset(#REF!,#REF!,204,10,"$#,##0.0",0,0,0)</definedName>
    <definedName name="VI7_LabelOffsetMin" localSheetId="11" hidden="1">_xll.LabelOffset(#REF!,#REF!,204,10,"$#,##0.0",0,0,0)</definedName>
    <definedName name="VI7_LabelOffsetMin" localSheetId="12" hidden="1">_xll.LabelOffset(#REF!,#REF!,204,10,"$#,##0.0",0,0,0)</definedName>
    <definedName name="VI7_LabelOffsetMin" localSheetId="13" hidden="1">_xll.LabelOffset(#REF!,#REF!,204,10,"$#,##0.0",0,0,0)</definedName>
    <definedName name="VI7_LabelOffsetMin" localSheetId="14" hidden="1">_xll.LabelOffset(#REF!,#REF!,204,10,"$#,##0.0",0,0,0)</definedName>
    <definedName name="VI7_LabelOffsetMin" localSheetId="15" hidden="1">_xll.LabelOffset(#REF!,#REF!,204,10,"$#,##0.0",0,0,0)</definedName>
    <definedName name="VI7_LabelOffsetMin" localSheetId="16" hidden="1">_xll.LabelOffset(#REF!,#REF!,204,10,"$#,##0.0",0,0,0)</definedName>
    <definedName name="VI7_LabelOffsetMin" localSheetId="17" hidden="1">_xll.LabelOffset(#REF!,#REF!,204,10,"$#,##0.0",0,0,0)</definedName>
    <definedName name="VI7_LabelOffsetMin" localSheetId="18"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localSheetId="7" hidden="1">_xll.MaxFromSeriesWithBreak(#REF!,#REF!,0)</definedName>
    <definedName name="VI7_Max" localSheetId="8" hidden="1">_xll.MaxFromSeriesWithBreak(#REF!,#REF!,0)</definedName>
    <definedName name="VI7_Max" localSheetId="9" hidden="1">_xll.MaxFromSeriesWithBreak(#REF!,#REF!,0)</definedName>
    <definedName name="VI7_Max" localSheetId="10" hidden="1">_xll.MaxFromSeriesWithBreak(#REF!,#REF!,0)</definedName>
    <definedName name="VI7_Max" localSheetId="11" hidden="1">_xll.MaxFromSeriesWithBreak(#REF!,#REF!,0)</definedName>
    <definedName name="VI7_Max" localSheetId="12" hidden="1">_xll.MaxFromSeriesWithBreak(#REF!,#REF!,0)</definedName>
    <definedName name="VI7_Max" localSheetId="13" hidden="1">_xll.MaxFromSeriesWithBreak(#REF!,#REF!,0)</definedName>
    <definedName name="VI7_Max" localSheetId="14" hidden="1">_xll.MaxFromSeriesWithBreak(#REF!,#REF!,0)</definedName>
    <definedName name="VI7_Max" localSheetId="15" hidden="1">_xll.MaxFromSeriesWithBreak(#REF!,#REF!,0)</definedName>
    <definedName name="VI7_Max" localSheetId="16" hidden="1">_xll.MaxFromSeriesWithBreak(#REF!,#REF!,0)</definedName>
    <definedName name="VI7_Max" localSheetId="17" hidden="1">_xll.MaxFromSeriesWithBreak(#REF!,#REF!,0)</definedName>
    <definedName name="VI7_Max" localSheetId="18"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localSheetId="7" hidden="1">_xll.MinFromSeries(#REF!)</definedName>
    <definedName name="VI7_Min" localSheetId="8" hidden="1">_xll.MinFromSeries(#REF!)</definedName>
    <definedName name="VI7_Min" localSheetId="9" hidden="1">_xll.MinFromSeries(#REF!)</definedName>
    <definedName name="VI7_Min" localSheetId="10" hidden="1">_xll.MinFromSeries(#REF!)</definedName>
    <definedName name="VI7_Min" localSheetId="11" hidden="1">_xll.MinFromSeries(#REF!)</definedName>
    <definedName name="VI7_Min" localSheetId="12" hidden="1">_xll.MinFromSeries(#REF!)</definedName>
    <definedName name="VI7_Min" localSheetId="13" hidden="1">_xll.MinFromSeries(#REF!)</definedName>
    <definedName name="VI7_Min" localSheetId="14" hidden="1">_xll.MinFromSeries(#REF!)</definedName>
    <definedName name="VI7_Min" localSheetId="15" hidden="1">_xll.MinFromSeries(#REF!)</definedName>
    <definedName name="VI7_Min" localSheetId="16" hidden="1">_xll.MinFromSeries(#REF!)</definedName>
    <definedName name="VI7_Min" localSheetId="17" hidden="1">_xll.MinFromSeries(#REF!)</definedName>
    <definedName name="VI7_Min" localSheetId="18"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1" i="19" l="1"/>
  <c r="J280" i="19"/>
  <c r="H280" i="19"/>
  <c r="I280" i="19" s="1"/>
  <c r="K279" i="19"/>
  <c r="J279" i="19"/>
  <c r="H279" i="19"/>
  <c r="I279" i="19" s="1"/>
  <c r="I278" i="19"/>
  <c r="H278" i="19"/>
  <c r="J276" i="19"/>
  <c r="K276" i="19" s="1"/>
  <c r="L276" i="19" s="1"/>
  <c r="I276" i="19"/>
  <c r="K275" i="19"/>
  <c r="L275" i="19" s="1"/>
  <c r="H275" i="19"/>
  <c r="I275" i="19" s="1"/>
  <c r="J275" i="19" s="1"/>
  <c r="C270" i="19"/>
  <c r="C281" i="19" s="1"/>
  <c r="C290" i="19" s="1"/>
  <c r="J268" i="19"/>
  <c r="J267" i="19"/>
  <c r="G259" i="19"/>
  <c r="H251" i="19"/>
  <c r="H212" i="19" s="1"/>
  <c r="H250" i="19"/>
  <c r="G247" i="19"/>
  <c r="C237" i="19"/>
  <c r="H229" i="19"/>
  <c r="C228" i="19"/>
  <c r="C267" i="19" s="1"/>
  <c r="C278" i="19" s="1"/>
  <c r="C287" i="19" s="1"/>
  <c r="C212" i="19"/>
  <c r="C222" i="19" s="1"/>
  <c r="J201" i="19"/>
  <c r="I201" i="19"/>
  <c r="H201" i="19"/>
  <c r="G201" i="19"/>
  <c r="C188" i="19"/>
  <c r="F187" i="19"/>
  <c r="C187" i="19"/>
  <c r="I185" i="19"/>
  <c r="C189" i="19" s="1"/>
  <c r="H185" i="19"/>
  <c r="G168" i="19"/>
  <c r="F168" i="19"/>
  <c r="G153" i="19"/>
  <c r="G146" i="19"/>
  <c r="C137" i="19"/>
  <c r="G136" i="19"/>
  <c r="F136" i="19"/>
  <c r="C136" i="19"/>
  <c r="G135" i="19"/>
  <c r="C135" i="19"/>
  <c r="F132" i="19"/>
  <c r="C132" i="19"/>
  <c r="F131" i="19"/>
  <c r="C131" i="19"/>
  <c r="F130" i="19"/>
  <c r="C130" i="19"/>
  <c r="J126" i="19"/>
  <c r="H126" i="19"/>
  <c r="G126" i="19"/>
  <c r="C116" i="19"/>
  <c r="C249" i="19" s="1"/>
  <c r="C260" i="19" s="1"/>
  <c r="C115" i="19"/>
  <c r="C243" i="19" s="1"/>
  <c r="C114" i="19"/>
  <c r="J96" i="19"/>
  <c r="H96" i="19"/>
  <c r="G96" i="19"/>
  <c r="G86" i="19"/>
  <c r="F86" i="19"/>
  <c r="G85" i="19"/>
  <c r="H85" i="19" s="1"/>
  <c r="I85" i="19" s="1"/>
  <c r="J85" i="19" s="1"/>
  <c r="K85" i="19" s="1"/>
  <c r="L85" i="19" s="1"/>
  <c r="F85" i="19"/>
  <c r="K83" i="19"/>
  <c r="L83" i="19" s="1"/>
  <c r="I83" i="19"/>
  <c r="J83" i="19" s="1"/>
  <c r="G83" i="19"/>
  <c r="H83" i="19" s="1"/>
  <c r="F83" i="19"/>
  <c r="G82" i="19"/>
  <c r="G81" i="19"/>
  <c r="G253" i="19" s="1"/>
  <c r="F81" i="19"/>
  <c r="G80" i="19"/>
  <c r="F80" i="19"/>
  <c r="G79" i="19"/>
  <c r="G241" i="19" s="1"/>
  <c r="F79" i="19"/>
  <c r="G78" i="19"/>
  <c r="G232" i="19" s="1"/>
  <c r="G235" i="19" s="1"/>
  <c r="F78" i="19"/>
  <c r="G76" i="19"/>
  <c r="F76" i="19"/>
  <c r="G75" i="19"/>
  <c r="F75" i="19"/>
  <c r="G74" i="19"/>
  <c r="F74" i="19"/>
  <c r="F135" i="19" s="1"/>
  <c r="G69" i="19"/>
  <c r="F69" i="19"/>
  <c r="G67" i="19"/>
  <c r="F67" i="19"/>
  <c r="G63" i="19"/>
  <c r="G132" i="19" s="1"/>
  <c r="F63" i="19"/>
  <c r="G62" i="19"/>
  <c r="G131" i="19" s="1"/>
  <c r="G150" i="19" s="1"/>
  <c r="F62" i="19"/>
  <c r="G61" i="19"/>
  <c r="F61" i="19"/>
  <c r="G60" i="19"/>
  <c r="H203" i="19" s="1"/>
  <c r="H205" i="19" s="1"/>
  <c r="F60" i="19"/>
  <c r="I56" i="19"/>
  <c r="H56" i="19"/>
  <c r="G56" i="19"/>
  <c r="F56" i="19"/>
  <c r="G36" i="19"/>
  <c r="G32" i="19"/>
  <c r="F32" i="19"/>
  <c r="G30" i="19"/>
  <c r="F30" i="19"/>
  <c r="G29" i="19"/>
  <c r="F29" i="19"/>
  <c r="C28" i="19"/>
  <c r="C27" i="19"/>
  <c r="C26" i="19"/>
  <c r="G21" i="19"/>
  <c r="H21" i="19" s="1"/>
  <c r="F21" i="19"/>
  <c r="G20" i="19"/>
  <c r="F20" i="19"/>
  <c r="G17" i="19"/>
  <c r="F17" i="19"/>
  <c r="G14" i="19"/>
  <c r="F14" i="19"/>
  <c r="K11" i="19"/>
  <c r="J11" i="19"/>
  <c r="I11" i="19"/>
  <c r="H11" i="19"/>
  <c r="F11" i="19"/>
  <c r="C287" i="18"/>
  <c r="L281" i="18"/>
  <c r="K281" i="18"/>
  <c r="J281" i="18"/>
  <c r="H281" i="18"/>
  <c r="I281" i="18" s="1"/>
  <c r="H280" i="18"/>
  <c r="I279" i="18"/>
  <c r="I276" i="18"/>
  <c r="L275" i="18"/>
  <c r="I275" i="18"/>
  <c r="J275" i="18" s="1"/>
  <c r="K275" i="18" s="1"/>
  <c r="H275" i="18"/>
  <c r="J268" i="18"/>
  <c r="H279" i="18" s="1"/>
  <c r="C268" i="18"/>
  <c r="C279" i="18" s="1"/>
  <c r="C288" i="18" s="1"/>
  <c r="J267" i="18"/>
  <c r="H278" i="18" s="1"/>
  <c r="C259" i="18"/>
  <c r="H244" i="18"/>
  <c r="C237" i="18"/>
  <c r="G232" i="18"/>
  <c r="C228" i="18"/>
  <c r="C267" i="18" s="1"/>
  <c r="C278" i="18" s="1"/>
  <c r="H203" i="18"/>
  <c r="H205" i="18" s="1"/>
  <c r="J201" i="18"/>
  <c r="I201" i="18"/>
  <c r="H201" i="18"/>
  <c r="G201" i="18"/>
  <c r="F201" i="18"/>
  <c r="C187" i="18"/>
  <c r="K185" i="18"/>
  <c r="C191" i="18" s="1"/>
  <c r="J185" i="18"/>
  <c r="C190" i="18" s="1"/>
  <c r="I185" i="18"/>
  <c r="C189" i="18" s="1"/>
  <c r="H185" i="18"/>
  <c r="C188" i="18" s="1"/>
  <c r="F168" i="18"/>
  <c r="F154" i="18"/>
  <c r="G147" i="18"/>
  <c r="F146" i="18"/>
  <c r="G137" i="18"/>
  <c r="G155" i="18" s="1"/>
  <c r="F137" i="18"/>
  <c r="F155" i="18" s="1"/>
  <c r="H155" i="18" s="1"/>
  <c r="C137" i="18"/>
  <c r="F136" i="18"/>
  <c r="C136" i="18"/>
  <c r="G135" i="18"/>
  <c r="F135" i="18"/>
  <c r="C135" i="18"/>
  <c r="G132" i="18"/>
  <c r="F132" i="18"/>
  <c r="F151" i="18" s="1"/>
  <c r="C132" i="18"/>
  <c r="F131" i="18"/>
  <c r="F150" i="18" s="1"/>
  <c r="C131" i="18"/>
  <c r="F130" i="18"/>
  <c r="C130" i="18"/>
  <c r="I126" i="18"/>
  <c r="G126" i="18"/>
  <c r="F126" i="18"/>
  <c r="C116" i="18"/>
  <c r="C249" i="18" s="1"/>
  <c r="C115" i="18"/>
  <c r="C243" i="18" s="1"/>
  <c r="C211" i="18" s="1"/>
  <c r="C221" i="18" s="1"/>
  <c r="C114" i="18"/>
  <c r="H102" i="18"/>
  <c r="J96" i="18"/>
  <c r="H96" i="18"/>
  <c r="G96" i="18"/>
  <c r="G86" i="18"/>
  <c r="F86" i="18"/>
  <c r="L85" i="18"/>
  <c r="I85" i="18"/>
  <c r="J85" i="18" s="1"/>
  <c r="K85" i="18" s="1"/>
  <c r="H85" i="18"/>
  <c r="G85" i="18"/>
  <c r="F85" i="18"/>
  <c r="I83" i="18"/>
  <c r="J83" i="18" s="1"/>
  <c r="K83" i="18" s="1"/>
  <c r="L83" i="18" s="1"/>
  <c r="G83" i="18"/>
  <c r="H83" i="18" s="1"/>
  <c r="F83" i="18"/>
  <c r="G81" i="18"/>
  <c r="G253" i="18" s="1"/>
  <c r="F81" i="18"/>
  <c r="G80" i="18"/>
  <c r="G247" i="18" s="1"/>
  <c r="F80" i="18"/>
  <c r="G79" i="18"/>
  <c r="G241" i="18" s="1"/>
  <c r="F79" i="18"/>
  <c r="F82" i="18" s="1"/>
  <c r="G78" i="18"/>
  <c r="F78" i="18"/>
  <c r="F77" i="18"/>
  <c r="G76" i="18"/>
  <c r="F76" i="18"/>
  <c r="G75" i="18"/>
  <c r="G136" i="18" s="1"/>
  <c r="F75" i="18"/>
  <c r="G74" i="18"/>
  <c r="F74" i="18"/>
  <c r="G69" i="18"/>
  <c r="F69" i="18"/>
  <c r="G67" i="18"/>
  <c r="F67" i="18"/>
  <c r="G63" i="18"/>
  <c r="F63" i="18"/>
  <c r="G62" i="18"/>
  <c r="F62" i="18"/>
  <c r="G61" i="18"/>
  <c r="G130" i="18" s="1"/>
  <c r="F61" i="18"/>
  <c r="G60" i="18"/>
  <c r="G168" i="18" s="1"/>
  <c r="F60" i="18"/>
  <c r="H56" i="18"/>
  <c r="G56" i="18"/>
  <c r="F56" i="18"/>
  <c r="G36" i="18"/>
  <c r="G32" i="18"/>
  <c r="F32" i="18"/>
  <c r="G30" i="18"/>
  <c r="F30" i="18"/>
  <c r="G29" i="18"/>
  <c r="F29" i="18"/>
  <c r="C28" i="18"/>
  <c r="C27" i="18"/>
  <c r="C26" i="18"/>
  <c r="G21" i="18"/>
  <c r="H21" i="18" s="1"/>
  <c r="F21" i="18"/>
  <c r="G20" i="18"/>
  <c r="F187" i="18" s="1"/>
  <c r="F20" i="18"/>
  <c r="G17" i="18"/>
  <c r="F17" i="18"/>
  <c r="F147" i="18" s="1"/>
  <c r="G14" i="18"/>
  <c r="G146" i="18" s="1"/>
  <c r="F14" i="18"/>
  <c r="K11" i="18"/>
  <c r="J11" i="18"/>
  <c r="I11" i="18"/>
  <c r="H11" i="18"/>
  <c r="H126" i="18" s="1"/>
  <c r="F11" i="18"/>
  <c r="F96" i="18" s="1"/>
  <c r="C287" i="17"/>
  <c r="J268" i="17"/>
  <c r="J267" i="17"/>
  <c r="G260" i="17"/>
  <c r="C260" i="17"/>
  <c r="G259" i="17"/>
  <c r="G253" i="17"/>
  <c r="C249" i="17"/>
  <c r="C212" i="17" s="1"/>
  <c r="C222" i="17" s="1"/>
  <c r="G247" i="17"/>
  <c r="H244" i="17"/>
  <c r="C243" i="17"/>
  <c r="C237" i="17"/>
  <c r="C228" i="17"/>
  <c r="C267" i="17" s="1"/>
  <c r="C278" i="17" s="1"/>
  <c r="H203" i="17"/>
  <c r="H205" i="17" s="1"/>
  <c r="G201" i="17"/>
  <c r="D187" i="17"/>
  <c r="G187" i="17" s="1"/>
  <c r="H187" i="17" s="1"/>
  <c r="C187" i="17"/>
  <c r="G168" i="17"/>
  <c r="G147" i="17"/>
  <c r="F146" i="17"/>
  <c r="F137" i="17"/>
  <c r="C137" i="17"/>
  <c r="G136" i="17"/>
  <c r="C136" i="17"/>
  <c r="F135" i="17"/>
  <c r="C135" i="17"/>
  <c r="F132" i="17"/>
  <c r="C132" i="17"/>
  <c r="C131" i="17"/>
  <c r="F130" i="17"/>
  <c r="C130" i="17"/>
  <c r="G126" i="17"/>
  <c r="C116" i="17"/>
  <c r="C115" i="17"/>
  <c r="C114" i="17"/>
  <c r="H96" i="17"/>
  <c r="G96" i="17"/>
  <c r="G86" i="17"/>
  <c r="F86" i="17"/>
  <c r="L85" i="17"/>
  <c r="H85" i="17"/>
  <c r="I85" i="17" s="1"/>
  <c r="J85" i="17" s="1"/>
  <c r="K85" i="17" s="1"/>
  <c r="G85" i="17"/>
  <c r="F85" i="17"/>
  <c r="H83" i="17"/>
  <c r="I83" i="17" s="1"/>
  <c r="J83" i="17" s="1"/>
  <c r="K83" i="17" s="1"/>
  <c r="L83" i="17" s="1"/>
  <c r="G83" i="17"/>
  <c r="F83" i="17"/>
  <c r="G81" i="17"/>
  <c r="F81" i="17"/>
  <c r="F82" i="17" s="1"/>
  <c r="G80" i="17"/>
  <c r="F80" i="17"/>
  <c r="G79" i="17"/>
  <c r="G241" i="17" s="1"/>
  <c r="F79" i="17"/>
  <c r="G78" i="17"/>
  <c r="F78" i="17"/>
  <c r="G76" i="17"/>
  <c r="G137" i="17" s="1"/>
  <c r="G155" i="17" s="1"/>
  <c r="F76" i="17"/>
  <c r="G75" i="17"/>
  <c r="F75" i="17"/>
  <c r="F136" i="17" s="1"/>
  <c r="G74" i="17"/>
  <c r="F74" i="17"/>
  <c r="G69" i="17"/>
  <c r="F69" i="17"/>
  <c r="G67" i="17"/>
  <c r="F67" i="17"/>
  <c r="G63" i="17"/>
  <c r="G132" i="17" s="1"/>
  <c r="G151" i="17" s="1"/>
  <c r="F63" i="17"/>
  <c r="G62" i="17"/>
  <c r="G131" i="17" s="1"/>
  <c r="F62" i="17"/>
  <c r="F131" i="17" s="1"/>
  <c r="F150" i="17" s="1"/>
  <c r="G61" i="17"/>
  <c r="G130" i="17" s="1"/>
  <c r="F61" i="17"/>
  <c r="G60" i="17"/>
  <c r="F60" i="17"/>
  <c r="F168" i="17" s="1"/>
  <c r="G56" i="17"/>
  <c r="F56" i="17" s="1"/>
  <c r="G36" i="17"/>
  <c r="G32" i="17"/>
  <c r="F32" i="17"/>
  <c r="G30" i="17"/>
  <c r="F30" i="17"/>
  <c r="L29" i="17"/>
  <c r="K29" i="17"/>
  <c r="J29" i="17"/>
  <c r="I29" i="17"/>
  <c r="H29" i="17"/>
  <c r="G29" i="17"/>
  <c r="F29" i="17"/>
  <c r="C28" i="17"/>
  <c r="C27" i="17"/>
  <c r="C26" i="17"/>
  <c r="G21" i="17"/>
  <c r="H21" i="17" s="1"/>
  <c r="F21" i="17"/>
  <c r="G20" i="17"/>
  <c r="F187" i="17" s="1"/>
  <c r="F20" i="17"/>
  <c r="G17" i="17"/>
  <c r="F17" i="17"/>
  <c r="F147" i="17" s="1"/>
  <c r="G14" i="17"/>
  <c r="F14" i="17"/>
  <c r="H11" i="17"/>
  <c r="F11" i="17"/>
  <c r="J268" i="16"/>
  <c r="J267" i="16"/>
  <c r="C260" i="16"/>
  <c r="G259" i="16"/>
  <c r="G247" i="16"/>
  <c r="C243" i="16"/>
  <c r="H238" i="16"/>
  <c r="C237" i="16"/>
  <c r="G235" i="16"/>
  <c r="G232" i="16"/>
  <c r="H229" i="16"/>
  <c r="C228" i="16"/>
  <c r="C267" i="16" s="1"/>
  <c r="H203" i="16"/>
  <c r="H205" i="16" s="1"/>
  <c r="H201" i="16"/>
  <c r="G201" i="16"/>
  <c r="F201" i="16"/>
  <c r="I187" i="16"/>
  <c r="F187" i="16"/>
  <c r="D187" i="16"/>
  <c r="G187" i="16" s="1"/>
  <c r="H187" i="16" s="1"/>
  <c r="C187" i="16"/>
  <c r="H185" i="16"/>
  <c r="C188" i="16" s="1"/>
  <c r="G168" i="16"/>
  <c r="G146" i="16"/>
  <c r="G153" i="16" s="1"/>
  <c r="F146" i="16"/>
  <c r="F150" i="16" s="1"/>
  <c r="C137" i="16"/>
  <c r="G136" i="16"/>
  <c r="C136" i="16"/>
  <c r="G135" i="16"/>
  <c r="C135" i="16"/>
  <c r="F132" i="16"/>
  <c r="C132" i="16"/>
  <c r="F131" i="16"/>
  <c r="C131" i="16"/>
  <c r="G130" i="16"/>
  <c r="F130" i="16"/>
  <c r="C130" i="16"/>
  <c r="J126" i="16"/>
  <c r="I126" i="16"/>
  <c r="H126" i="16"/>
  <c r="G126" i="16"/>
  <c r="F126" i="16"/>
  <c r="C116" i="16"/>
  <c r="C249" i="16" s="1"/>
  <c r="C115" i="16"/>
  <c r="C114" i="16"/>
  <c r="I96" i="16"/>
  <c r="H96" i="16"/>
  <c r="G96" i="16"/>
  <c r="F96" i="16"/>
  <c r="G86" i="16"/>
  <c r="F86" i="16"/>
  <c r="G85" i="16"/>
  <c r="F85" i="16"/>
  <c r="K83" i="16"/>
  <c r="L83" i="16" s="1"/>
  <c r="J83" i="16"/>
  <c r="G83" i="16"/>
  <c r="H83" i="16" s="1"/>
  <c r="I83" i="16" s="1"/>
  <c r="F83" i="16"/>
  <c r="G81" i="16"/>
  <c r="G253" i="16" s="1"/>
  <c r="F81" i="16"/>
  <c r="G80" i="16"/>
  <c r="F80" i="16"/>
  <c r="G79" i="16"/>
  <c r="G241" i="16" s="1"/>
  <c r="F79" i="16"/>
  <c r="G78" i="16"/>
  <c r="F78" i="16"/>
  <c r="F82" i="16" s="1"/>
  <c r="G76" i="16"/>
  <c r="G137" i="16" s="1"/>
  <c r="F76" i="16"/>
  <c r="F137" i="16" s="1"/>
  <c r="G75" i="16"/>
  <c r="G77" i="16" s="1"/>
  <c r="F75" i="16"/>
  <c r="F136" i="16" s="1"/>
  <c r="G74" i="16"/>
  <c r="F74" i="16"/>
  <c r="G69" i="16"/>
  <c r="F69" i="16"/>
  <c r="G67" i="16"/>
  <c r="F67" i="16"/>
  <c r="G63" i="16"/>
  <c r="G132" i="16" s="1"/>
  <c r="F63" i="16"/>
  <c r="G62" i="16"/>
  <c r="G131" i="16" s="1"/>
  <c r="F62" i="16"/>
  <c r="G61" i="16"/>
  <c r="F61" i="16"/>
  <c r="G60" i="16"/>
  <c r="F60" i="16"/>
  <c r="J56" i="16"/>
  <c r="G56" i="16"/>
  <c r="F56" i="16" s="1"/>
  <c r="G36" i="16"/>
  <c r="G32" i="16"/>
  <c r="F32" i="16"/>
  <c r="G30" i="16"/>
  <c r="F30" i="16"/>
  <c r="L29" i="16"/>
  <c r="K29" i="16"/>
  <c r="J29" i="16"/>
  <c r="I29" i="16"/>
  <c r="H29" i="16"/>
  <c r="G29" i="16"/>
  <c r="F29" i="16"/>
  <c r="C28" i="16"/>
  <c r="C27" i="16"/>
  <c r="C26" i="16"/>
  <c r="G21" i="16"/>
  <c r="F21" i="16"/>
  <c r="G20" i="16"/>
  <c r="F20" i="16"/>
  <c r="G17" i="16"/>
  <c r="F17" i="16"/>
  <c r="G14" i="16"/>
  <c r="F14" i="16"/>
  <c r="J11" i="16"/>
  <c r="I11" i="16"/>
  <c r="H11" i="16"/>
  <c r="H56" i="16" s="1"/>
  <c r="F11" i="16"/>
  <c r="J268" i="15"/>
  <c r="C268" i="15"/>
  <c r="J267" i="15"/>
  <c r="C267" i="15"/>
  <c r="C258" i="15"/>
  <c r="C249" i="15"/>
  <c r="C243" i="15"/>
  <c r="H238" i="15"/>
  <c r="C237" i="15"/>
  <c r="G232" i="15"/>
  <c r="C228" i="15"/>
  <c r="C220" i="15"/>
  <c r="C210" i="15"/>
  <c r="H201" i="15"/>
  <c r="G201" i="15"/>
  <c r="F201" i="15"/>
  <c r="F187" i="15"/>
  <c r="D187" i="15"/>
  <c r="G187" i="15" s="1"/>
  <c r="H187" i="15" s="1"/>
  <c r="C187" i="15"/>
  <c r="F168" i="15"/>
  <c r="F146" i="15"/>
  <c r="G137" i="15"/>
  <c r="F137" i="15"/>
  <c r="C137" i="15"/>
  <c r="G136" i="15"/>
  <c r="F136" i="15"/>
  <c r="C136" i="15"/>
  <c r="C135" i="15"/>
  <c r="F132" i="15"/>
  <c r="C132" i="15"/>
  <c r="G131" i="15"/>
  <c r="C131" i="15"/>
  <c r="C130" i="15"/>
  <c r="G126" i="15"/>
  <c r="F126" i="15"/>
  <c r="L117" i="15"/>
  <c r="K117" i="15"/>
  <c r="J117" i="15"/>
  <c r="I117" i="15"/>
  <c r="H117" i="15"/>
  <c r="C116" i="15"/>
  <c r="C115" i="15"/>
  <c r="C114" i="15"/>
  <c r="H96" i="15"/>
  <c r="G96" i="15"/>
  <c r="F96" i="15"/>
  <c r="G86" i="15"/>
  <c r="F86" i="15"/>
  <c r="J85" i="15"/>
  <c r="K85" i="15" s="1"/>
  <c r="L85" i="15" s="1"/>
  <c r="I85" i="15"/>
  <c r="H85" i="15"/>
  <c r="G85" i="15"/>
  <c r="F85" i="15"/>
  <c r="J83" i="15"/>
  <c r="K83" i="15" s="1"/>
  <c r="L83" i="15" s="1"/>
  <c r="H83" i="15"/>
  <c r="I83" i="15" s="1"/>
  <c r="G83" i="15"/>
  <c r="F83" i="15"/>
  <c r="G81" i="15"/>
  <c r="G253" i="15" s="1"/>
  <c r="F81" i="15"/>
  <c r="G80" i="15"/>
  <c r="G247" i="15" s="1"/>
  <c r="F80" i="15"/>
  <c r="G79" i="15"/>
  <c r="G241" i="15" s="1"/>
  <c r="G258" i="15" s="1"/>
  <c r="F79" i="15"/>
  <c r="G78" i="15"/>
  <c r="F78" i="15"/>
  <c r="F82" i="15" s="1"/>
  <c r="G76" i="15"/>
  <c r="F76" i="15"/>
  <c r="G75" i="15"/>
  <c r="F75" i="15"/>
  <c r="G74" i="15"/>
  <c r="F74" i="15"/>
  <c r="G69" i="15"/>
  <c r="F69" i="15"/>
  <c r="G67" i="15"/>
  <c r="F67" i="15"/>
  <c r="G64" i="15"/>
  <c r="G63" i="15"/>
  <c r="G132" i="15" s="1"/>
  <c r="F63" i="15"/>
  <c r="G62" i="15"/>
  <c r="F62" i="15"/>
  <c r="F131" i="15" s="1"/>
  <c r="F150" i="15" s="1"/>
  <c r="G61" i="15"/>
  <c r="G130" i="15" s="1"/>
  <c r="G133" i="15" s="1"/>
  <c r="F61" i="15"/>
  <c r="G60" i="15"/>
  <c r="F60" i="15"/>
  <c r="H56" i="15"/>
  <c r="G56" i="15"/>
  <c r="F56" i="15"/>
  <c r="G48" i="15"/>
  <c r="H48" i="15" s="1"/>
  <c r="G36" i="15"/>
  <c r="G32" i="15"/>
  <c r="F32" i="15"/>
  <c r="G30" i="15"/>
  <c r="F30" i="15"/>
  <c r="L29" i="15"/>
  <c r="K29" i="15"/>
  <c r="J29" i="15"/>
  <c r="I29" i="15"/>
  <c r="H29" i="15"/>
  <c r="G29" i="15"/>
  <c r="F29" i="15"/>
  <c r="C28" i="15"/>
  <c r="C27" i="15"/>
  <c r="C26" i="15"/>
  <c r="H21" i="15"/>
  <c r="G21" i="15"/>
  <c r="F21" i="15"/>
  <c r="G20" i="15"/>
  <c r="F20" i="15"/>
  <c r="G17" i="15"/>
  <c r="F17" i="15"/>
  <c r="G14" i="15"/>
  <c r="F14" i="15"/>
  <c r="G13" i="15"/>
  <c r="H11" i="15"/>
  <c r="F11" i="15"/>
  <c r="C246" i="14"/>
  <c r="J245" i="14"/>
  <c r="C245" i="14"/>
  <c r="J244" i="14"/>
  <c r="G237" i="14"/>
  <c r="C235" i="14"/>
  <c r="H230" i="14"/>
  <c r="H228" i="14"/>
  <c r="H227" i="14"/>
  <c r="G209" i="14"/>
  <c r="C205" i="14"/>
  <c r="C244" i="14" s="1"/>
  <c r="G201" i="14"/>
  <c r="F201" i="14"/>
  <c r="F187" i="14"/>
  <c r="C187" i="14"/>
  <c r="F155" i="14"/>
  <c r="H155" i="14" s="1"/>
  <c r="F147" i="14"/>
  <c r="F151" i="14" s="1"/>
  <c r="G146" i="14"/>
  <c r="F146" i="14"/>
  <c r="G137" i="14"/>
  <c r="G155" i="14" s="1"/>
  <c r="C137" i="14"/>
  <c r="F136" i="14"/>
  <c r="F154" i="14" s="1"/>
  <c r="H154" i="14" s="1"/>
  <c r="C136" i="14"/>
  <c r="C135" i="14"/>
  <c r="G133" i="14"/>
  <c r="G132" i="14"/>
  <c r="G151" i="14" s="1"/>
  <c r="H151" i="14" s="1"/>
  <c r="F132" i="14"/>
  <c r="C132" i="14"/>
  <c r="F131" i="14"/>
  <c r="F150" i="14" s="1"/>
  <c r="C131" i="14"/>
  <c r="C130" i="14"/>
  <c r="G126" i="14"/>
  <c r="F126" i="14"/>
  <c r="L117" i="14"/>
  <c r="K117" i="14"/>
  <c r="J117" i="14"/>
  <c r="I117" i="14"/>
  <c r="H117" i="14"/>
  <c r="C116" i="14"/>
  <c r="C226" i="14" s="1"/>
  <c r="C115" i="14"/>
  <c r="C220" i="14" s="1"/>
  <c r="C236" i="14" s="1"/>
  <c r="C114" i="14"/>
  <c r="C214" i="14" s="1"/>
  <c r="G96" i="14"/>
  <c r="F96" i="14"/>
  <c r="G86" i="14"/>
  <c r="F86" i="14"/>
  <c r="L85" i="14"/>
  <c r="I85" i="14"/>
  <c r="J85" i="14" s="1"/>
  <c r="K85" i="14" s="1"/>
  <c r="H85" i="14"/>
  <c r="G85" i="14"/>
  <c r="F85" i="14"/>
  <c r="F173" i="14" s="1"/>
  <c r="I83" i="14"/>
  <c r="J83" i="14" s="1"/>
  <c r="K83" i="14" s="1"/>
  <c r="L83" i="14" s="1"/>
  <c r="H83" i="14"/>
  <c r="G83" i="14"/>
  <c r="F83" i="14"/>
  <c r="G81" i="14"/>
  <c r="G230" i="14" s="1"/>
  <c r="F81" i="14"/>
  <c r="F82" i="14" s="1"/>
  <c r="G80" i="14"/>
  <c r="G224" i="14" s="1"/>
  <c r="F80" i="14"/>
  <c r="G79" i="14"/>
  <c r="G218" i="14" s="1"/>
  <c r="F79" i="14"/>
  <c r="G78" i="14"/>
  <c r="G82" i="14" s="1"/>
  <c r="F78" i="14"/>
  <c r="G77" i="14"/>
  <c r="G84" i="14" s="1"/>
  <c r="G87" i="14" s="1"/>
  <c r="G76" i="14"/>
  <c r="F76" i="14"/>
  <c r="F137" i="14" s="1"/>
  <c r="G75" i="14"/>
  <c r="G136" i="14" s="1"/>
  <c r="G154" i="14" s="1"/>
  <c r="F75" i="14"/>
  <c r="F77" i="14" s="1"/>
  <c r="G74" i="14"/>
  <c r="G135" i="14" s="1"/>
  <c r="F74" i="14"/>
  <c r="F135" i="14" s="1"/>
  <c r="G69" i="14"/>
  <c r="F69" i="14"/>
  <c r="G67" i="14"/>
  <c r="D187" i="14" s="1"/>
  <c r="G187" i="14" s="1"/>
  <c r="H187" i="14" s="1"/>
  <c r="F67" i="14"/>
  <c r="G63" i="14"/>
  <c r="F63" i="14"/>
  <c r="G62" i="14"/>
  <c r="G131" i="14" s="1"/>
  <c r="F62" i="14"/>
  <c r="G61" i="14"/>
  <c r="G130" i="14" s="1"/>
  <c r="F61" i="14"/>
  <c r="F130" i="14" s="1"/>
  <c r="G60" i="14"/>
  <c r="F60" i="14"/>
  <c r="G56" i="14"/>
  <c r="F56" i="14" s="1"/>
  <c r="G36" i="14"/>
  <c r="G32" i="14"/>
  <c r="F32" i="14"/>
  <c r="G30" i="14"/>
  <c r="F30" i="14"/>
  <c r="L29" i="14"/>
  <c r="K29" i="14"/>
  <c r="J29" i="14"/>
  <c r="I29" i="14"/>
  <c r="H29" i="14"/>
  <c r="G29" i="14"/>
  <c r="F29" i="14"/>
  <c r="C28" i="14"/>
  <c r="C27" i="14"/>
  <c r="C26" i="14"/>
  <c r="H21" i="14"/>
  <c r="G21" i="14"/>
  <c r="F21" i="14"/>
  <c r="G20" i="14"/>
  <c r="F20" i="14"/>
  <c r="G17" i="14"/>
  <c r="G147" i="14" s="1"/>
  <c r="F17" i="14"/>
  <c r="G14" i="14"/>
  <c r="F14" i="14"/>
  <c r="H11" i="14"/>
  <c r="H185" i="14" s="1"/>
  <c r="C188" i="14" s="1"/>
  <c r="F11" i="14"/>
  <c r="C247" i="13"/>
  <c r="G237" i="13"/>
  <c r="C237" i="13"/>
  <c r="G236" i="13"/>
  <c r="G235" i="13"/>
  <c r="C226" i="13"/>
  <c r="C220" i="13"/>
  <c r="C205" i="13"/>
  <c r="C244" i="13" s="1"/>
  <c r="H201" i="13"/>
  <c r="G201" i="13"/>
  <c r="F187" i="13"/>
  <c r="C187" i="13"/>
  <c r="G168" i="13"/>
  <c r="F168" i="13"/>
  <c r="G151" i="13"/>
  <c r="G147" i="13"/>
  <c r="F146" i="13"/>
  <c r="F150" i="13" s="1"/>
  <c r="F137" i="13"/>
  <c r="C137" i="13"/>
  <c r="C136" i="13"/>
  <c r="G135" i="13"/>
  <c r="C135" i="13"/>
  <c r="C132" i="13"/>
  <c r="F131" i="13"/>
  <c r="C131" i="13"/>
  <c r="G130" i="13"/>
  <c r="C130" i="13"/>
  <c r="G126" i="13"/>
  <c r="L117" i="13"/>
  <c r="K117" i="13"/>
  <c r="J117" i="13"/>
  <c r="I117" i="13"/>
  <c r="H117" i="13"/>
  <c r="C116" i="13"/>
  <c r="C115" i="13"/>
  <c r="C114" i="13"/>
  <c r="C214" i="13" s="1"/>
  <c r="C245" i="13" s="1"/>
  <c r="G96" i="13"/>
  <c r="G86" i="13"/>
  <c r="F86" i="13"/>
  <c r="F173" i="13" s="1"/>
  <c r="I85" i="13"/>
  <c r="J85" i="13" s="1"/>
  <c r="K85" i="13" s="1"/>
  <c r="L85" i="13" s="1"/>
  <c r="H85" i="13"/>
  <c r="G85" i="13"/>
  <c r="F85" i="13"/>
  <c r="H83" i="13"/>
  <c r="I83" i="13" s="1"/>
  <c r="J83" i="13" s="1"/>
  <c r="K83" i="13" s="1"/>
  <c r="L83" i="13" s="1"/>
  <c r="G83" i="13"/>
  <c r="F83" i="13"/>
  <c r="L82" i="13"/>
  <c r="K82" i="13"/>
  <c r="J82" i="13"/>
  <c r="I82" i="13"/>
  <c r="H82" i="13"/>
  <c r="G81" i="13"/>
  <c r="F81" i="13"/>
  <c r="G80" i="13"/>
  <c r="F80" i="13"/>
  <c r="G79" i="13"/>
  <c r="F79" i="13"/>
  <c r="G78" i="13"/>
  <c r="G82" i="13" s="1"/>
  <c r="F78" i="13"/>
  <c r="F82" i="13" s="1"/>
  <c r="G76" i="13"/>
  <c r="G137" i="13" s="1"/>
  <c r="G155" i="13" s="1"/>
  <c r="F76" i="13"/>
  <c r="G75" i="13"/>
  <c r="G136" i="13" s="1"/>
  <c r="G154" i="13" s="1"/>
  <c r="F75" i="13"/>
  <c r="F136" i="13" s="1"/>
  <c r="G74" i="13"/>
  <c r="G77" i="13" s="1"/>
  <c r="F74" i="13"/>
  <c r="H69" i="13"/>
  <c r="G69" i="13"/>
  <c r="F69" i="13"/>
  <c r="G67" i="13"/>
  <c r="F67" i="13"/>
  <c r="G63" i="13"/>
  <c r="G132" i="13" s="1"/>
  <c r="F63" i="13"/>
  <c r="F132" i="13" s="1"/>
  <c r="G62" i="13"/>
  <c r="G131" i="13" s="1"/>
  <c r="G150" i="13" s="1"/>
  <c r="F62" i="13"/>
  <c r="G61" i="13"/>
  <c r="F61" i="13"/>
  <c r="F64" i="13" s="1"/>
  <c r="F70" i="13" s="1"/>
  <c r="G60" i="13"/>
  <c r="F60" i="13"/>
  <c r="H56" i="13"/>
  <c r="G56" i="13"/>
  <c r="F56" i="13" s="1"/>
  <c r="G36" i="13"/>
  <c r="G32" i="13"/>
  <c r="F32" i="13"/>
  <c r="G30" i="13"/>
  <c r="F30" i="13"/>
  <c r="L29" i="13"/>
  <c r="K29" i="13"/>
  <c r="J29" i="13"/>
  <c r="I29" i="13"/>
  <c r="H29" i="13"/>
  <c r="G29" i="13"/>
  <c r="F29" i="13"/>
  <c r="C28" i="13"/>
  <c r="C27" i="13"/>
  <c r="C26" i="13"/>
  <c r="G21" i="13"/>
  <c r="H21" i="13" s="1"/>
  <c r="H102" i="13" s="1"/>
  <c r="F21" i="13"/>
  <c r="G20" i="13"/>
  <c r="F20" i="13"/>
  <c r="G17" i="13"/>
  <c r="F17" i="13"/>
  <c r="G14" i="13"/>
  <c r="G146" i="13" s="1"/>
  <c r="F14" i="13"/>
  <c r="G13" i="13"/>
  <c r="I11" i="13"/>
  <c r="H11" i="13"/>
  <c r="F11" i="13"/>
  <c r="C187" i="12"/>
  <c r="F169" i="12"/>
  <c r="G168" i="12"/>
  <c r="F146" i="12"/>
  <c r="F138" i="12"/>
  <c r="F137" i="12"/>
  <c r="C137" i="12"/>
  <c r="G136" i="12"/>
  <c r="F136" i="12"/>
  <c r="C136" i="12"/>
  <c r="G135" i="12"/>
  <c r="F135" i="12"/>
  <c r="F153" i="12" s="1"/>
  <c r="C135" i="12"/>
  <c r="G132" i="12"/>
  <c r="F132" i="12"/>
  <c r="C132" i="12"/>
  <c r="C131" i="12"/>
  <c r="G130" i="12"/>
  <c r="C130" i="12"/>
  <c r="G126" i="12"/>
  <c r="F126" i="12"/>
  <c r="L117" i="12"/>
  <c r="K117" i="12"/>
  <c r="J117" i="12"/>
  <c r="I117" i="12"/>
  <c r="H117" i="12"/>
  <c r="C116" i="12"/>
  <c r="C115" i="12"/>
  <c r="C114" i="12"/>
  <c r="H96" i="12"/>
  <c r="G96" i="12"/>
  <c r="F96" i="12"/>
  <c r="G86" i="12"/>
  <c r="F86" i="12"/>
  <c r="G85" i="12"/>
  <c r="H85" i="12" s="1"/>
  <c r="I85" i="12" s="1"/>
  <c r="J85" i="12" s="1"/>
  <c r="K85" i="12" s="1"/>
  <c r="L85" i="12" s="1"/>
  <c r="F85" i="12"/>
  <c r="F173" i="12" s="1"/>
  <c r="H83" i="12"/>
  <c r="I83" i="12" s="1"/>
  <c r="J83" i="12" s="1"/>
  <c r="K83" i="12" s="1"/>
  <c r="L83" i="12" s="1"/>
  <c r="G83" i="12"/>
  <c r="F83" i="12"/>
  <c r="L82" i="12"/>
  <c r="K82" i="12"/>
  <c r="J82" i="12"/>
  <c r="I82" i="12"/>
  <c r="H82" i="12"/>
  <c r="G81" i="12"/>
  <c r="F81" i="12"/>
  <c r="G80" i="12"/>
  <c r="F80" i="12"/>
  <c r="G79" i="12"/>
  <c r="F79" i="12"/>
  <c r="G78" i="12"/>
  <c r="F78" i="12"/>
  <c r="G76" i="12"/>
  <c r="G137" i="12" s="1"/>
  <c r="F76" i="12"/>
  <c r="G75" i="12"/>
  <c r="F75" i="12"/>
  <c r="G74" i="12"/>
  <c r="F74" i="12"/>
  <c r="F77" i="12" s="1"/>
  <c r="G69" i="12"/>
  <c r="F69" i="12"/>
  <c r="G67" i="12"/>
  <c r="D187" i="12" s="1"/>
  <c r="G187" i="12" s="1"/>
  <c r="H187" i="12" s="1"/>
  <c r="F67" i="12"/>
  <c r="F70" i="12" s="1"/>
  <c r="F64" i="12"/>
  <c r="G63" i="12"/>
  <c r="F63" i="12"/>
  <c r="G62" i="12"/>
  <c r="G131" i="12" s="1"/>
  <c r="F62" i="12"/>
  <c r="F131" i="12" s="1"/>
  <c r="G61" i="12"/>
  <c r="F61" i="12"/>
  <c r="F130" i="12" s="1"/>
  <c r="G60" i="12"/>
  <c r="F60" i="12"/>
  <c r="F168" i="12" s="1"/>
  <c r="G56" i="12"/>
  <c r="F56" i="12"/>
  <c r="G36" i="12"/>
  <c r="G32" i="12"/>
  <c r="F32" i="12"/>
  <c r="G30" i="12"/>
  <c r="F30" i="12"/>
  <c r="L29" i="12"/>
  <c r="K29" i="12"/>
  <c r="J29" i="12"/>
  <c r="I29" i="12"/>
  <c r="H29" i="12"/>
  <c r="G29" i="12"/>
  <c r="F29" i="12"/>
  <c r="C28" i="12"/>
  <c r="C27" i="12"/>
  <c r="C26" i="12"/>
  <c r="G21" i="12"/>
  <c r="F21" i="12"/>
  <c r="G20" i="12"/>
  <c r="F187" i="12" s="1"/>
  <c r="F20" i="12"/>
  <c r="G17" i="12"/>
  <c r="F17" i="12"/>
  <c r="G14" i="12"/>
  <c r="F14" i="12"/>
  <c r="G13" i="12"/>
  <c r="H11" i="12"/>
  <c r="F11" i="12"/>
  <c r="C188" i="11"/>
  <c r="D187" i="11"/>
  <c r="G187" i="11" s="1"/>
  <c r="H187" i="11" s="1"/>
  <c r="C187" i="11"/>
  <c r="I185" i="11"/>
  <c r="C189" i="11" s="1"/>
  <c r="H185" i="11"/>
  <c r="F173" i="11"/>
  <c r="G168" i="11"/>
  <c r="F146" i="11"/>
  <c r="F137" i="11"/>
  <c r="C137" i="11"/>
  <c r="C136" i="11"/>
  <c r="C135" i="11"/>
  <c r="F133" i="11"/>
  <c r="F132" i="11"/>
  <c r="C132" i="11"/>
  <c r="C131" i="11"/>
  <c r="C130" i="11"/>
  <c r="I126" i="11"/>
  <c r="H126" i="11"/>
  <c r="G126" i="11"/>
  <c r="L117" i="11"/>
  <c r="K117" i="11"/>
  <c r="J117" i="11"/>
  <c r="I117" i="11"/>
  <c r="H117" i="11"/>
  <c r="C116" i="11"/>
  <c r="C115" i="11"/>
  <c r="C114" i="11"/>
  <c r="I105" i="11"/>
  <c r="H105" i="11"/>
  <c r="L103" i="11"/>
  <c r="L105" i="11" s="1"/>
  <c r="K103" i="11"/>
  <c r="K105" i="11" s="1"/>
  <c r="J103" i="11"/>
  <c r="J105" i="11" s="1"/>
  <c r="I103" i="11"/>
  <c r="H103" i="11"/>
  <c r="I96" i="11"/>
  <c r="H96" i="11"/>
  <c r="G96" i="11"/>
  <c r="G86" i="11"/>
  <c r="F86" i="11"/>
  <c r="H85" i="11"/>
  <c r="I85" i="11" s="1"/>
  <c r="J85" i="11" s="1"/>
  <c r="K85" i="11" s="1"/>
  <c r="L85" i="11" s="1"/>
  <c r="G85" i="11"/>
  <c r="F85" i="11"/>
  <c r="G83" i="11"/>
  <c r="H83" i="11" s="1"/>
  <c r="I83" i="11" s="1"/>
  <c r="J83" i="11" s="1"/>
  <c r="K83" i="11" s="1"/>
  <c r="L83" i="11" s="1"/>
  <c r="F83" i="11"/>
  <c r="L82" i="11"/>
  <c r="K82" i="11"/>
  <c r="J82" i="11"/>
  <c r="I82" i="11"/>
  <c r="H82" i="11"/>
  <c r="G81" i="11"/>
  <c r="F81" i="11"/>
  <c r="G80" i="11"/>
  <c r="F80" i="11"/>
  <c r="G79" i="11"/>
  <c r="F79" i="11"/>
  <c r="G78" i="11"/>
  <c r="F78" i="11"/>
  <c r="G76" i="11"/>
  <c r="G137" i="11" s="1"/>
  <c r="F76" i="11"/>
  <c r="G75" i="11"/>
  <c r="F75" i="11"/>
  <c r="G74" i="11"/>
  <c r="G135" i="11" s="1"/>
  <c r="F74" i="11"/>
  <c r="F135" i="11" s="1"/>
  <c r="G69" i="11"/>
  <c r="F69" i="11"/>
  <c r="G67" i="11"/>
  <c r="F67" i="11"/>
  <c r="G63" i="11"/>
  <c r="G132" i="11" s="1"/>
  <c r="F63" i="11"/>
  <c r="G62" i="11"/>
  <c r="G131" i="11" s="1"/>
  <c r="F62" i="11"/>
  <c r="F131" i="11" s="1"/>
  <c r="F150" i="11" s="1"/>
  <c r="G61" i="11"/>
  <c r="G130" i="11" s="1"/>
  <c r="F61" i="11"/>
  <c r="F130" i="11" s="1"/>
  <c r="G60" i="11"/>
  <c r="F60" i="11"/>
  <c r="I56" i="11"/>
  <c r="G56" i="11"/>
  <c r="F56" i="11" s="1"/>
  <c r="G43" i="11"/>
  <c r="G36" i="11"/>
  <c r="G32" i="11"/>
  <c r="F32" i="11"/>
  <c r="G30" i="11"/>
  <c r="F30" i="11"/>
  <c r="L29" i="11"/>
  <c r="K29" i="11"/>
  <c r="J29" i="11"/>
  <c r="I29" i="11"/>
  <c r="H29" i="11"/>
  <c r="G29" i="11"/>
  <c r="F29" i="11"/>
  <c r="C28" i="11"/>
  <c r="C27" i="11"/>
  <c r="C26" i="11"/>
  <c r="G21" i="11"/>
  <c r="F21" i="11"/>
  <c r="G20" i="11"/>
  <c r="F187" i="11" s="1"/>
  <c r="F20" i="11"/>
  <c r="G17" i="11"/>
  <c r="G44" i="11" s="1"/>
  <c r="F17" i="11"/>
  <c r="G14" i="11"/>
  <c r="G146" i="11" s="1"/>
  <c r="F14" i="11"/>
  <c r="G13" i="11"/>
  <c r="G145" i="11" s="1"/>
  <c r="G149" i="11" s="1"/>
  <c r="I11" i="11"/>
  <c r="J11" i="11" s="1"/>
  <c r="H11" i="11"/>
  <c r="H56" i="11" s="1"/>
  <c r="F11" i="11"/>
  <c r="C157" i="10"/>
  <c r="H155" i="10"/>
  <c r="C158" i="10" s="1"/>
  <c r="G143" i="10"/>
  <c r="G138" i="10"/>
  <c r="F138" i="10"/>
  <c r="G132" i="10"/>
  <c r="F125" i="10"/>
  <c r="F120" i="10"/>
  <c r="F117" i="10"/>
  <c r="F121" i="10" s="1"/>
  <c r="F116" i="10"/>
  <c r="G115" i="10"/>
  <c r="F107" i="10"/>
  <c r="C107" i="10"/>
  <c r="C106" i="10"/>
  <c r="F105" i="10"/>
  <c r="F108" i="10" s="1"/>
  <c r="C105" i="10"/>
  <c r="F102" i="10"/>
  <c r="C102" i="10"/>
  <c r="G101" i="10"/>
  <c r="F101" i="10"/>
  <c r="C101" i="10"/>
  <c r="G100" i="10"/>
  <c r="C100" i="10"/>
  <c r="H96" i="10"/>
  <c r="G96" i="10"/>
  <c r="F96" i="10"/>
  <c r="G86" i="10"/>
  <c r="F86" i="10"/>
  <c r="J85" i="10"/>
  <c r="K85" i="10" s="1"/>
  <c r="L85" i="10" s="1"/>
  <c r="H85" i="10"/>
  <c r="I85" i="10" s="1"/>
  <c r="G85" i="10"/>
  <c r="F85" i="10"/>
  <c r="H83" i="10"/>
  <c r="I83" i="10" s="1"/>
  <c r="J83" i="10" s="1"/>
  <c r="K83" i="10" s="1"/>
  <c r="L83" i="10" s="1"/>
  <c r="G83" i="10"/>
  <c r="F83" i="10"/>
  <c r="L82" i="10"/>
  <c r="K82" i="10"/>
  <c r="J82" i="10"/>
  <c r="I82" i="10"/>
  <c r="H82" i="10"/>
  <c r="G81" i="10"/>
  <c r="F81" i="10"/>
  <c r="G80" i="10"/>
  <c r="F80" i="10"/>
  <c r="G79" i="10"/>
  <c r="F79" i="10"/>
  <c r="G78" i="10"/>
  <c r="F78" i="10"/>
  <c r="F77" i="10"/>
  <c r="G76" i="10"/>
  <c r="G107" i="10" s="1"/>
  <c r="F76" i="10"/>
  <c r="G75" i="10"/>
  <c r="G106" i="10" s="1"/>
  <c r="F75" i="10"/>
  <c r="F106" i="10" s="1"/>
  <c r="G74" i="10"/>
  <c r="F74" i="10"/>
  <c r="G69" i="10"/>
  <c r="F69" i="10"/>
  <c r="G67" i="10"/>
  <c r="D157" i="10" s="1"/>
  <c r="G157" i="10" s="1"/>
  <c r="H157" i="10" s="1"/>
  <c r="F67" i="10"/>
  <c r="G63" i="10"/>
  <c r="G102" i="10" s="1"/>
  <c r="F63" i="10"/>
  <c r="G62" i="10"/>
  <c r="F62" i="10"/>
  <c r="G61" i="10"/>
  <c r="F61" i="10"/>
  <c r="F100" i="10" s="1"/>
  <c r="F103" i="10" s="1"/>
  <c r="F109" i="10" s="1"/>
  <c r="G60" i="10"/>
  <c r="F60" i="10"/>
  <c r="F64" i="10" s="1"/>
  <c r="F70" i="10" s="1"/>
  <c r="G56" i="10"/>
  <c r="F56" i="10"/>
  <c r="G36" i="10"/>
  <c r="G32" i="10"/>
  <c r="F32" i="10"/>
  <c r="G30" i="10"/>
  <c r="F30" i="10"/>
  <c r="L29" i="10"/>
  <c r="K29" i="10"/>
  <c r="J29" i="10"/>
  <c r="I29" i="10"/>
  <c r="H29" i="10"/>
  <c r="G29" i="10"/>
  <c r="F29" i="10"/>
  <c r="C28" i="10"/>
  <c r="C27" i="10"/>
  <c r="C26" i="10"/>
  <c r="G21" i="10"/>
  <c r="H21" i="10" s="1"/>
  <c r="F21" i="10"/>
  <c r="G20" i="10"/>
  <c r="F157" i="10" s="1"/>
  <c r="F20" i="10"/>
  <c r="G17" i="10"/>
  <c r="F17" i="10"/>
  <c r="G14" i="10"/>
  <c r="F14" i="10"/>
  <c r="G13" i="10"/>
  <c r="H11" i="10"/>
  <c r="H56" i="10" s="1"/>
  <c r="F11" i="10"/>
  <c r="F157" i="9"/>
  <c r="D157" i="9"/>
  <c r="G157" i="9" s="1"/>
  <c r="H157" i="9" s="1"/>
  <c r="C157" i="9"/>
  <c r="I155" i="9"/>
  <c r="C159" i="9" s="1"/>
  <c r="H155" i="9"/>
  <c r="C158" i="9" s="1"/>
  <c r="G143" i="9"/>
  <c r="L108" i="9"/>
  <c r="K108" i="9"/>
  <c r="K109" i="9" s="1"/>
  <c r="J108" i="9"/>
  <c r="J109" i="9" s="1"/>
  <c r="I108" i="9"/>
  <c r="H108" i="9"/>
  <c r="H109" i="9" s="1"/>
  <c r="G108" i="9"/>
  <c r="F108" i="9"/>
  <c r="C107" i="9"/>
  <c r="C106" i="9"/>
  <c r="C105" i="9"/>
  <c r="L103" i="9"/>
  <c r="L109" i="9" s="1"/>
  <c r="K103" i="9"/>
  <c r="J103" i="9"/>
  <c r="I103" i="9"/>
  <c r="H103" i="9"/>
  <c r="G103" i="9"/>
  <c r="G109" i="9" s="1"/>
  <c r="F103" i="9"/>
  <c r="F109" i="9" s="1"/>
  <c r="C102" i="9"/>
  <c r="C101" i="9"/>
  <c r="C100" i="9"/>
  <c r="H96" i="9"/>
  <c r="G96" i="9"/>
  <c r="G86" i="9"/>
  <c r="F86" i="9"/>
  <c r="L85" i="9"/>
  <c r="K85" i="9"/>
  <c r="J85" i="9"/>
  <c r="G85" i="9"/>
  <c r="H85" i="9" s="1"/>
  <c r="I85" i="9" s="1"/>
  <c r="F85" i="9"/>
  <c r="G83" i="9"/>
  <c r="H83" i="9" s="1"/>
  <c r="H84" i="9" s="1"/>
  <c r="F83" i="9"/>
  <c r="L82" i="9"/>
  <c r="K82" i="9"/>
  <c r="J82" i="9"/>
  <c r="I82" i="9"/>
  <c r="H82" i="9"/>
  <c r="G81" i="9"/>
  <c r="F81" i="9"/>
  <c r="G80" i="9"/>
  <c r="F80" i="9"/>
  <c r="G79" i="9"/>
  <c r="F79" i="9"/>
  <c r="F82" i="9" s="1"/>
  <c r="G78" i="9"/>
  <c r="G82" i="9" s="1"/>
  <c r="F78" i="9"/>
  <c r="L77" i="9"/>
  <c r="K77" i="9"/>
  <c r="J77" i="9"/>
  <c r="I77" i="9"/>
  <c r="H77" i="9"/>
  <c r="G76" i="9"/>
  <c r="F76" i="9"/>
  <c r="G75" i="9"/>
  <c r="F75" i="9"/>
  <c r="G74" i="9"/>
  <c r="G77" i="9" s="1"/>
  <c r="F74" i="9"/>
  <c r="G69" i="9"/>
  <c r="F69" i="9"/>
  <c r="G67" i="9"/>
  <c r="F67" i="9"/>
  <c r="L64" i="9"/>
  <c r="K64" i="9"/>
  <c r="J64" i="9"/>
  <c r="I64" i="9"/>
  <c r="H64" i="9"/>
  <c r="G63" i="9"/>
  <c r="F63" i="9"/>
  <c r="F64" i="9" s="1"/>
  <c r="G62" i="9"/>
  <c r="F62" i="9"/>
  <c r="G61" i="9"/>
  <c r="F61" i="9"/>
  <c r="G60" i="9"/>
  <c r="G64" i="9" s="1"/>
  <c r="F60" i="9"/>
  <c r="F138" i="9" s="1"/>
  <c r="H56" i="9"/>
  <c r="G56" i="9"/>
  <c r="F56" i="9" s="1"/>
  <c r="G36" i="9"/>
  <c r="G32" i="9"/>
  <c r="F32" i="9"/>
  <c r="G30" i="9"/>
  <c r="F30" i="9"/>
  <c r="L29" i="9"/>
  <c r="K29" i="9"/>
  <c r="J29" i="9"/>
  <c r="I29" i="9"/>
  <c r="H29" i="9"/>
  <c r="G29" i="9"/>
  <c r="F29" i="9"/>
  <c r="C28" i="9"/>
  <c r="C27" i="9"/>
  <c r="C26" i="9"/>
  <c r="G21" i="9"/>
  <c r="H21" i="9" s="1"/>
  <c r="F21" i="9"/>
  <c r="G20" i="9"/>
  <c r="F20" i="9"/>
  <c r="G17" i="9"/>
  <c r="G44" i="9" s="1"/>
  <c r="F17" i="9"/>
  <c r="G14" i="9"/>
  <c r="G43" i="9" s="1"/>
  <c r="F14" i="9"/>
  <c r="G13" i="9"/>
  <c r="I11" i="9"/>
  <c r="H11" i="9"/>
  <c r="F11" i="9"/>
  <c r="F96" i="9" s="1"/>
  <c r="C120" i="8"/>
  <c r="G119" i="8"/>
  <c r="H119" i="8" s="1"/>
  <c r="F119" i="8"/>
  <c r="D119" i="8"/>
  <c r="C119" i="8"/>
  <c r="H117" i="8"/>
  <c r="G86" i="8"/>
  <c r="F86" i="8"/>
  <c r="H85" i="8"/>
  <c r="I85" i="8" s="1"/>
  <c r="J85" i="8" s="1"/>
  <c r="K85" i="8" s="1"/>
  <c r="L85" i="8" s="1"/>
  <c r="G85" i="8"/>
  <c r="F85" i="8"/>
  <c r="G83" i="8"/>
  <c r="H83" i="8" s="1"/>
  <c r="H84" i="8" s="1"/>
  <c r="F83" i="8"/>
  <c r="L82" i="8"/>
  <c r="K82" i="8"/>
  <c r="J82" i="8"/>
  <c r="I82" i="8"/>
  <c r="H82" i="8"/>
  <c r="F82" i="8"/>
  <c r="G81" i="8"/>
  <c r="F81" i="8"/>
  <c r="G80" i="8"/>
  <c r="F80" i="8"/>
  <c r="G79" i="8"/>
  <c r="F79" i="8"/>
  <c r="G78" i="8"/>
  <c r="G82" i="8" s="1"/>
  <c r="F78" i="8"/>
  <c r="L77" i="8"/>
  <c r="K77" i="8"/>
  <c r="J77" i="8"/>
  <c r="I77" i="8"/>
  <c r="H77" i="8"/>
  <c r="G76" i="8"/>
  <c r="F76" i="8"/>
  <c r="G75" i="8"/>
  <c r="F75" i="8"/>
  <c r="G74" i="8"/>
  <c r="F74" i="8"/>
  <c r="G69" i="8"/>
  <c r="F69" i="8"/>
  <c r="G67" i="8"/>
  <c r="F67" i="8"/>
  <c r="L64" i="8"/>
  <c r="K64" i="8"/>
  <c r="J64" i="8"/>
  <c r="I64" i="8"/>
  <c r="H64" i="8"/>
  <c r="G63" i="8"/>
  <c r="F63" i="8"/>
  <c r="G62" i="8"/>
  <c r="F62" i="8"/>
  <c r="G61" i="8"/>
  <c r="F61" i="8"/>
  <c r="G60" i="8"/>
  <c r="F60" i="8"/>
  <c r="G56" i="8"/>
  <c r="F56" i="8"/>
  <c r="G36" i="8"/>
  <c r="G32" i="8"/>
  <c r="F32" i="8"/>
  <c r="G30" i="8"/>
  <c r="F30" i="8"/>
  <c r="L29" i="8"/>
  <c r="K29" i="8"/>
  <c r="J29" i="8"/>
  <c r="I29" i="8"/>
  <c r="H29" i="8"/>
  <c r="G29" i="8"/>
  <c r="F29" i="8"/>
  <c r="C28" i="8"/>
  <c r="C27" i="8"/>
  <c r="C26" i="8"/>
  <c r="G21" i="8"/>
  <c r="F21" i="8"/>
  <c r="G20" i="8"/>
  <c r="F20" i="8"/>
  <c r="G17" i="8"/>
  <c r="G44" i="8" s="1"/>
  <c r="F17" i="8"/>
  <c r="G14" i="8"/>
  <c r="G43" i="8" s="1"/>
  <c r="F14" i="8"/>
  <c r="G13" i="8"/>
  <c r="I11" i="8"/>
  <c r="H11" i="8"/>
  <c r="H56" i="8" s="1"/>
  <c r="F11" i="8"/>
  <c r="F119" i="7"/>
  <c r="C119" i="7"/>
  <c r="G100" i="7"/>
  <c r="F100" i="7"/>
  <c r="H87" i="7"/>
  <c r="G86" i="7"/>
  <c r="F86" i="7"/>
  <c r="G85" i="7"/>
  <c r="F85" i="7"/>
  <c r="K84" i="7"/>
  <c r="K87" i="7" s="1"/>
  <c r="G83" i="7"/>
  <c r="F83" i="7"/>
  <c r="L82" i="7"/>
  <c r="K82" i="7"/>
  <c r="J82" i="7"/>
  <c r="J84" i="7" s="1"/>
  <c r="J87" i="7" s="1"/>
  <c r="I82" i="7"/>
  <c r="H82" i="7"/>
  <c r="H84" i="7" s="1"/>
  <c r="G81" i="7"/>
  <c r="F81" i="7"/>
  <c r="G80" i="7"/>
  <c r="F80" i="7"/>
  <c r="G79" i="7"/>
  <c r="G82" i="7" s="1"/>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G64" i="7" s="1"/>
  <c r="G70" i="7" s="1"/>
  <c r="F61" i="7"/>
  <c r="G60" i="7"/>
  <c r="F60" i="7"/>
  <c r="G56" i="7"/>
  <c r="F56" i="7" s="1"/>
  <c r="G32" i="7"/>
  <c r="F32" i="7"/>
  <c r="G30" i="7"/>
  <c r="F30" i="7"/>
  <c r="L29" i="7"/>
  <c r="K29" i="7"/>
  <c r="J29" i="7"/>
  <c r="I29" i="7"/>
  <c r="H29" i="7"/>
  <c r="G29" i="7"/>
  <c r="F29" i="7"/>
  <c r="C28" i="7"/>
  <c r="C27" i="7"/>
  <c r="C26" i="7"/>
  <c r="H21" i="7"/>
  <c r="I21" i="7" s="1"/>
  <c r="J21" i="7" s="1"/>
  <c r="K21" i="7" s="1"/>
  <c r="L21" i="7" s="1"/>
  <c r="G21" i="7"/>
  <c r="F21" i="7"/>
  <c r="G20" i="7"/>
  <c r="F20" i="7"/>
  <c r="G17" i="7"/>
  <c r="F17" i="7"/>
  <c r="G14" i="7"/>
  <c r="F14" i="7"/>
  <c r="H11" i="7"/>
  <c r="F11" i="7"/>
  <c r="H119" i="6"/>
  <c r="H126" i="6" s="1"/>
  <c r="H20" i="6" s="1"/>
  <c r="C119" i="6"/>
  <c r="H117" i="6"/>
  <c r="C120" i="6" s="1"/>
  <c r="G105" i="6"/>
  <c r="F105" i="6"/>
  <c r="G100" i="6"/>
  <c r="F100" i="6"/>
  <c r="G86" i="6"/>
  <c r="F86" i="6"/>
  <c r="G85" i="6"/>
  <c r="F85" i="6"/>
  <c r="G83" i="6"/>
  <c r="F83" i="6"/>
  <c r="G81" i="6"/>
  <c r="F81" i="6"/>
  <c r="G80" i="6"/>
  <c r="F80" i="6"/>
  <c r="G79" i="6"/>
  <c r="G82" i="6" s="1"/>
  <c r="F79" i="6"/>
  <c r="G78" i="6"/>
  <c r="F78" i="6"/>
  <c r="F82" i="6" s="1"/>
  <c r="G77" i="6"/>
  <c r="G76" i="6"/>
  <c r="F76" i="6"/>
  <c r="G75" i="6"/>
  <c r="F75" i="6"/>
  <c r="G74" i="6"/>
  <c r="F74" i="6"/>
  <c r="F77" i="6" s="1"/>
  <c r="G70" i="6"/>
  <c r="G102" i="6" s="1"/>
  <c r="G69" i="6"/>
  <c r="F69" i="6"/>
  <c r="G67" i="6"/>
  <c r="D119" i="6" s="1"/>
  <c r="G119" i="6" s="1"/>
  <c r="F67" i="6"/>
  <c r="F64" i="6"/>
  <c r="F70" i="6" s="1"/>
  <c r="G63" i="6"/>
  <c r="F63" i="6"/>
  <c r="G62" i="6"/>
  <c r="F62" i="6"/>
  <c r="G61" i="6"/>
  <c r="G64" i="6" s="1"/>
  <c r="G101" i="6" s="1"/>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F119" i="5"/>
  <c r="D119" i="5"/>
  <c r="G119" i="5" s="1"/>
  <c r="C119" i="5"/>
  <c r="I117" i="5"/>
  <c r="C121" i="5" s="1"/>
  <c r="G105" i="5"/>
  <c r="F105" i="5"/>
  <c r="G94" i="5"/>
  <c r="G86" i="5"/>
  <c r="F86" i="5"/>
  <c r="G85" i="5"/>
  <c r="F85" i="5"/>
  <c r="G83" i="5"/>
  <c r="F83" i="5"/>
  <c r="G81" i="5"/>
  <c r="G82" i="5" s="1"/>
  <c r="G84" i="5" s="1"/>
  <c r="G87" i="5" s="1"/>
  <c r="F81" i="5"/>
  <c r="G80" i="5"/>
  <c r="F80" i="5"/>
  <c r="G79" i="5"/>
  <c r="F79" i="5"/>
  <c r="G78" i="5"/>
  <c r="F78" i="5"/>
  <c r="F82" i="5" s="1"/>
  <c r="G76" i="5"/>
  <c r="F76" i="5"/>
  <c r="G75" i="5"/>
  <c r="F75" i="5"/>
  <c r="G74" i="5"/>
  <c r="G77" i="5" s="1"/>
  <c r="F74" i="5"/>
  <c r="F77" i="5" s="1"/>
  <c r="G69" i="5"/>
  <c r="F69" i="5"/>
  <c r="G67" i="5"/>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20" i="5"/>
  <c r="I19" i="5"/>
  <c r="J18" i="5"/>
  <c r="H18" i="5"/>
  <c r="H19" i="5" s="1"/>
  <c r="G17" i="5"/>
  <c r="F17" i="5"/>
  <c r="L16" i="5"/>
  <c r="K16" i="5"/>
  <c r="J16" i="5"/>
  <c r="I16" i="5"/>
  <c r="L15" i="5"/>
  <c r="L18" i="5" s="1"/>
  <c r="K15" i="5"/>
  <c r="K18" i="5" s="1"/>
  <c r="K19" i="5" s="1"/>
  <c r="J15" i="5"/>
  <c r="I15" i="5"/>
  <c r="I18" i="5" s="1"/>
  <c r="H15" i="5"/>
  <c r="H16" i="5" s="1"/>
  <c r="G15" i="5"/>
  <c r="G16" i="5" s="1"/>
  <c r="G14" i="5"/>
  <c r="F14" i="5"/>
  <c r="G13" i="5"/>
  <c r="I11" i="5"/>
  <c r="H11" i="5"/>
  <c r="F11" i="5"/>
  <c r="G92" i="4"/>
  <c r="F92" i="4"/>
  <c r="F87" i="4"/>
  <c r="G81" i="4"/>
  <c r="G73" i="4"/>
  <c r="F73" i="4"/>
  <c r="G72" i="4"/>
  <c r="F72" i="4"/>
  <c r="G70" i="4"/>
  <c r="F70" i="4"/>
  <c r="G68" i="4"/>
  <c r="F68" i="4"/>
  <c r="G67" i="4"/>
  <c r="F67" i="4"/>
  <c r="G66" i="4"/>
  <c r="F66" i="4"/>
  <c r="G65" i="4"/>
  <c r="G69" i="4" s="1"/>
  <c r="F65" i="4"/>
  <c r="F69" i="4" s="1"/>
  <c r="F71" i="4" s="1"/>
  <c r="F74" i="4" s="1"/>
  <c r="G63" i="4"/>
  <c r="F63" i="4"/>
  <c r="G62" i="4"/>
  <c r="F62" i="4"/>
  <c r="G61" i="4"/>
  <c r="G64" i="4" s="1"/>
  <c r="F61" i="4"/>
  <c r="F64" i="4" s="1"/>
  <c r="G56" i="4"/>
  <c r="F56" i="4"/>
  <c r="G54" i="4"/>
  <c r="F54" i="4"/>
  <c r="G50" i="4"/>
  <c r="F50" i="4"/>
  <c r="G49" i="4"/>
  <c r="F49" i="4"/>
  <c r="G48" i="4"/>
  <c r="F48" i="4"/>
  <c r="G47" i="4"/>
  <c r="G87" i="4" s="1"/>
  <c r="F47" i="4"/>
  <c r="F51" i="4" s="1"/>
  <c r="F57" i="4" s="1"/>
  <c r="G43" i="4"/>
  <c r="F43" i="4"/>
  <c r="G32" i="4"/>
  <c r="F32" i="4"/>
  <c r="G30" i="4"/>
  <c r="F30" i="4"/>
  <c r="G29" i="4"/>
  <c r="F29" i="4"/>
  <c r="C28" i="4"/>
  <c r="C27" i="4"/>
  <c r="C26" i="4"/>
  <c r="G21" i="4"/>
  <c r="F21" i="4"/>
  <c r="G20" i="4"/>
  <c r="F20" i="4"/>
  <c r="G17" i="4"/>
  <c r="F17" i="4"/>
  <c r="G14" i="4"/>
  <c r="F14" i="4"/>
  <c r="G13" i="4"/>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F141" i="10" s="1"/>
  <c r="E56" i="2"/>
  <c r="D56" i="2"/>
  <c r="E51" i="2"/>
  <c r="D51" i="2"/>
  <c r="D45" i="2"/>
  <c r="E45" i="2" s="1"/>
  <c r="E30" i="2"/>
  <c r="D30" i="2"/>
  <c r="E19" i="2"/>
  <c r="E13" i="2"/>
  <c r="D13" i="2"/>
  <c r="F102" i="6" l="1"/>
  <c r="G163" i="12"/>
  <c r="I119" i="7"/>
  <c r="I126" i="7" s="1"/>
  <c r="I20" i="7" s="1"/>
  <c r="H126" i="7"/>
  <c r="H20" i="7" s="1"/>
  <c r="J119" i="7"/>
  <c r="J126" i="7" s="1"/>
  <c r="J20" i="7" s="1"/>
  <c r="G108" i="7"/>
  <c r="G102" i="7"/>
  <c r="F84" i="14"/>
  <c r="F87" i="14" s="1"/>
  <c r="F44" i="8"/>
  <c r="H44" i="8" s="1"/>
  <c r="C260" i="18"/>
  <c r="C270" i="18"/>
  <c r="C281" i="18" s="1"/>
  <c r="C290" i="18" s="1"/>
  <c r="C212" i="18"/>
  <c r="C222" i="18" s="1"/>
  <c r="G150" i="11"/>
  <c r="H150" i="11" s="1"/>
  <c r="I150" i="11" s="1"/>
  <c r="J150" i="11" s="1"/>
  <c r="K150" i="11" s="1"/>
  <c r="L150" i="11" s="1"/>
  <c r="G133" i="11"/>
  <c r="F176" i="12"/>
  <c r="I187" i="12"/>
  <c r="H150" i="13"/>
  <c r="I150" i="13" s="1"/>
  <c r="J150" i="13" s="1"/>
  <c r="K150" i="13" s="1"/>
  <c r="L150" i="13" s="1"/>
  <c r="F138" i="18"/>
  <c r="F153" i="18"/>
  <c r="H153" i="18" s="1"/>
  <c r="I153" i="18" s="1"/>
  <c r="J153" i="18" s="1"/>
  <c r="K153" i="18" s="1"/>
  <c r="L153" i="18" s="1"/>
  <c r="F22" i="3"/>
  <c r="F31" i="3" s="1"/>
  <c r="F33" i="3" s="1"/>
  <c r="F34" i="3" s="1"/>
  <c r="F19" i="3"/>
  <c r="I56" i="5"/>
  <c r="J11" i="5"/>
  <c r="I56" i="8"/>
  <c r="J11" i="8"/>
  <c r="I117" i="8"/>
  <c r="C121" i="8" s="1"/>
  <c r="G117" i="10"/>
  <c r="G44" i="10"/>
  <c r="H69" i="11"/>
  <c r="G84" i="13"/>
  <c r="G87" i="13" s="1"/>
  <c r="G89" i="13" s="1"/>
  <c r="I155" i="14"/>
  <c r="J187" i="15"/>
  <c r="I187" i="15"/>
  <c r="K187" i="15"/>
  <c r="L187" i="15"/>
  <c r="H239" i="15"/>
  <c r="H241" i="15" s="1"/>
  <c r="G154" i="16"/>
  <c r="F64" i="8"/>
  <c r="F100" i="8"/>
  <c r="G77" i="8"/>
  <c r="I83" i="9"/>
  <c r="I157" i="9"/>
  <c r="G64" i="10"/>
  <c r="F82" i="11"/>
  <c r="I187" i="11"/>
  <c r="J187" i="11"/>
  <c r="G171" i="13"/>
  <c r="I48" i="15"/>
  <c r="J11" i="3"/>
  <c r="I43" i="3"/>
  <c r="I11" i="4"/>
  <c r="H43" i="4"/>
  <c r="J19" i="5"/>
  <c r="J22" i="5"/>
  <c r="J31" i="5" s="1"/>
  <c r="J33" i="5" s="1"/>
  <c r="J34" i="5" s="1"/>
  <c r="I117" i="6"/>
  <c r="C121" i="6" s="1"/>
  <c r="I56" i="6"/>
  <c r="J11" i="6"/>
  <c r="I84" i="8"/>
  <c r="F70" i="9"/>
  <c r="F146" i="9" s="1"/>
  <c r="F139" i="9"/>
  <c r="G120" i="10"/>
  <c r="F44" i="11"/>
  <c r="H44" i="11" s="1"/>
  <c r="G48" i="13"/>
  <c r="H48" i="13" s="1"/>
  <c r="G15" i="13"/>
  <c r="G163" i="13" s="1"/>
  <c r="G145" i="13"/>
  <c r="D187" i="13"/>
  <c r="G187" i="13" s="1"/>
  <c r="H187" i="13" s="1"/>
  <c r="H221" i="14"/>
  <c r="G236" i="14"/>
  <c r="H222" i="14"/>
  <c r="F126" i="19"/>
  <c r="F201" i="19"/>
  <c r="F96" i="19"/>
  <c r="F137" i="19"/>
  <c r="F77" i="19"/>
  <c r="F13" i="18"/>
  <c r="F162" i="16"/>
  <c r="F13" i="15"/>
  <c r="G41" i="15" s="1"/>
  <c r="H41" i="15" s="1"/>
  <c r="F13" i="19"/>
  <c r="F44" i="19" s="1"/>
  <c r="H44" i="19" s="1"/>
  <c r="F13" i="14"/>
  <c r="F13" i="17"/>
  <c r="F132" i="10"/>
  <c r="F13" i="13"/>
  <c r="F44" i="13" s="1"/>
  <c r="H44" i="13" s="1"/>
  <c r="F162" i="14"/>
  <c r="F13" i="11"/>
  <c r="F13" i="6"/>
  <c r="F15" i="6" s="1"/>
  <c r="F13" i="5"/>
  <c r="F15" i="5" s="1"/>
  <c r="F13" i="10"/>
  <c r="F13" i="4"/>
  <c r="F15" i="4" s="1"/>
  <c r="D19" i="2"/>
  <c r="F13" i="7"/>
  <c r="F15" i="7" s="1"/>
  <c r="F13" i="16"/>
  <c r="F94" i="7"/>
  <c r="F94" i="8"/>
  <c r="H69" i="9"/>
  <c r="I21" i="10"/>
  <c r="G150" i="12"/>
  <c r="I154" i="14"/>
  <c r="G146" i="15"/>
  <c r="G150" i="15" s="1"/>
  <c r="H150" i="15" s="1"/>
  <c r="I150" i="15" s="1"/>
  <c r="J150" i="15" s="1"/>
  <c r="K150" i="15" s="1"/>
  <c r="L150" i="15" s="1"/>
  <c r="G43" i="15"/>
  <c r="G154" i="15"/>
  <c r="F43" i="7"/>
  <c r="H43" i="7" s="1"/>
  <c r="G163" i="11"/>
  <c r="G133" i="10"/>
  <c r="G95" i="5"/>
  <c r="E34" i="2"/>
  <c r="G163" i="15"/>
  <c r="E21" i="2"/>
  <c r="G43" i="7"/>
  <c r="H21" i="8"/>
  <c r="H69" i="8"/>
  <c r="I157" i="10"/>
  <c r="J157" i="10" s="1"/>
  <c r="J126" i="11"/>
  <c r="J96" i="11"/>
  <c r="K11" i="11"/>
  <c r="J185" i="11"/>
  <c r="C190" i="11" s="1"/>
  <c r="J56" i="11"/>
  <c r="G43" i="13"/>
  <c r="I69" i="13"/>
  <c r="G258" i="18"/>
  <c r="H238" i="18"/>
  <c r="F84" i="7"/>
  <c r="F87" i="7" s="1"/>
  <c r="G84" i="9"/>
  <c r="G87" i="9" s="1"/>
  <c r="F135" i="13"/>
  <c r="F77" i="13"/>
  <c r="F84" i="13" s="1"/>
  <c r="F87" i="13" s="1"/>
  <c r="F89" i="13" s="1"/>
  <c r="F89" i="4"/>
  <c r="F95" i="4"/>
  <c r="F81" i="4"/>
  <c r="F64" i="5"/>
  <c r="F100" i="5"/>
  <c r="F84" i="5"/>
  <c r="F87" i="5" s="1"/>
  <c r="F103" i="7"/>
  <c r="F13" i="8"/>
  <c r="F15" i="8" s="1"/>
  <c r="G100" i="8"/>
  <c r="G64" i="8"/>
  <c r="G70" i="9"/>
  <c r="G146" i="9" s="1"/>
  <c r="G139" i="9"/>
  <c r="H69" i="10"/>
  <c r="F84" i="10"/>
  <c r="F87" i="10" s="1"/>
  <c r="F89" i="10" s="1"/>
  <c r="H120" i="10"/>
  <c r="I120" i="10" s="1"/>
  <c r="J120" i="10" s="1"/>
  <c r="K120" i="10" s="1"/>
  <c r="L120" i="10" s="1"/>
  <c r="F13" i="12"/>
  <c r="G64" i="12"/>
  <c r="G70" i="12" s="1"/>
  <c r="C236" i="13"/>
  <c r="C246" i="13"/>
  <c r="H102" i="14"/>
  <c r="H206" i="14"/>
  <c r="H209" i="14" s="1"/>
  <c r="G212" i="14"/>
  <c r="H250" i="18"/>
  <c r="H251" i="18" s="1"/>
  <c r="H212" i="18" s="1"/>
  <c r="G260" i="18"/>
  <c r="F44" i="7"/>
  <c r="G41" i="8"/>
  <c r="H41" i="8" s="1"/>
  <c r="G15" i="8"/>
  <c r="G94" i="8"/>
  <c r="G48" i="8"/>
  <c r="H48" i="8" s="1"/>
  <c r="I83" i="8"/>
  <c r="J83" i="8" s="1"/>
  <c r="I119" i="8"/>
  <c r="J11" i="9"/>
  <c r="I56" i="9"/>
  <c r="I96" i="9"/>
  <c r="G133" i="9"/>
  <c r="G121" i="10"/>
  <c r="H121" i="10" s="1"/>
  <c r="G64" i="11"/>
  <c r="F153" i="11"/>
  <c r="F147" i="11"/>
  <c r="G15" i="12"/>
  <c r="G145" i="12"/>
  <c r="H69" i="14"/>
  <c r="G70" i="15"/>
  <c r="G169" i="15"/>
  <c r="C260" i="15"/>
  <c r="C270" i="15"/>
  <c r="C212" i="15"/>
  <c r="C222" i="15" s="1"/>
  <c r="F96" i="17"/>
  <c r="F201" i="17"/>
  <c r="F126" i="17"/>
  <c r="G82" i="18"/>
  <c r="D79" i="2"/>
  <c r="G71" i="4"/>
  <c r="G74" i="4" s="1"/>
  <c r="F84" i="6"/>
  <c r="F87" i="6" s="1"/>
  <c r="F108" i="6" s="1"/>
  <c r="G119" i="10"/>
  <c r="G103" i="10"/>
  <c r="F123" i="10"/>
  <c r="G15" i="11"/>
  <c r="H21" i="11"/>
  <c r="G153" i="11"/>
  <c r="G147" i="11"/>
  <c r="G151" i="11" s="1"/>
  <c r="G154" i="12"/>
  <c r="G138" i="12"/>
  <c r="F155" i="13"/>
  <c r="H155" i="13" s="1"/>
  <c r="C210" i="16"/>
  <c r="C220" i="16" s="1"/>
  <c r="C258" i="16"/>
  <c r="C268" i="16"/>
  <c r="I155" i="18"/>
  <c r="G18" i="5"/>
  <c r="F13" i="9"/>
  <c r="G138" i="9"/>
  <c r="G105" i="10"/>
  <c r="G77" i="10"/>
  <c r="F64" i="11"/>
  <c r="F136" i="11"/>
  <c r="F154" i="11" s="1"/>
  <c r="F77" i="11"/>
  <c r="F84" i="11" s="1"/>
  <c r="F87" i="11" s="1"/>
  <c r="I185" i="13"/>
  <c r="C189" i="13" s="1"/>
  <c r="I126" i="13"/>
  <c r="I56" i="13"/>
  <c r="J11" i="13"/>
  <c r="I96" i="13"/>
  <c r="I201" i="13"/>
  <c r="G133" i="13"/>
  <c r="G149" i="13"/>
  <c r="G139" i="14"/>
  <c r="H85" i="16"/>
  <c r="I85" i="16" s="1"/>
  <c r="J85" i="16" s="1"/>
  <c r="K85" i="16" s="1"/>
  <c r="L85" i="16" s="1"/>
  <c r="G173" i="16"/>
  <c r="F171" i="16"/>
  <c r="F171" i="12"/>
  <c r="F171" i="13"/>
  <c r="F90" i="4"/>
  <c r="F171" i="14"/>
  <c r="F103" i="6"/>
  <c r="F103" i="5"/>
  <c r="D69" i="2"/>
  <c r="F141" i="9"/>
  <c r="F171" i="18"/>
  <c r="F88" i="4"/>
  <c r="H56" i="7"/>
  <c r="H117" i="7"/>
  <c r="C120" i="7" s="1"/>
  <c r="I11" i="7"/>
  <c r="G132" i="9"/>
  <c r="G15" i="9"/>
  <c r="G48" i="9"/>
  <c r="H48" i="9" s="1"/>
  <c r="G141" i="9"/>
  <c r="G43" i="10"/>
  <c r="G116" i="10"/>
  <c r="G136" i="11"/>
  <c r="G77" i="11"/>
  <c r="H102" i="15"/>
  <c r="H69" i="15"/>
  <c r="C259" i="16"/>
  <c r="C269" i="16"/>
  <c r="C211" i="16"/>
  <c r="C221" i="16" s="1"/>
  <c r="G77" i="17"/>
  <c r="G135" i="17"/>
  <c r="G64" i="18"/>
  <c r="G70" i="18" s="1"/>
  <c r="G131" i="18"/>
  <c r="G150" i="18" s="1"/>
  <c r="F44" i="16"/>
  <c r="H44" i="16" s="1"/>
  <c r="F147" i="16"/>
  <c r="F154" i="16" s="1"/>
  <c r="H154" i="16" s="1"/>
  <c r="F151" i="16"/>
  <c r="H151" i="16" s="1"/>
  <c r="K185" i="19"/>
  <c r="C191" i="19" s="1"/>
  <c r="K201" i="19"/>
  <c r="K126" i="19"/>
  <c r="K96" i="19"/>
  <c r="L11" i="19"/>
  <c r="K56" i="19"/>
  <c r="F170" i="19"/>
  <c r="F170" i="17"/>
  <c r="F170" i="12"/>
  <c r="F140" i="10"/>
  <c r="G77" i="7"/>
  <c r="G84" i="7" s="1"/>
  <c r="G87" i="7" s="1"/>
  <c r="I109" i="9"/>
  <c r="F124" i="10"/>
  <c r="F82" i="10"/>
  <c r="F126" i="11"/>
  <c r="F96" i="11"/>
  <c r="G162" i="11"/>
  <c r="F147" i="12"/>
  <c r="F151" i="12" s="1"/>
  <c r="F44" i="12"/>
  <c r="H44" i="12" s="1"/>
  <c r="G82" i="12"/>
  <c r="F168" i="14"/>
  <c r="F64" i="14"/>
  <c r="I151" i="14"/>
  <c r="G145" i="15"/>
  <c r="H244" i="15"/>
  <c r="G259" i="15"/>
  <c r="G147" i="16"/>
  <c r="G151" i="16" s="1"/>
  <c r="G44" i="16"/>
  <c r="H250" i="16"/>
  <c r="G260" i="16"/>
  <c r="F133" i="16"/>
  <c r="C270" i="17"/>
  <c r="C281" i="17" s="1"/>
  <c r="C290" i="17" s="1"/>
  <c r="H229" i="18"/>
  <c r="G235" i="18"/>
  <c r="G130" i="19"/>
  <c r="G64" i="19"/>
  <c r="G70" i="19" s="1"/>
  <c r="G176" i="19" s="1"/>
  <c r="G151" i="15"/>
  <c r="F154" i="17"/>
  <c r="J279" i="18"/>
  <c r="C269" i="15"/>
  <c r="C211" i="15"/>
  <c r="C221" i="15" s="1"/>
  <c r="C259" i="15"/>
  <c r="F155" i="16"/>
  <c r="K22" i="5"/>
  <c r="K31" i="5" s="1"/>
  <c r="K33" i="5" s="1"/>
  <c r="K34" i="5" s="1"/>
  <c r="G44" i="6"/>
  <c r="G170" i="12"/>
  <c r="G170" i="13"/>
  <c r="G140" i="9"/>
  <c r="G170" i="17"/>
  <c r="G22" i="3"/>
  <c r="G31" i="3" s="1"/>
  <c r="G33" i="3" s="1"/>
  <c r="G34" i="3" s="1"/>
  <c r="G51" i="4"/>
  <c r="H117" i="5"/>
  <c r="C120" i="5" s="1"/>
  <c r="H56" i="5"/>
  <c r="L19" i="5"/>
  <c r="L22" i="5"/>
  <c r="L31" i="5" s="1"/>
  <c r="L33" i="5" s="1"/>
  <c r="L34" i="5" s="1"/>
  <c r="F43" i="8"/>
  <c r="H43" i="8" s="1"/>
  <c r="F43" i="9"/>
  <c r="H43" i="9" s="1"/>
  <c r="I11" i="10"/>
  <c r="G82" i="10"/>
  <c r="G48" i="11"/>
  <c r="H48" i="11" s="1"/>
  <c r="G155" i="11"/>
  <c r="G82" i="11"/>
  <c r="G146" i="12"/>
  <c r="G153" i="12" s="1"/>
  <c r="H153" i="12" s="1"/>
  <c r="I153" i="12" s="1"/>
  <c r="J153" i="12" s="1"/>
  <c r="K153" i="12" s="1"/>
  <c r="L153" i="12" s="1"/>
  <c r="G43" i="12"/>
  <c r="G44" i="12"/>
  <c r="G147" i="12"/>
  <c r="I21" i="13"/>
  <c r="F130" i="13"/>
  <c r="F170" i="13"/>
  <c r="G168" i="14"/>
  <c r="G64" i="14"/>
  <c r="H216" i="14"/>
  <c r="H215" i="14"/>
  <c r="G235" i="14"/>
  <c r="F133" i="14"/>
  <c r="H81" i="14"/>
  <c r="I227" i="14"/>
  <c r="G168" i="15"/>
  <c r="G150" i="16"/>
  <c r="H150" i="16" s="1"/>
  <c r="I150" i="16" s="1"/>
  <c r="J150" i="16" s="1"/>
  <c r="K150" i="16" s="1"/>
  <c r="L150" i="16" s="1"/>
  <c r="G171" i="14"/>
  <c r="G171" i="16"/>
  <c r="G171" i="11"/>
  <c r="G171" i="19"/>
  <c r="G90" i="4"/>
  <c r="G103" i="6"/>
  <c r="G171" i="17"/>
  <c r="E69" i="2"/>
  <c r="G84" i="6"/>
  <c r="G87" i="6" s="1"/>
  <c r="G108" i="6" s="1"/>
  <c r="H70" i="7"/>
  <c r="G141" i="10"/>
  <c r="F168" i="11"/>
  <c r="G48" i="12"/>
  <c r="H48" i="12" s="1"/>
  <c r="G153" i="13"/>
  <c r="G138" i="13"/>
  <c r="H251" i="15"/>
  <c r="G260" i="15"/>
  <c r="H229" i="15"/>
  <c r="H232" i="15" s="1"/>
  <c r="G235" i="15"/>
  <c r="H250" i="15"/>
  <c r="G153" i="18"/>
  <c r="G138" i="18"/>
  <c r="L279" i="19"/>
  <c r="I119" i="6"/>
  <c r="I84" i="7"/>
  <c r="I87" i="7" s="1"/>
  <c r="G15" i="10"/>
  <c r="G41" i="10"/>
  <c r="H41" i="10" s="1"/>
  <c r="G48" i="10"/>
  <c r="H48" i="10" s="1"/>
  <c r="H201" i="14"/>
  <c r="H96" i="14"/>
  <c r="H56" i="14"/>
  <c r="H126" i="14"/>
  <c r="C237" i="14"/>
  <c r="C247" i="14"/>
  <c r="H244" i="16"/>
  <c r="F155" i="17"/>
  <c r="H155" i="17" s="1"/>
  <c r="J119" i="6"/>
  <c r="J126" i="6" s="1"/>
  <c r="J20" i="6" s="1"/>
  <c r="H126" i="12"/>
  <c r="H185" i="12"/>
  <c r="C188" i="12" s="1"/>
  <c r="H56" i="12"/>
  <c r="H21" i="12"/>
  <c r="F201" i="13"/>
  <c r="F126" i="13"/>
  <c r="F96" i="13"/>
  <c r="I11" i="14"/>
  <c r="G149" i="15"/>
  <c r="F135" i="16"/>
  <c r="F77" i="16"/>
  <c r="F84" i="16" s="1"/>
  <c r="F87" i="16" s="1"/>
  <c r="G173" i="19"/>
  <c r="G173" i="18"/>
  <c r="G173" i="12"/>
  <c r="G173" i="14"/>
  <c r="G105" i="8"/>
  <c r="G173" i="15"/>
  <c r="G173" i="17"/>
  <c r="G105" i="7"/>
  <c r="G173" i="13"/>
  <c r="G173" i="11"/>
  <c r="G15" i="4"/>
  <c r="G82" i="4" s="1"/>
  <c r="G103" i="5"/>
  <c r="F64" i="7"/>
  <c r="F70" i="7" s="1"/>
  <c r="F77" i="8"/>
  <c r="F77" i="9"/>
  <c r="F84" i="9" s="1"/>
  <c r="F87" i="9" s="1"/>
  <c r="I11" i="12"/>
  <c r="H96" i="13"/>
  <c r="H126" i="13"/>
  <c r="H185" i="13"/>
  <c r="C188" i="13" s="1"/>
  <c r="G150" i="14"/>
  <c r="H150" i="14" s="1"/>
  <c r="I150" i="14" s="1"/>
  <c r="J150" i="14" s="1"/>
  <c r="K150" i="14" s="1"/>
  <c r="L150" i="14" s="1"/>
  <c r="G15" i="15"/>
  <c r="H102" i="17"/>
  <c r="G162" i="19"/>
  <c r="G162" i="15"/>
  <c r="G13" i="18"/>
  <c r="G162" i="12"/>
  <c r="G13" i="17"/>
  <c r="G162" i="17" s="1"/>
  <c r="G13" i="19"/>
  <c r="G13" i="7"/>
  <c r="G13" i="6"/>
  <c r="G64" i="5"/>
  <c r="F101" i="6"/>
  <c r="F139" i="10"/>
  <c r="F82" i="12"/>
  <c r="F84" i="12" s="1"/>
  <c r="F87" i="12" s="1"/>
  <c r="F89" i="12" s="1"/>
  <c r="G162" i="13"/>
  <c r="I228" i="14"/>
  <c r="F130" i="15"/>
  <c r="F64" i="15"/>
  <c r="F70" i="15" s="1"/>
  <c r="G13" i="16"/>
  <c r="F133" i="17"/>
  <c r="D187" i="18"/>
  <c r="G187" i="18" s="1"/>
  <c r="H187" i="18" s="1"/>
  <c r="F133" i="19"/>
  <c r="F139" i="19" s="1"/>
  <c r="F173" i="19"/>
  <c r="F173" i="17"/>
  <c r="F173" i="18"/>
  <c r="F173" i="15"/>
  <c r="F143" i="9"/>
  <c r="F105" i="7"/>
  <c r="F173" i="16"/>
  <c r="F147" i="13"/>
  <c r="F151" i="13" s="1"/>
  <c r="H151" i="13" s="1"/>
  <c r="C235" i="13"/>
  <c r="G13" i="14"/>
  <c r="G48" i="16"/>
  <c r="H48" i="16" s="1"/>
  <c r="G84" i="16"/>
  <c r="G87" i="16" s="1"/>
  <c r="G146" i="17"/>
  <c r="G150" i="17" s="1"/>
  <c r="H150" i="17" s="1"/>
  <c r="I150" i="17" s="1"/>
  <c r="J150" i="17" s="1"/>
  <c r="K150" i="17" s="1"/>
  <c r="L150" i="17" s="1"/>
  <c r="G64" i="17"/>
  <c r="G70" i="17" s="1"/>
  <c r="F64" i="17"/>
  <c r="F70" i="17" s="1"/>
  <c r="F153" i="17"/>
  <c r="F138" i="17"/>
  <c r="H69" i="18"/>
  <c r="G154" i="17"/>
  <c r="C211" i="17"/>
  <c r="C221" i="17" s="1"/>
  <c r="C259" i="17"/>
  <c r="C269" i="17"/>
  <c r="C280" i="17" s="1"/>
  <c r="C289" i="17" s="1"/>
  <c r="C211" i="19"/>
  <c r="C221" i="19" s="1"/>
  <c r="C259" i="19"/>
  <c r="C269" i="19"/>
  <c r="C280" i="19" s="1"/>
  <c r="C289" i="19" s="1"/>
  <c r="F169" i="19"/>
  <c r="F169" i="17"/>
  <c r="F169" i="15"/>
  <c r="F169" i="13"/>
  <c r="D78" i="2"/>
  <c r="F101" i="7"/>
  <c r="G149" i="12"/>
  <c r="G133" i="12"/>
  <c r="I187" i="14"/>
  <c r="F153" i="14"/>
  <c r="F138" i="14"/>
  <c r="G147" i="15"/>
  <c r="G155" i="15" s="1"/>
  <c r="G44" i="15"/>
  <c r="F77" i="15"/>
  <c r="F84" i="15" s="1"/>
  <c r="F87" i="15" s="1"/>
  <c r="F89" i="15" s="1"/>
  <c r="F135" i="15"/>
  <c r="F155" i="15"/>
  <c r="H155" i="15" s="1"/>
  <c r="C270" i="16"/>
  <c r="C212" i="16"/>
  <c r="C222" i="16" s="1"/>
  <c r="G133" i="16"/>
  <c r="I187" i="17"/>
  <c r="J187" i="17"/>
  <c r="H150" i="18"/>
  <c r="I150" i="18" s="1"/>
  <c r="J150" i="18" s="1"/>
  <c r="K150" i="18" s="1"/>
  <c r="L150" i="18" s="1"/>
  <c r="G169" i="17"/>
  <c r="G169" i="13"/>
  <c r="E78" i="2"/>
  <c r="G101" i="7"/>
  <c r="F105" i="8"/>
  <c r="F143" i="10"/>
  <c r="F150" i="12"/>
  <c r="H150" i="12" s="1"/>
  <c r="I150" i="12" s="1"/>
  <c r="J150" i="12" s="1"/>
  <c r="K150" i="12" s="1"/>
  <c r="L150" i="12" s="1"/>
  <c r="G77" i="12"/>
  <c r="G84" i="12" s="1"/>
  <c r="G87" i="12" s="1"/>
  <c r="G89" i="12" s="1"/>
  <c r="G153" i="14"/>
  <c r="G138" i="14"/>
  <c r="G77" i="15"/>
  <c r="G135" i="15"/>
  <c r="G138" i="16"/>
  <c r="K201" i="18"/>
  <c r="K96" i="18"/>
  <c r="L11" i="18"/>
  <c r="K56" i="18"/>
  <c r="K126" i="18"/>
  <c r="H126" i="15"/>
  <c r="I11" i="15"/>
  <c r="G82" i="15"/>
  <c r="H185" i="15"/>
  <c r="C188" i="15" s="1"/>
  <c r="H238" i="17"/>
  <c r="G258" i="17"/>
  <c r="H250" i="17"/>
  <c r="J126" i="18"/>
  <c r="J56" i="18"/>
  <c r="F133" i="12"/>
  <c r="F139" i="12" s="1"/>
  <c r="F147" i="15"/>
  <c r="F154" i="15" s="1"/>
  <c r="H154" i="15" s="1"/>
  <c r="J185" i="16"/>
  <c r="C190" i="16" s="1"/>
  <c r="J96" i="16"/>
  <c r="K11" i="16"/>
  <c r="J201" i="16"/>
  <c r="C210" i="17"/>
  <c r="C220" i="17" s="1"/>
  <c r="C258" i="17"/>
  <c r="C268" i="17"/>
  <c r="C279" i="17" s="1"/>
  <c r="C288" i="17" s="1"/>
  <c r="G48" i="19"/>
  <c r="H48" i="19" s="1"/>
  <c r="G44" i="13"/>
  <c r="I185" i="16"/>
  <c r="C189" i="16" s="1"/>
  <c r="I56" i="16"/>
  <c r="G155" i="16"/>
  <c r="G258" i="16"/>
  <c r="G82" i="16"/>
  <c r="J187" i="16"/>
  <c r="I201" i="16"/>
  <c r="H239" i="16"/>
  <c r="H210" i="16" s="1"/>
  <c r="I56" i="18"/>
  <c r="I96" i="18"/>
  <c r="J276" i="18"/>
  <c r="G137" i="19"/>
  <c r="G77" i="19"/>
  <c r="G84" i="19" s="1"/>
  <c r="G87" i="19" s="1"/>
  <c r="F133" i="18"/>
  <c r="F139" i="18" s="1"/>
  <c r="F43" i="13"/>
  <c r="H43" i="13" s="1"/>
  <c r="G64" i="13"/>
  <c r="G70" i="13" s="1"/>
  <c r="F44" i="14"/>
  <c r="G64" i="16"/>
  <c r="H21" i="16"/>
  <c r="H245" i="17"/>
  <c r="H211" i="17" s="1"/>
  <c r="K280" i="19"/>
  <c r="G43" i="16"/>
  <c r="F168" i="16"/>
  <c r="F64" i="16"/>
  <c r="H69" i="17"/>
  <c r="I21" i="17" s="1"/>
  <c r="F151" i="17"/>
  <c r="H151" i="17" s="1"/>
  <c r="G77" i="18"/>
  <c r="G84" i="18" s="1"/>
  <c r="G87" i="18" s="1"/>
  <c r="G89" i="18" s="1"/>
  <c r="C210" i="18"/>
  <c r="C220" i="18" s="1"/>
  <c r="C258" i="18"/>
  <c r="I278" i="18"/>
  <c r="F138" i="19"/>
  <c r="H56" i="17"/>
  <c r="H201" i="17"/>
  <c r="H126" i="17"/>
  <c r="I11" i="17"/>
  <c r="H185" i="17"/>
  <c r="C188" i="17" s="1"/>
  <c r="G154" i="18"/>
  <c r="H154" i="18" s="1"/>
  <c r="D187" i="19"/>
  <c r="G187" i="19" s="1"/>
  <c r="H187" i="19" s="1"/>
  <c r="I281" i="19"/>
  <c r="G259" i="18"/>
  <c r="H245" i="18"/>
  <c r="G151" i="18"/>
  <c r="H151" i="18" s="1"/>
  <c r="C269" i="18"/>
  <c r="C280" i="18" s="1"/>
  <c r="C289" i="18" s="1"/>
  <c r="H238" i="19"/>
  <c r="G258" i="19"/>
  <c r="G154" i="19"/>
  <c r="F147" i="19"/>
  <c r="F154" i="19" s="1"/>
  <c r="H154" i="19" s="1"/>
  <c r="J278" i="19"/>
  <c r="I280" i="18"/>
  <c r="F146" i="19"/>
  <c r="F153" i="19" s="1"/>
  <c r="H153" i="19" s="1"/>
  <c r="I153" i="19" s="1"/>
  <c r="J153" i="19" s="1"/>
  <c r="K153" i="19" s="1"/>
  <c r="L153" i="19" s="1"/>
  <c r="G147" i="19"/>
  <c r="G44" i="19"/>
  <c r="C258" i="19"/>
  <c r="C268" i="19"/>
  <c r="C279" i="19" s="1"/>
  <c r="C288" i="19" s="1"/>
  <c r="C210" i="19"/>
  <c r="C220" i="19" s="1"/>
  <c r="F77" i="17"/>
  <c r="F84" i="17" s="1"/>
  <c r="F87" i="17" s="1"/>
  <c r="F89" i="17" s="1"/>
  <c r="F64" i="18"/>
  <c r="F70" i="18" s="1"/>
  <c r="F84" i="18"/>
  <c r="F87" i="18" s="1"/>
  <c r="F89" i="18" s="1"/>
  <c r="J185" i="19"/>
  <c r="C190" i="19" s="1"/>
  <c r="J56" i="19"/>
  <c r="G133" i="17"/>
  <c r="F82" i="19"/>
  <c r="H244" i="19"/>
  <c r="I96" i="19"/>
  <c r="I126" i="19"/>
  <c r="F64" i="19"/>
  <c r="F70" i="19" s="1"/>
  <c r="G82" i="17"/>
  <c r="G232" i="17"/>
  <c r="H102" i="19"/>
  <c r="H69" i="19"/>
  <c r="G151" i="19"/>
  <c r="G260" i="19"/>
  <c r="I238" i="15" l="1"/>
  <c r="H79" i="15"/>
  <c r="I154" i="15"/>
  <c r="I44" i="13"/>
  <c r="I154" i="18"/>
  <c r="I102" i="17"/>
  <c r="I154" i="19"/>
  <c r="I44" i="19"/>
  <c r="K157" i="9"/>
  <c r="I41" i="15"/>
  <c r="H13" i="15"/>
  <c r="L187" i="17"/>
  <c r="I154" i="16"/>
  <c r="I121" i="10"/>
  <c r="I151" i="18"/>
  <c r="J280" i="18"/>
  <c r="L185" i="18"/>
  <c r="C192" i="18" s="1"/>
  <c r="L201" i="18"/>
  <c r="L96" i="18"/>
  <c r="L126" i="18"/>
  <c r="L56" i="18"/>
  <c r="I155" i="15"/>
  <c r="H13" i="10"/>
  <c r="I41" i="10"/>
  <c r="G169" i="19"/>
  <c r="F169" i="11"/>
  <c r="F70" i="11"/>
  <c r="H36" i="10"/>
  <c r="I48" i="10"/>
  <c r="I151" i="17"/>
  <c r="H78" i="15"/>
  <c r="H235" i="15"/>
  <c r="I229" i="15"/>
  <c r="I232" i="15" s="1"/>
  <c r="I96" i="17"/>
  <c r="J11" i="17"/>
  <c r="I56" i="17"/>
  <c r="I201" i="17"/>
  <c r="I185" i="17"/>
  <c r="C189" i="17" s="1"/>
  <c r="I126" i="17"/>
  <c r="G133" i="19"/>
  <c r="G139" i="19" s="1"/>
  <c r="G141" i="19" s="1"/>
  <c r="G149" i="19"/>
  <c r="K278" i="19"/>
  <c r="I230" i="14"/>
  <c r="G170" i="19"/>
  <c r="G18" i="9"/>
  <c r="G16" i="9"/>
  <c r="F171" i="15"/>
  <c r="H239" i="19"/>
  <c r="H210" i="19" s="1"/>
  <c r="G145" i="14"/>
  <c r="G149" i="14" s="1"/>
  <c r="G41" i="14"/>
  <c r="H41" i="14" s="1"/>
  <c r="G44" i="14"/>
  <c r="H44" i="14" s="1"/>
  <c r="G15" i="14"/>
  <c r="G48" i="14"/>
  <c r="H48" i="14" s="1"/>
  <c r="I126" i="6"/>
  <c r="I20" i="6" s="1"/>
  <c r="I69" i="19"/>
  <c r="J187" i="18"/>
  <c r="K187" i="18"/>
  <c r="I187" i="18"/>
  <c r="L187" i="18" s="1"/>
  <c r="F89" i="9"/>
  <c r="H102" i="12"/>
  <c r="F139" i="14"/>
  <c r="J21" i="13"/>
  <c r="J69" i="13" s="1"/>
  <c r="I102" i="13"/>
  <c r="I43" i="8"/>
  <c r="J151" i="14"/>
  <c r="H124" i="10"/>
  <c r="I117" i="7"/>
  <c r="C121" i="7" s="1"/>
  <c r="I56" i="7"/>
  <c r="J11" i="7"/>
  <c r="G139" i="13"/>
  <c r="G16" i="12"/>
  <c r="G18" i="12"/>
  <c r="F43" i="16"/>
  <c r="H43" i="16" s="1"/>
  <c r="F145" i="16"/>
  <c r="F149" i="16" s="1"/>
  <c r="F15" i="16"/>
  <c r="F84" i="19"/>
  <c r="F87" i="19" s="1"/>
  <c r="F89" i="19" s="1"/>
  <c r="K201" i="16"/>
  <c r="L11" i="16"/>
  <c r="K185" i="16"/>
  <c r="C191" i="16" s="1"/>
  <c r="K126" i="16"/>
  <c r="K56" i="16"/>
  <c r="K96" i="16"/>
  <c r="G18" i="8"/>
  <c r="G16" i="8"/>
  <c r="F145" i="12"/>
  <c r="F149" i="12" s="1"/>
  <c r="H149" i="12" s="1"/>
  <c r="I149" i="12" s="1"/>
  <c r="J149" i="12" s="1"/>
  <c r="K149" i="12" s="1"/>
  <c r="L149" i="12" s="1"/>
  <c r="F43" i="12"/>
  <c r="H43" i="12" s="1"/>
  <c r="F15" i="12"/>
  <c r="F163" i="12" s="1"/>
  <c r="G95" i="8"/>
  <c r="F16" i="5"/>
  <c r="F18" i="5"/>
  <c r="F70" i="8"/>
  <c r="F101" i="8"/>
  <c r="I43" i="13"/>
  <c r="G169" i="14"/>
  <c r="G70" i="14"/>
  <c r="F172" i="15"/>
  <c r="F172" i="14"/>
  <c r="F172" i="18"/>
  <c r="F172" i="16"/>
  <c r="F104" i="6"/>
  <c r="F172" i="12"/>
  <c r="F104" i="5"/>
  <c r="F142" i="10"/>
  <c r="F172" i="13"/>
  <c r="F142" i="9"/>
  <c r="F104" i="7"/>
  <c r="F172" i="17"/>
  <c r="F91" i="4"/>
  <c r="D76" i="2"/>
  <c r="D81" i="2" s="1"/>
  <c r="F172" i="11"/>
  <c r="I69" i="9"/>
  <c r="I69" i="17"/>
  <c r="J21" i="17" s="1"/>
  <c r="F138" i="15"/>
  <c r="F153" i="15"/>
  <c r="I155" i="17"/>
  <c r="I48" i="11"/>
  <c r="H155" i="16"/>
  <c r="I151" i="16"/>
  <c r="F162" i="19"/>
  <c r="J11" i="4"/>
  <c r="I43" i="4"/>
  <c r="F176" i="18"/>
  <c r="F169" i="16"/>
  <c r="F70" i="16"/>
  <c r="H102" i="16"/>
  <c r="I48" i="16"/>
  <c r="G41" i="18"/>
  <c r="H41" i="18" s="1"/>
  <c r="G145" i="18"/>
  <c r="G149" i="18" s="1"/>
  <c r="G48" i="18"/>
  <c r="H48" i="18" s="1"/>
  <c r="G44" i="18"/>
  <c r="G15" i="18"/>
  <c r="G43" i="18"/>
  <c r="I69" i="15"/>
  <c r="I155" i="13"/>
  <c r="I69" i="14"/>
  <c r="I69" i="10"/>
  <c r="H239" i="18"/>
  <c r="H210" i="18" s="1"/>
  <c r="H213" i="18" s="1"/>
  <c r="I43" i="7"/>
  <c r="F162" i="12"/>
  <c r="F15" i="11"/>
  <c r="F145" i="11"/>
  <c r="F149" i="11" s="1"/>
  <c r="H149" i="11" s="1"/>
  <c r="I149" i="11" s="1"/>
  <c r="J149" i="11" s="1"/>
  <c r="K149" i="11" s="1"/>
  <c r="L149" i="11" s="1"/>
  <c r="F43" i="11"/>
  <c r="H43" i="11" s="1"/>
  <c r="K119" i="7"/>
  <c r="K126" i="7" s="1"/>
  <c r="K20" i="7" s="1"/>
  <c r="H211" i="18"/>
  <c r="F44" i="15"/>
  <c r="H44" i="15" s="1"/>
  <c r="I96" i="12"/>
  <c r="I126" i="12"/>
  <c r="J11" i="12"/>
  <c r="I56" i="12"/>
  <c r="I185" i="12"/>
  <c r="C189" i="12" s="1"/>
  <c r="I56" i="10"/>
  <c r="J11" i="10"/>
  <c r="I96" i="10"/>
  <c r="I155" i="10"/>
  <c r="C159" i="10" s="1"/>
  <c r="I44" i="16"/>
  <c r="G141" i="14"/>
  <c r="G84" i="10"/>
  <c r="G87" i="10" s="1"/>
  <c r="F154" i="12"/>
  <c r="H154" i="12" s="1"/>
  <c r="K11" i="9"/>
  <c r="J96" i="9"/>
  <c r="J56" i="9"/>
  <c r="J155" i="9"/>
  <c r="C160" i="9" s="1"/>
  <c r="I206" i="14"/>
  <c r="I209" i="14" s="1"/>
  <c r="H78" i="14"/>
  <c r="H212" i="14"/>
  <c r="I69" i="8"/>
  <c r="F162" i="11"/>
  <c r="F145" i="18"/>
  <c r="F149" i="18" s="1"/>
  <c r="F15" i="18"/>
  <c r="F44" i="18"/>
  <c r="H44" i="18" s="1"/>
  <c r="F43" i="18"/>
  <c r="H224" i="14"/>
  <c r="K11" i="3"/>
  <c r="J43" i="3"/>
  <c r="G125" i="10"/>
  <c r="H125" i="10" s="1"/>
  <c r="G124" i="10"/>
  <c r="F149" i="13"/>
  <c r="H149" i="13" s="1"/>
  <c r="I149" i="13" s="1"/>
  <c r="J149" i="13" s="1"/>
  <c r="K149" i="13" s="1"/>
  <c r="L149" i="13" s="1"/>
  <c r="F133" i="13"/>
  <c r="I43" i="9"/>
  <c r="F170" i="18"/>
  <c r="F44" i="6"/>
  <c r="H44" i="6" s="1"/>
  <c r="I21" i="15"/>
  <c r="G108" i="10"/>
  <c r="G123" i="10"/>
  <c r="I21" i="14"/>
  <c r="I21" i="8"/>
  <c r="F15" i="13"/>
  <c r="F145" i="13"/>
  <c r="F162" i="18"/>
  <c r="G139" i="10"/>
  <c r="G70" i="10"/>
  <c r="H245" i="19"/>
  <c r="I21" i="19"/>
  <c r="F150" i="19"/>
  <c r="H150" i="19" s="1"/>
  <c r="I150" i="19" s="1"/>
  <c r="J150" i="19" s="1"/>
  <c r="K150" i="19" s="1"/>
  <c r="L150" i="19" s="1"/>
  <c r="G169" i="16"/>
  <c r="G70" i="16"/>
  <c r="H153" i="14"/>
  <c r="I153" i="14" s="1"/>
  <c r="J153" i="14" s="1"/>
  <c r="K153" i="14" s="1"/>
  <c r="L153" i="14" s="1"/>
  <c r="I21" i="18"/>
  <c r="I151" i="13"/>
  <c r="F171" i="11"/>
  <c r="F15" i="9"/>
  <c r="F44" i="9"/>
  <c r="H44" i="9" s="1"/>
  <c r="G41" i="9"/>
  <c r="H41" i="9" s="1"/>
  <c r="G41" i="12"/>
  <c r="H41" i="12" s="1"/>
  <c r="G43" i="14"/>
  <c r="G70" i="8"/>
  <c r="G101" i="8"/>
  <c r="F153" i="13"/>
  <c r="H153" i="13" s="1"/>
  <c r="I153" i="13" s="1"/>
  <c r="J153" i="13" s="1"/>
  <c r="K153" i="13" s="1"/>
  <c r="L153" i="13" s="1"/>
  <c r="F138" i="13"/>
  <c r="K96" i="11"/>
  <c r="K185" i="11"/>
  <c r="C191" i="11" s="1"/>
  <c r="L11" i="11"/>
  <c r="K126" i="11"/>
  <c r="K56" i="11"/>
  <c r="F43" i="6"/>
  <c r="J278" i="18"/>
  <c r="L280" i="19"/>
  <c r="G153" i="15"/>
  <c r="G138" i="15"/>
  <c r="G139" i="15" s="1"/>
  <c r="K187" i="14"/>
  <c r="F108" i="7"/>
  <c r="F102" i="7"/>
  <c r="K279" i="18"/>
  <c r="G176" i="18"/>
  <c r="I21" i="11"/>
  <c r="F151" i="11"/>
  <c r="H151" i="11" s="1"/>
  <c r="F155" i="11"/>
  <c r="H155" i="11" s="1"/>
  <c r="F132" i="9"/>
  <c r="J56" i="6"/>
  <c r="J117" i="6"/>
  <c r="C122" i="6" s="1"/>
  <c r="K11" i="6"/>
  <c r="J157" i="9"/>
  <c r="I44" i="8"/>
  <c r="G139" i="17"/>
  <c r="G89" i="19"/>
  <c r="G84" i="15"/>
  <c r="G87" i="15" s="1"/>
  <c r="G89" i="15" s="1"/>
  <c r="K187" i="16"/>
  <c r="L187" i="16" s="1"/>
  <c r="J187" i="14"/>
  <c r="F151" i="19"/>
  <c r="H151" i="19" s="1"/>
  <c r="H153" i="17"/>
  <c r="I153" i="17" s="1"/>
  <c r="J153" i="17" s="1"/>
  <c r="K153" i="17" s="1"/>
  <c r="L153" i="17" s="1"/>
  <c r="G44" i="7"/>
  <c r="H44" i="7" s="1"/>
  <c r="G15" i="7"/>
  <c r="G94" i="7"/>
  <c r="G41" i="7"/>
  <c r="H41" i="7" s="1"/>
  <c r="G171" i="15"/>
  <c r="K119" i="6"/>
  <c r="K126" i="6" s="1"/>
  <c r="K20" i="6" s="1"/>
  <c r="I48" i="12"/>
  <c r="G170" i="15"/>
  <c r="H154" i="17"/>
  <c r="H245" i="15"/>
  <c r="H247" i="15" s="1"/>
  <c r="L126" i="19"/>
  <c r="L201" i="19"/>
  <c r="L96" i="19"/>
  <c r="L185" i="19"/>
  <c r="C192" i="19" s="1"/>
  <c r="L56" i="19"/>
  <c r="F151" i="15"/>
  <c r="H151" i="15" s="1"/>
  <c r="G154" i="11"/>
  <c r="H154" i="11" s="1"/>
  <c r="G138" i="11"/>
  <c r="J185" i="13"/>
  <c r="C190" i="13" s="1"/>
  <c r="K11" i="13"/>
  <c r="J96" i="13"/>
  <c r="J56" i="13"/>
  <c r="J201" i="13"/>
  <c r="J126" i="13"/>
  <c r="G16" i="11"/>
  <c r="G18" i="11"/>
  <c r="F138" i="11"/>
  <c r="F139" i="11" s="1"/>
  <c r="J84" i="8"/>
  <c r="K83" i="8"/>
  <c r="F16" i="8"/>
  <c r="F18" i="8"/>
  <c r="E39" i="2"/>
  <c r="E36" i="2"/>
  <c r="F163" i="17"/>
  <c r="F163" i="14"/>
  <c r="F163" i="16"/>
  <c r="F95" i="6"/>
  <c r="F82" i="4"/>
  <c r="F163" i="13"/>
  <c r="F95" i="7"/>
  <c r="F163" i="11"/>
  <c r="D34" i="2"/>
  <c r="F95" i="8"/>
  <c r="F95" i="5"/>
  <c r="F133" i="9"/>
  <c r="D21" i="2"/>
  <c r="F162" i="13"/>
  <c r="F176" i="13"/>
  <c r="J83" i="9"/>
  <c r="I84" i="9"/>
  <c r="J155" i="14"/>
  <c r="K11" i="8"/>
  <c r="J56" i="8"/>
  <c r="J117" i="8"/>
  <c r="C122" i="8" s="1"/>
  <c r="J187" i="12"/>
  <c r="K187" i="12" s="1"/>
  <c r="I21" i="9"/>
  <c r="G155" i="19"/>
  <c r="G138" i="19"/>
  <c r="H239" i="17"/>
  <c r="H210" i="17" s="1"/>
  <c r="G162" i="18"/>
  <c r="G169" i="12"/>
  <c r="G139" i="16"/>
  <c r="F176" i="17"/>
  <c r="G145" i="16"/>
  <c r="G149" i="16" s="1"/>
  <c r="G15" i="16"/>
  <c r="G162" i="16"/>
  <c r="G41" i="16"/>
  <c r="H41" i="16" s="1"/>
  <c r="G43" i="19"/>
  <c r="G15" i="19"/>
  <c r="G145" i="19"/>
  <c r="G41" i="19"/>
  <c r="H41" i="19" s="1"/>
  <c r="G18" i="15"/>
  <c r="G16" i="15"/>
  <c r="H245" i="16"/>
  <c r="H211" i="16" s="1"/>
  <c r="H213" i="16" s="1"/>
  <c r="G171" i="18"/>
  <c r="H218" i="14"/>
  <c r="F155" i="12"/>
  <c r="H155" i="12" s="1"/>
  <c r="F140" i="9"/>
  <c r="G153" i="17"/>
  <c r="G138" i="17"/>
  <c r="G103" i="7"/>
  <c r="F171" i="17"/>
  <c r="J155" i="18"/>
  <c r="H123" i="10"/>
  <c r="I123" i="10" s="1"/>
  <c r="J123" i="10" s="1"/>
  <c r="K123" i="10" s="1"/>
  <c r="L123" i="10" s="1"/>
  <c r="H153" i="11"/>
  <c r="I153" i="11" s="1"/>
  <c r="J153" i="11" s="1"/>
  <c r="K153" i="11" s="1"/>
  <c r="L153" i="11" s="1"/>
  <c r="I48" i="8"/>
  <c r="H36" i="8"/>
  <c r="F154" i="13"/>
  <c r="H154" i="13" s="1"/>
  <c r="G89" i="9"/>
  <c r="F18" i="4"/>
  <c r="F16" i="4"/>
  <c r="F145" i="14"/>
  <c r="F149" i="14" s="1"/>
  <c r="H149" i="14" s="1"/>
  <c r="I149" i="14" s="1"/>
  <c r="J149" i="14" s="1"/>
  <c r="K149" i="14" s="1"/>
  <c r="L149" i="14" s="1"/>
  <c r="F15" i="14"/>
  <c r="F43" i="14"/>
  <c r="H43" i="14" s="1"/>
  <c r="G41" i="13"/>
  <c r="H41" i="13" s="1"/>
  <c r="G84" i="8"/>
  <c r="G87" i="8" s="1"/>
  <c r="G89" i="8" s="1"/>
  <c r="G103" i="8"/>
  <c r="F149" i="15"/>
  <c r="H149" i="15" s="1"/>
  <c r="I149" i="15" s="1"/>
  <c r="J149" i="15" s="1"/>
  <c r="K149" i="15" s="1"/>
  <c r="L149" i="15" s="1"/>
  <c r="F133" i="15"/>
  <c r="F139" i="15" s="1"/>
  <c r="G145" i="17"/>
  <c r="G149" i="17" s="1"/>
  <c r="G48" i="17"/>
  <c r="H48" i="17" s="1"/>
  <c r="G41" i="17"/>
  <c r="H41" i="17" s="1"/>
  <c r="G15" i="17"/>
  <c r="G44" i="17"/>
  <c r="G18" i="4"/>
  <c r="G16" i="4"/>
  <c r="F138" i="16"/>
  <c r="F139" i="16" s="1"/>
  <c r="F153" i="16"/>
  <c r="H153" i="16" s="1"/>
  <c r="I153" i="16" s="1"/>
  <c r="J153" i="16" s="1"/>
  <c r="K153" i="16" s="1"/>
  <c r="L153" i="16" s="1"/>
  <c r="I44" i="12"/>
  <c r="J21" i="10"/>
  <c r="F15" i="19"/>
  <c r="F145" i="19"/>
  <c r="F149" i="19" s="1"/>
  <c r="G18" i="13"/>
  <c r="G16" i="13"/>
  <c r="G43" i="17"/>
  <c r="F89" i="11"/>
  <c r="H13" i="8"/>
  <c r="I41" i="8"/>
  <c r="F16" i="6"/>
  <c r="F18" i="6"/>
  <c r="F145" i="15"/>
  <c r="F43" i="15"/>
  <c r="H43" i="15" s="1"/>
  <c r="F15" i="15"/>
  <c r="I48" i="13"/>
  <c r="J11" i="14"/>
  <c r="I185" i="14"/>
  <c r="C189" i="14" s="1"/>
  <c r="I201" i="14"/>
  <c r="I56" i="14"/>
  <c r="I96" i="14"/>
  <c r="I126" i="14"/>
  <c r="G16" i="10"/>
  <c r="G18" i="10"/>
  <c r="H251" i="16"/>
  <c r="H212" i="16" s="1"/>
  <c r="I48" i="9"/>
  <c r="F70" i="5"/>
  <c r="F101" i="5"/>
  <c r="F94" i="5"/>
  <c r="I44" i="11"/>
  <c r="K187" i="11"/>
  <c r="L187" i="11" s="1"/>
  <c r="G139" i="11"/>
  <c r="G171" i="12"/>
  <c r="G172" i="19"/>
  <c r="G172" i="16"/>
  <c r="G172" i="18"/>
  <c r="G172" i="14"/>
  <c r="G104" i="6"/>
  <c r="G172" i="12"/>
  <c r="G104" i="5"/>
  <c r="G104" i="7"/>
  <c r="G172" i="13"/>
  <c r="G142" i="9"/>
  <c r="E76" i="2"/>
  <c r="E81" i="2" s="1"/>
  <c r="G172" i="11"/>
  <c r="G91" i="4"/>
  <c r="L119" i="7"/>
  <c r="L126" i="7" s="1"/>
  <c r="L20" i="7" s="1"/>
  <c r="I48" i="19"/>
  <c r="H69" i="16"/>
  <c r="I21" i="16" s="1"/>
  <c r="K187" i="17"/>
  <c r="F169" i="18"/>
  <c r="G70" i="5"/>
  <c r="G101" i="5"/>
  <c r="F84" i="8"/>
  <c r="F87" i="8" s="1"/>
  <c r="F89" i="8" s="1"/>
  <c r="F103" i="8"/>
  <c r="F16" i="7"/>
  <c r="F18" i="7"/>
  <c r="F15" i="17"/>
  <c r="F145" i="17"/>
  <c r="F149" i="17" s="1"/>
  <c r="H149" i="17" s="1"/>
  <c r="I149" i="17" s="1"/>
  <c r="J149" i="17" s="1"/>
  <c r="K149" i="17" s="1"/>
  <c r="L149" i="17" s="1"/>
  <c r="F43" i="17"/>
  <c r="F44" i="17"/>
  <c r="H44" i="17" s="1"/>
  <c r="F155" i="19"/>
  <c r="J48" i="15"/>
  <c r="G235" i="17"/>
  <c r="H229" i="17"/>
  <c r="J281" i="19"/>
  <c r="G133" i="18"/>
  <c r="G139" i="18" s="1"/>
  <c r="G141" i="18" s="1"/>
  <c r="I201" i="15"/>
  <c r="I185" i="15"/>
  <c r="C189" i="15" s="1"/>
  <c r="I96" i="15"/>
  <c r="I56" i="15"/>
  <c r="I126" i="15"/>
  <c r="J11" i="15"/>
  <c r="F139" i="17"/>
  <c r="G41" i="6"/>
  <c r="H41" i="6" s="1"/>
  <c r="G15" i="6"/>
  <c r="G43" i="6"/>
  <c r="G94" i="6"/>
  <c r="G155" i="12"/>
  <c r="G151" i="12"/>
  <c r="H151" i="12" s="1"/>
  <c r="F70" i="14"/>
  <c r="F89" i="14" s="1"/>
  <c r="F169" i="14"/>
  <c r="G84" i="11"/>
  <c r="G87" i="11" s="1"/>
  <c r="G19" i="5"/>
  <c r="G22" i="5"/>
  <c r="G31" i="5" s="1"/>
  <c r="G33" i="5" s="1"/>
  <c r="G34" i="5" s="1"/>
  <c r="J119" i="8"/>
  <c r="J154" i="14"/>
  <c r="F162" i="17"/>
  <c r="I187" i="13"/>
  <c r="J187" i="13" s="1"/>
  <c r="H69" i="12"/>
  <c r="I21" i="12" s="1"/>
  <c r="F176" i="19"/>
  <c r="F43" i="19"/>
  <c r="H43" i="19" s="1"/>
  <c r="I187" i="19"/>
  <c r="G176" i="13"/>
  <c r="K276" i="18"/>
  <c r="H251" i="17"/>
  <c r="G169" i="18"/>
  <c r="G139" i="12"/>
  <c r="G141" i="12" s="1"/>
  <c r="G176" i="17"/>
  <c r="F170" i="15"/>
  <c r="F176" i="15"/>
  <c r="G162" i="14"/>
  <c r="F89" i="16"/>
  <c r="G41" i="11"/>
  <c r="H41" i="11" s="1"/>
  <c r="H253" i="15"/>
  <c r="G88" i="4"/>
  <c r="G57" i="4"/>
  <c r="G170" i="18"/>
  <c r="G84" i="17"/>
  <c r="G87" i="17" s="1"/>
  <c r="G89" i="17" s="1"/>
  <c r="F171" i="19"/>
  <c r="G109" i="10"/>
  <c r="G111" i="10" s="1"/>
  <c r="G70" i="11"/>
  <c r="G169" i="11"/>
  <c r="G176" i="12"/>
  <c r="F94" i="6"/>
  <c r="K157" i="10"/>
  <c r="F146" i="10"/>
  <c r="F44" i="10"/>
  <c r="H44" i="10" s="1"/>
  <c r="F43" i="10"/>
  <c r="H43" i="10" s="1"/>
  <c r="F15" i="10"/>
  <c r="F115" i="10"/>
  <c r="F119" i="10" s="1"/>
  <c r="H119" i="10" s="1"/>
  <c r="I119" i="10" s="1"/>
  <c r="J119" i="10" s="1"/>
  <c r="K119" i="10" s="1"/>
  <c r="L119" i="10" s="1"/>
  <c r="F162" i="15"/>
  <c r="J117" i="5"/>
  <c r="C122" i="5" s="1"/>
  <c r="K11" i="5"/>
  <c r="J56" i="5"/>
  <c r="I151" i="12" l="1"/>
  <c r="I102" i="12"/>
  <c r="H80" i="15"/>
  <c r="I244" i="15"/>
  <c r="I154" i="11"/>
  <c r="J102" i="17"/>
  <c r="I44" i="14"/>
  <c r="J21" i="16"/>
  <c r="I102" i="16"/>
  <c r="H17" i="7"/>
  <c r="I44" i="7"/>
  <c r="I154" i="13"/>
  <c r="I44" i="18"/>
  <c r="J155" i="15"/>
  <c r="H65" i="8"/>
  <c r="D120" i="8"/>
  <c r="G120" i="8" s="1"/>
  <c r="H120" i="8" s="1"/>
  <c r="G16" i="16"/>
  <c r="G18" i="16"/>
  <c r="G164" i="16" s="1"/>
  <c r="G163" i="16"/>
  <c r="H132" i="15"/>
  <c r="H63" i="15" s="1"/>
  <c r="I151" i="15"/>
  <c r="I155" i="11"/>
  <c r="J151" i="13"/>
  <c r="G89" i="10"/>
  <c r="J151" i="17"/>
  <c r="K56" i="8"/>
  <c r="K117" i="8"/>
  <c r="C123" i="8" s="1"/>
  <c r="L11" i="8"/>
  <c r="I36" i="10"/>
  <c r="D159" i="10" s="1"/>
  <c r="G159" i="10" s="1"/>
  <c r="I159" i="10" s="1"/>
  <c r="J48" i="10"/>
  <c r="G172" i="17"/>
  <c r="J126" i="14"/>
  <c r="J56" i="14"/>
  <c r="J201" i="14"/>
  <c r="J96" i="14"/>
  <c r="K11" i="14"/>
  <c r="J185" i="14"/>
  <c r="C190" i="14" s="1"/>
  <c r="H13" i="7"/>
  <c r="I41" i="7"/>
  <c r="G176" i="16"/>
  <c r="G170" i="16"/>
  <c r="J69" i="14"/>
  <c r="L96" i="16"/>
  <c r="L201" i="16"/>
  <c r="L126" i="16"/>
  <c r="L56" i="16"/>
  <c r="L185" i="16"/>
  <c r="C192" i="16" s="1"/>
  <c r="D158" i="10"/>
  <c r="G158" i="10" s="1"/>
  <c r="H158" i="10" s="1"/>
  <c r="H65" i="10"/>
  <c r="F16" i="10"/>
  <c r="F18" i="10"/>
  <c r="H212" i="17"/>
  <c r="H213" i="17" s="1"/>
  <c r="K48" i="15"/>
  <c r="J21" i="8"/>
  <c r="J155" i="13"/>
  <c r="I155" i="16"/>
  <c r="L119" i="6"/>
  <c r="L126" i="6" s="1"/>
  <c r="L20" i="6" s="1"/>
  <c r="H213" i="19"/>
  <c r="F176" i="11"/>
  <c r="F170" i="11"/>
  <c r="H145" i="15"/>
  <c r="H130" i="15" s="1"/>
  <c r="H36" i="15"/>
  <c r="J43" i="9"/>
  <c r="J43" i="7"/>
  <c r="J48" i="8"/>
  <c r="I36" i="8"/>
  <c r="D121" i="8" s="1"/>
  <c r="G121" i="8" s="1"/>
  <c r="I121" i="8" s="1"/>
  <c r="I43" i="19"/>
  <c r="D39" i="2"/>
  <c r="D36" i="2"/>
  <c r="F84" i="4"/>
  <c r="G19" i="11"/>
  <c r="G22" i="11"/>
  <c r="G31" i="11" s="1"/>
  <c r="H15" i="8"/>
  <c r="G141" i="16"/>
  <c r="H17" i="8"/>
  <c r="F16" i="13"/>
  <c r="F18" i="13"/>
  <c r="J69" i="8"/>
  <c r="F22" i="5"/>
  <c r="F31" i="5" s="1"/>
  <c r="F33" i="5" s="1"/>
  <c r="F34" i="5" s="1"/>
  <c r="F19" i="5"/>
  <c r="J117" i="7"/>
  <c r="C122" i="7" s="1"/>
  <c r="K11" i="7"/>
  <c r="J56" i="7"/>
  <c r="J44" i="13"/>
  <c r="I69" i="12"/>
  <c r="J21" i="12" s="1"/>
  <c r="H13" i="13"/>
  <c r="I41" i="13"/>
  <c r="K155" i="14"/>
  <c r="J44" i="8"/>
  <c r="I17" i="8"/>
  <c r="L279" i="18"/>
  <c r="G108" i="8"/>
  <c r="G102" i="8"/>
  <c r="I43" i="10"/>
  <c r="H14" i="10"/>
  <c r="H116" i="10" s="1"/>
  <c r="G95" i="4"/>
  <c r="G89" i="4"/>
  <c r="G89" i="11"/>
  <c r="H155" i="19"/>
  <c r="J48" i="13"/>
  <c r="G19" i="4"/>
  <c r="G22" i="4"/>
  <c r="G31" i="4" s="1"/>
  <c r="G33" i="4" s="1"/>
  <c r="I43" i="14"/>
  <c r="K155" i="18"/>
  <c r="G22" i="15"/>
  <c r="G31" i="15" s="1"/>
  <c r="G19" i="15"/>
  <c r="G18" i="7"/>
  <c r="G16" i="7"/>
  <c r="G95" i="7"/>
  <c r="K278" i="18"/>
  <c r="I102" i="14"/>
  <c r="J21" i="14"/>
  <c r="I125" i="10"/>
  <c r="F176" i="16"/>
  <c r="F170" i="16"/>
  <c r="J48" i="11"/>
  <c r="F104" i="8"/>
  <c r="K280" i="18"/>
  <c r="J41" i="15"/>
  <c r="I13" i="15"/>
  <c r="K154" i="14"/>
  <c r="K281" i="19"/>
  <c r="G146" i="10"/>
  <c r="G140" i="10"/>
  <c r="I154" i="12"/>
  <c r="L11" i="5"/>
  <c r="K56" i="5"/>
  <c r="K117" i="5"/>
  <c r="C123" i="5" s="1"/>
  <c r="I41" i="18"/>
  <c r="H13" i="18"/>
  <c r="J43" i="13"/>
  <c r="G19" i="12"/>
  <c r="G22" i="12"/>
  <c r="G31" i="12" s="1"/>
  <c r="H13" i="6"/>
  <c r="I41" i="6"/>
  <c r="I102" i="18"/>
  <c r="H149" i="18"/>
  <c r="I149" i="18" s="1"/>
  <c r="J149" i="18" s="1"/>
  <c r="K149" i="18" s="1"/>
  <c r="L149" i="18" s="1"/>
  <c r="I44" i="15"/>
  <c r="H17" i="15"/>
  <c r="H147" i="15" s="1"/>
  <c r="J102" i="13"/>
  <c r="K21" i="13"/>
  <c r="K69" i="13" s="1"/>
  <c r="K119" i="8"/>
  <c r="L119" i="8"/>
  <c r="J41" i="8"/>
  <c r="I13" i="8"/>
  <c r="J21" i="11"/>
  <c r="J44" i="16"/>
  <c r="J48" i="16"/>
  <c r="G141" i="13"/>
  <c r="G108" i="5"/>
  <c r="G102" i="5"/>
  <c r="I44" i="17"/>
  <c r="F18" i="15"/>
  <c r="F16" i="15"/>
  <c r="H13" i="19"/>
  <c r="H14" i="19" s="1"/>
  <c r="H146" i="19" s="1"/>
  <c r="I41" i="19"/>
  <c r="I41" i="12"/>
  <c r="H13" i="12"/>
  <c r="J155" i="10"/>
  <c r="C160" i="10" s="1"/>
  <c r="J56" i="10"/>
  <c r="K11" i="10"/>
  <c r="J96" i="10"/>
  <c r="F18" i="12"/>
  <c r="F16" i="12"/>
  <c r="I48" i="14"/>
  <c r="I69" i="11"/>
  <c r="G16" i="17"/>
  <c r="G18" i="17"/>
  <c r="G164" i="17" s="1"/>
  <c r="G163" i="17"/>
  <c r="G97" i="5"/>
  <c r="I154" i="17"/>
  <c r="L157" i="9"/>
  <c r="H14" i="11"/>
  <c r="H146" i="11" s="1"/>
  <c r="I43" i="11"/>
  <c r="I69" i="18"/>
  <c r="G19" i="9"/>
  <c r="G22" i="9"/>
  <c r="G31" i="9" s="1"/>
  <c r="J44" i="19"/>
  <c r="J48" i="19"/>
  <c r="G142" i="10"/>
  <c r="G22" i="10"/>
  <c r="G31" i="10" s="1"/>
  <c r="G19" i="10"/>
  <c r="G19" i="13"/>
  <c r="G22" i="13"/>
  <c r="G31" i="13" s="1"/>
  <c r="H13" i="17"/>
  <c r="I41" i="17"/>
  <c r="K201" i="13"/>
  <c r="K56" i="13"/>
  <c r="K126" i="13"/>
  <c r="K185" i="13"/>
  <c r="C191" i="13" s="1"/>
  <c r="L11" i="13"/>
  <c r="K96" i="13"/>
  <c r="I151" i="19"/>
  <c r="I44" i="9"/>
  <c r="H17" i="9"/>
  <c r="H211" i="19"/>
  <c r="J21" i="15"/>
  <c r="I102" i="15"/>
  <c r="K43" i="3"/>
  <c r="L11" i="3"/>
  <c r="L43" i="3" s="1"/>
  <c r="G18" i="18"/>
  <c r="G16" i="18"/>
  <c r="G163" i="18"/>
  <c r="J155" i="17"/>
  <c r="F172" i="19"/>
  <c r="F16" i="16"/>
  <c r="F18" i="16"/>
  <c r="K151" i="14"/>
  <c r="I13" i="10"/>
  <c r="J41" i="10"/>
  <c r="J151" i="18"/>
  <c r="K187" i="19"/>
  <c r="F18" i="17"/>
  <c r="F16" i="17"/>
  <c r="F19" i="6"/>
  <c r="F22" i="6"/>
  <c r="F31" i="6" s="1"/>
  <c r="H149" i="19"/>
  <c r="I149" i="19" s="1"/>
  <c r="J149" i="19" s="1"/>
  <c r="K149" i="19" s="1"/>
  <c r="L149" i="19" s="1"/>
  <c r="H36" i="17"/>
  <c r="I48" i="17"/>
  <c r="F19" i="4"/>
  <c r="F22" i="4"/>
  <c r="F31" i="4" s="1"/>
  <c r="F33" i="4" s="1"/>
  <c r="F34" i="4" s="1"/>
  <c r="F163" i="15"/>
  <c r="G164" i="15"/>
  <c r="G164" i="18"/>
  <c r="G134" i="9"/>
  <c r="G96" i="6"/>
  <c r="G96" i="7"/>
  <c r="G164" i="12"/>
  <c r="G164" i="11"/>
  <c r="G96" i="8"/>
  <c r="G96" i="5"/>
  <c r="G83" i="4"/>
  <c r="E40" i="2"/>
  <c r="G164" i="13"/>
  <c r="G134" i="10"/>
  <c r="F22" i="8"/>
  <c r="F31" i="8" s="1"/>
  <c r="F19" i="8"/>
  <c r="J48" i="12"/>
  <c r="L187" i="14"/>
  <c r="F16" i="9"/>
  <c r="F18" i="9"/>
  <c r="H17" i="6"/>
  <c r="I44" i="6"/>
  <c r="I221" i="14"/>
  <c r="H80" i="14"/>
  <c r="F16" i="11"/>
  <c r="F18" i="11"/>
  <c r="K11" i="4"/>
  <c r="J43" i="4"/>
  <c r="G89" i="16"/>
  <c r="G176" i="14"/>
  <c r="G89" i="14"/>
  <c r="G170" i="14"/>
  <c r="H149" i="16"/>
  <c r="I149" i="16" s="1"/>
  <c r="J149" i="16" s="1"/>
  <c r="K149" i="16" s="1"/>
  <c r="L149" i="16" s="1"/>
  <c r="I41" i="14"/>
  <c r="H13" i="14"/>
  <c r="J227" i="14"/>
  <c r="I81" i="14"/>
  <c r="J229" i="15"/>
  <c r="J232" i="15" s="1"/>
  <c r="I235" i="15"/>
  <c r="I78" i="15"/>
  <c r="H115" i="10"/>
  <c r="H100" i="10" s="1"/>
  <c r="H15" i="10"/>
  <c r="L157" i="10"/>
  <c r="I239" i="15"/>
  <c r="I241" i="15" s="1"/>
  <c r="I155" i="12"/>
  <c r="L83" i="8"/>
  <c r="L84" i="8" s="1"/>
  <c r="K84" i="8"/>
  <c r="G176" i="15"/>
  <c r="J43" i="8"/>
  <c r="I14" i="8"/>
  <c r="G176" i="11"/>
  <c r="G170" i="11"/>
  <c r="G18" i="6"/>
  <c r="G16" i="6"/>
  <c r="G95" i="6"/>
  <c r="G172" i="15"/>
  <c r="J44" i="12"/>
  <c r="G141" i="15"/>
  <c r="F16" i="18"/>
  <c r="F18" i="18"/>
  <c r="J69" i="17"/>
  <c r="J121" i="10"/>
  <c r="F108" i="5"/>
  <c r="F102" i="5"/>
  <c r="H79" i="14"/>
  <c r="H82" i="14" s="1"/>
  <c r="I215" i="14"/>
  <c r="I151" i="11"/>
  <c r="F139" i="13"/>
  <c r="J154" i="16"/>
  <c r="F163" i="18"/>
  <c r="G141" i="17"/>
  <c r="J69" i="10"/>
  <c r="K21" i="10" s="1"/>
  <c r="J151" i="16"/>
  <c r="F108" i="8"/>
  <c r="F102" i="8"/>
  <c r="J154" i="18"/>
  <c r="J185" i="15"/>
  <c r="C190" i="15" s="1"/>
  <c r="J96" i="15"/>
  <c r="J56" i="15"/>
  <c r="J201" i="15"/>
  <c r="K11" i="15"/>
  <c r="J126" i="15"/>
  <c r="I44" i="10"/>
  <c r="H17" i="10"/>
  <c r="H117" i="10" s="1"/>
  <c r="H102" i="10" s="1"/>
  <c r="H63" i="10" s="1"/>
  <c r="L276" i="18"/>
  <c r="I69" i="16"/>
  <c r="J48" i="9"/>
  <c r="F16" i="14"/>
  <c r="F18" i="14"/>
  <c r="J84" i="9"/>
  <c r="K83" i="9"/>
  <c r="J21" i="19"/>
  <c r="I102" i="19"/>
  <c r="J206" i="14"/>
  <c r="J209" i="14" s="1"/>
  <c r="I78" i="14"/>
  <c r="I212" i="14"/>
  <c r="I124" i="10"/>
  <c r="J185" i="17"/>
  <c r="C190" i="17" s="1"/>
  <c r="J126" i="17"/>
  <c r="J56" i="17"/>
  <c r="J201" i="17"/>
  <c r="J96" i="17"/>
  <c r="K11" i="17"/>
  <c r="H81" i="15"/>
  <c r="H82" i="15" s="1"/>
  <c r="I250" i="15"/>
  <c r="F176" i="14"/>
  <c r="F170" i="14"/>
  <c r="H43" i="17"/>
  <c r="G104" i="8"/>
  <c r="G141" i="11"/>
  <c r="I43" i="15"/>
  <c r="H14" i="15"/>
  <c r="H146" i="15" s="1"/>
  <c r="H43" i="6"/>
  <c r="H13" i="9"/>
  <c r="I41" i="9"/>
  <c r="I43" i="12"/>
  <c r="H14" i="12"/>
  <c r="H146" i="12" s="1"/>
  <c r="G18" i="14"/>
  <c r="G16" i="14"/>
  <c r="G163" i="14"/>
  <c r="J154" i="15"/>
  <c r="H13" i="11"/>
  <c r="I41" i="11"/>
  <c r="K187" i="13"/>
  <c r="G18" i="19"/>
  <c r="G164" i="19" s="1"/>
  <c r="G16" i="19"/>
  <c r="G163" i="19"/>
  <c r="K56" i="6"/>
  <c r="L11" i="6"/>
  <c r="K117" i="6"/>
  <c r="C123" i="6" s="1"/>
  <c r="L187" i="12"/>
  <c r="J187" i="19"/>
  <c r="L187" i="19" s="1"/>
  <c r="F19" i="7"/>
  <c r="F22" i="7"/>
  <c r="F31" i="7" s="1"/>
  <c r="J44" i="11"/>
  <c r="F16" i="19"/>
  <c r="F18" i="19"/>
  <c r="H13" i="16"/>
  <c r="I41" i="16"/>
  <c r="J21" i="9"/>
  <c r="F133" i="10"/>
  <c r="F163" i="19"/>
  <c r="L56" i="11"/>
  <c r="L185" i="11"/>
  <c r="C192" i="11" s="1"/>
  <c r="L96" i="11"/>
  <c r="L126" i="11"/>
  <c r="H43" i="18"/>
  <c r="K96" i="9"/>
  <c r="L11" i="9"/>
  <c r="K155" i="9"/>
  <c r="C161" i="9" s="1"/>
  <c r="K56" i="9"/>
  <c r="J126" i="12"/>
  <c r="K11" i="12"/>
  <c r="J96" i="12"/>
  <c r="J56" i="12"/>
  <c r="J185" i="12"/>
  <c r="C190" i="12" s="1"/>
  <c r="I48" i="18"/>
  <c r="H153" i="15"/>
  <c r="I153" i="15" s="1"/>
  <c r="J153" i="15" s="1"/>
  <c r="K153" i="15" s="1"/>
  <c r="L153" i="15" s="1"/>
  <c r="G22" i="8"/>
  <c r="G31" i="8" s="1"/>
  <c r="G19" i="8"/>
  <c r="I43" i="16"/>
  <c r="H14" i="16"/>
  <c r="H146" i="16" s="1"/>
  <c r="H14" i="8"/>
  <c r="L278" i="19"/>
  <c r="J154" i="19"/>
  <c r="H131" i="19" l="1"/>
  <c r="H62" i="19" s="1"/>
  <c r="H135" i="19"/>
  <c r="L21" i="10"/>
  <c r="J238" i="15"/>
  <c r="I79" i="15"/>
  <c r="J102" i="12"/>
  <c r="K21" i="9"/>
  <c r="J43" i="16"/>
  <c r="G19" i="14"/>
  <c r="G22" i="14"/>
  <c r="G31" i="14" s="1"/>
  <c r="J102" i="15"/>
  <c r="L96" i="9"/>
  <c r="L155" i="9"/>
  <c r="C162" i="9" s="1"/>
  <c r="L56" i="9"/>
  <c r="H135" i="12"/>
  <c r="H131" i="12"/>
  <c r="H62" i="12" s="1"/>
  <c r="I216" i="14"/>
  <c r="I218" i="14" s="1"/>
  <c r="J228" i="14"/>
  <c r="J230" i="14" s="1"/>
  <c r="K151" i="16"/>
  <c r="H15" i="14"/>
  <c r="H145" i="14"/>
  <c r="H130" i="14" s="1"/>
  <c r="G33" i="9"/>
  <c r="G46" i="9"/>
  <c r="K43" i="13"/>
  <c r="J41" i="9"/>
  <c r="I13" i="9"/>
  <c r="J155" i="12"/>
  <c r="H15" i="12"/>
  <c r="H145" i="12"/>
  <c r="H130" i="12" s="1"/>
  <c r="H36" i="12"/>
  <c r="H17" i="12"/>
  <c r="H147" i="12" s="1"/>
  <c r="H15" i="18"/>
  <c r="H145" i="18"/>
  <c r="H130" i="18" s="1"/>
  <c r="G19" i="7"/>
  <c r="G22" i="7"/>
  <c r="G31" i="7" s="1"/>
  <c r="K48" i="13"/>
  <c r="H67" i="10"/>
  <c r="I65" i="10"/>
  <c r="K151" i="17"/>
  <c r="I120" i="8"/>
  <c r="I126" i="8" s="1"/>
  <c r="I20" i="8" s="1"/>
  <c r="H126" i="8"/>
  <c r="H20" i="8" s="1"/>
  <c r="H66" i="8" s="1"/>
  <c r="I66" i="8" s="1"/>
  <c r="J102" i="16"/>
  <c r="I245" i="15"/>
  <c r="I247" i="15" s="1"/>
  <c r="I36" i="18"/>
  <c r="J48" i="18"/>
  <c r="K44" i="11"/>
  <c r="H36" i="9"/>
  <c r="H14" i="9"/>
  <c r="H15" i="9" s="1"/>
  <c r="L83" i="9"/>
  <c r="L84" i="9" s="1"/>
  <c r="K84" i="9"/>
  <c r="K185" i="15"/>
  <c r="C191" i="15" s="1"/>
  <c r="L11" i="15"/>
  <c r="K96" i="15"/>
  <c r="K56" i="15"/>
  <c r="K126" i="15"/>
  <c r="K201" i="15"/>
  <c r="F19" i="17"/>
  <c r="F22" i="17"/>
  <c r="F31" i="17" s="1"/>
  <c r="J44" i="9"/>
  <c r="I17" i="9"/>
  <c r="G46" i="13"/>
  <c r="G33" i="13"/>
  <c r="I13" i="12"/>
  <c r="J41" i="12"/>
  <c r="H137" i="15"/>
  <c r="H76" i="15" s="1"/>
  <c r="H136" i="15"/>
  <c r="H75" i="15" s="1"/>
  <c r="I13" i="18"/>
  <c r="J41" i="18"/>
  <c r="L281" i="19"/>
  <c r="I158" i="10"/>
  <c r="I164" i="10" s="1"/>
  <c r="I20" i="10" s="1"/>
  <c r="H164" i="10"/>
  <c r="H20" i="10" s="1"/>
  <c r="H66" i="10" s="1"/>
  <c r="K96" i="14"/>
  <c r="K201" i="14"/>
  <c r="L11" i="14"/>
  <c r="K185" i="14"/>
  <c r="C191" i="14" s="1"/>
  <c r="K126" i="14"/>
  <c r="K56" i="14"/>
  <c r="I65" i="8"/>
  <c r="K154" i="19"/>
  <c r="H36" i="18"/>
  <c r="I43" i="6"/>
  <c r="H14" i="6"/>
  <c r="H15" i="6" s="1"/>
  <c r="G22" i="6"/>
  <c r="G31" i="6" s="1"/>
  <c r="G19" i="6"/>
  <c r="L187" i="13"/>
  <c r="K155" i="17"/>
  <c r="I14" i="11"/>
  <c r="I146" i="11" s="1"/>
  <c r="J43" i="11"/>
  <c r="J69" i="11"/>
  <c r="K48" i="16"/>
  <c r="J44" i="15"/>
  <c r="I17" i="15"/>
  <c r="I147" i="15" s="1"/>
  <c r="I155" i="19"/>
  <c r="K44" i="8"/>
  <c r="J17" i="8"/>
  <c r="F97" i="5"/>
  <c r="K155" i="13"/>
  <c r="H135" i="16"/>
  <c r="H131" i="16"/>
  <c r="H62" i="16" s="1"/>
  <c r="J151" i="11"/>
  <c r="J78" i="15"/>
  <c r="J235" i="15"/>
  <c r="K229" i="15"/>
  <c r="K232" i="15" s="1"/>
  <c r="L151" i="14"/>
  <c r="I17" i="17"/>
  <c r="I147" i="17" s="1"/>
  <c r="J44" i="17"/>
  <c r="G33" i="12"/>
  <c r="G46" i="12"/>
  <c r="L278" i="18"/>
  <c r="G34" i="4"/>
  <c r="G84" i="4"/>
  <c r="J43" i="10"/>
  <c r="I14" i="10"/>
  <c r="I116" i="10" s="1"/>
  <c r="H18" i="8"/>
  <c r="H16" i="8"/>
  <c r="J36" i="8"/>
  <c r="D122" i="8" s="1"/>
  <c r="G122" i="8" s="1"/>
  <c r="J122" i="8" s="1"/>
  <c r="K48" i="8"/>
  <c r="J154" i="11"/>
  <c r="K96" i="10"/>
  <c r="K155" i="10"/>
  <c r="C161" i="10" s="1"/>
  <c r="L11" i="10"/>
  <c r="K56" i="10"/>
  <c r="L280" i="18"/>
  <c r="K44" i="13"/>
  <c r="G33" i="11"/>
  <c r="G46" i="11"/>
  <c r="K43" i="7"/>
  <c r="F22" i="10"/>
  <c r="F31" i="10" s="1"/>
  <c r="F19" i="10"/>
  <c r="L117" i="8"/>
  <c r="C124" i="8" s="1"/>
  <c r="L56" i="8"/>
  <c r="H15" i="16"/>
  <c r="H145" i="16"/>
  <c r="H130" i="16" s="1"/>
  <c r="H36" i="16"/>
  <c r="H17" i="16"/>
  <c r="H147" i="16" s="1"/>
  <c r="I253" i="15"/>
  <c r="I251" i="15"/>
  <c r="F33" i="8"/>
  <c r="F46" i="8"/>
  <c r="I13" i="7"/>
  <c r="I17" i="7" s="1"/>
  <c r="J41" i="7"/>
  <c r="J44" i="10"/>
  <c r="I17" i="10"/>
  <c r="I117" i="10" s="1"/>
  <c r="I102" i="10" s="1"/>
  <c r="I63" i="10" s="1"/>
  <c r="L21" i="13"/>
  <c r="L102" i="13" s="1"/>
  <c r="K102" i="13"/>
  <c r="K117" i="7"/>
  <c r="C123" i="7" s="1"/>
  <c r="K56" i="7"/>
  <c r="L11" i="7"/>
  <c r="K43" i="9"/>
  <c r="J155" i="16"/>
  <c r="H14" i="7"/>
  <c r="H15" i="7" s="1"/>
  <c r="I43" i="18"/>
  <c r="H14" i="18"/>
  <c r="H146" i="18" s="1"/>
  <c r="G22" i="19"/>
  <c r="G31" i="19" s="1"/>
  <c r="G19" i="19"/>
  <c r="J102" i="19"/>
  <c r="J41" i="14"/>
  <c r="I13" i="14"/>
  <c r="J44" i="6"/>
  <c r="I17" i="6"/>
  <c r="G164" i="14"/>
  <c r="H145" i="17"/>
  <c r="H130" i="17" s="1"/>
  <c r="H131" i="15"/>
  <c r="H62" i="15" s="1"/>
  <c r="H135" i="15"/>
  <c r="F19" i="14"/>
  <c r="F22" i="14"/>
  <c r="F31" i="14" s="1"/>
  <c r="F19" i="9"/>
  <c r="F22" i="9"/>
  <c r="F31" i="9" s="1"/>
  <c r="J151" i="19"/>
  <c r="H36" i="14"/>
  <c r="I13" i="19"/>
  <c r="I14" i="19" s="1"/>
  <c r="I146" i="19" s="1"/>
  <c r="J41" i="19"/>
  <c r="K44" i="16"/>
  <c r="G33" i="15"/>
  <c r="G46" i="15"/>
  <c r="K21" i="8"/>
  <c r="K155" i="15"/>
  <c r="I14" i="15"/>
  <c r="I146" i="15" s="1"/>
  <c r="J43" i="15"/>
  <c r="K154" i="16"/>
  <c r="H16" i="10"/>
  <c r="H18" i="10"/>
  <c r="J125" i="10"/>
  <c r="L155" i="18"/>
  <c r="L155" i="14"/>
  <c r="D188" i="15"/>
  <c r="G188" i="15" s="1"/>
  <c r="H188" i="15" s="1"/>
  <c r="H109" i="15"/>
  <c r="H65" i="15"/>
  <c r="K151" i="13"/>
  <c r="H17" i="18"/>
  <c r="H147" i="18" s="1"/>
  <c r="J44" i="14"/>
  <c r="J69" i="19"/>
  <c r="H103" i="10"/>
  <c r="H61" i="10"/>
  <c r="K151" i="18"/>
  <c r="G22" i="18"/>
  <c r="G31" i="18" s="1"/>
  <c r="G19" i="18"/>
  <c r="K21" i="11"/>
  <c r="J21" i="18"/>
  <c r="H107" i="10"/>
  <c r="H76" i="10" s="1"/>
  <c r="I13" i="13"/>
  <c r="J41" i="13"/>
  <c r="F164" i="19"/>
  <c r="F164" i="17"/>
  <c r="F164" i="16"/>
  <c r="F134" i="10"/>
  <c r="F96" i="8"/>
  <c r="F164" i="15"/>
  <c r="F96" i="5"/>
  <c r="D40" i="2"/>
  <c r="F96" i="7"/>
  <c r="F164" i="14"/>
  <c r="F164" i="12"/>
  <c r="F96" i="6"/>
  <c r="F83" i="4"/>
  <c r="F164" i="18"/>
  <c r="F164" i="11"/>
  <c r="F134" i="9"/>
  <c r="F164" i="13"/>
  <c r="J43" i="19"/>
  <c r="H15" i="15"/>
  <c r="J155" i="11"/>
  <c r="I17" i="18"/>
  <c r="I147" i="18" s="1"/>
  <c r="J44" i="18"/>
  <c r="K21" i="17"/>
  <c r="K69" i="17" s="1"/>
  <c r="K96" i="12"/>
  <c r="K56" i="12"/>
  <c r="L11" i="12"/>
  <c r="K185" i="12"/>
  <c r="C191" i="12" s="1"/>
  <c r="K126" i="12"/>
  <c r="J124" i="10"/>
  <c r="K48" i="9"/>
  <c r="F22" i="18"/>
  <c r="F31" i="18" s="1"/>
  <c r="F19" i="18"/>
  <c r="J14" i="8"/>
  <c r="K43" i="8"/>
  <c r="J13" i="10"/>
  <c r="K41" i="10"/>
  <c r="L201" i="13"/>
  <c r="L126" i="13"/>
  <c r="L56" i="13"/>
  <c r="L185" i="13"/>
  <c r="C192" i="13" s="1"/>
  <c r="L96" i="13"/>
  <c r="I136" i="17"/>
  <c r="I75" i="17" s="1"/>
  <c r="J154" i="17"/>
  <c r="F19" i="12"/>
  <c r="F22" i="12"/>
  <c r="F31" i="12" s="1"/>
  <c r="F22" i="15"/>
  <c r="F31" i="15" s="1"/>
  <c r="F19" i="15"/>
  <c r="I15" i="8"/>
  <c r="I13" i="6"/>
  <c r="J41" i="6"/>
  <c r="L56" i="5"/>
  <c r="L117" i="5"/>
  <c r="C124" i="5" s="1"/>
  <c r="I145" i="15"/>
  <c r="I130" i="15" s="1"/>
  <c r="I36" i="15"/>
  <c r="K21" i="14"/>
  <c r="K69" i="14" s="1"/>
  <c r="J102" i="14"/>
  <c r="J43" i="14"/>
  <c r="H145" i="13"/>
  <c r="H130" i="13" s="1"/>
  <c r="H14" i="13"/>
  <c r="H146" i="13" s="1"/>
  <c r="H17" i="13"/>
  <c r="H147" i="13" s="1"/>
  <c r="H36" i="13"/>
  <c r="H133" i="15"/>
  <c r="H61" i="15"/>
  <c r="L48" i="15"/>
  <c r="J151" i="12"/>
  <c r="L56" i="6"/>
  <c r="L117" i="6"/>
  <c r="C124" i="6" s="1"/>
  <c r="F22" i="11"/>
  <c r="F31" i="11" s="1"/>
  <c r="F19" i="11"/>
  <c r="H109" i="17"/>
  <c r="D188" i="17"/>
  <c r="G188" i="17" s="1"/>
  <c r="H188" i="17" s="1"/>
  <c r="H65" i="17"/>
  <c r="J154" i="12"/>
  <c r="I13" i="16"/>
  <c r="I14" i="16" s="1"/>
  <c r="I146" i="16" s="1"/>
  <c r="J41" i="16"/>
  <c r="K44" i="12"/>
  <c r="J44" i="7"/>
  <c r="J212" i="14"/>
  <c r="J78" i="14"/>
  <c r="K206" i="14"/>
  <c r="K209" i="14" s="1"/>
  <c r="F33" i="6"/>
  <c r="F46" i="6"/>
  <c r="F22" i="16"/>
  <c r="F31" i="16" s="1"/>
  <c r="F19" i="16"/>
  <c r="K44" i="19"/>
  <c r="G19" i="17"/>
  <c r="G22" i="17"/>
  <c r="G31" i="17" s="1"/>
  <c r="G19" i="16"/>
  <c r="G22" i="16"/>
  <c r="G31" i="16" s="1"/>
  <c r="G33" i="8"/>
  <c r="G46" i="8"/>
  <c r="F19" i="19"/>
  <c r="F22" i="19"/>
  <c r="F31" i="19" s="1"/>
  <c r="I14" i="12"/>
  <c r="I146" i="12" s="1"/>
  <c r="J43" i="12"/>
  <c r="I222" i="14"/>
  <c r="I224" i="14" s="1"/>
  <c r="J41" i="17"/>
  <c r="I13" i="17"/>
  <c r="K48" i="11"/>
  <c r="K96" i="17"/>
  <c r="K185" i="17"/>
  <c r="C191" i="17" s="1"/>
  <c r="L11" i="17"/>
  <c r="K126" i="17"/>
  <c r="K201" i="17"/>
  <c r="K56" i="17"/>
  <c r="K69" i="10"/>
  <c r="J69" i="9"/>
  <c r="F33" i="7"/>
  <c r="F46" i="7"/>
  <c r="J41" i="11"/>
  <c r="I13" i="11"/>
  <c r="K121" i="10"/>
  <c r="H135" i="11"/>
  <c r="H131" i="11"/>
  <c r="H62" i="11" s="1"/>
  <c r="H17" i="14"/>
  <c r="H147" i="14" s="1"/>
  <c r="H145" i="11"/>
  <c r="H130" i="11" s="1"/>
  <c r="H15" i="11"/>
  <c r="H36" i="11"/>
  <c r="H17" i="11"/>
  <c r="H147" i="11" s="1"/>
  <c r="G33" i="10"/>
  <c r="G46" i="10"/>
  <c r="J48" i="14"/>
  <c r="I36" i="14"/>
  <c r="H145" i="19"/>
  <c r="H130" i="19" s="1"/>
  <c r="H15" i="19"/>
  <c r="H17" i="19"/>
  <c r="H147" i="19" s="1"/>
  <c r="H137" i="19" s="1"/>
  <c r="H76" i="19" s="1"/>
  <c r="H36" i="19"/>
  <c r="L154" i="14"/>
  <c r="F19" i="13"/>
  <c r="F22" i="13"/>
  <c r="F31" i="13" s="1"/>
  <c r="K154" i="15"/>
  <c r="I43" i="17"/>
  <c r="H14" i="17"/>
  <c r="H146" i="17" s="1"/>
  <c r="H106" i="10"/>
  <c r="H75" i="10" s="1"/>
  <c r="J69" i="16"/>
  <c r="K154" i="18"/>
  <c r="K43" i="4"/>
  <c r="L11" i="4"/>
  <c r="L43" i="4" s="1"/>
  <c r="K48" i="12"/>
  <c r="I36" i="17"/>
  <c r="J48" i="17"/>
  <c r="I115" i="10"/>
  <c r="I100" i="10" s="1"/>
  <c r="I15" i="10"/>
  <c r="K48" i="19"/>
  <c r="J69" i="15"/>
  <c r="H17" i="17"/>
  <c r="H147" i="17" s="1"/>
  <c r="K41" i="8"/>
  <c r="J13" i="8"/>
  <c r="K41" i="15"/>
  <c r="J13" i="15"/>
  <c r="H14" i="14"/>
  <c r="H146" i="14" s="1"/>
  <c r="H105" i="10"/>
  <c r="H101" i="10"/>
  <c r="H62" i="10" s="1"/>
  <c r="J69" i="12"/>
  <c r="K48" i="10"/>
  <c r="J36" i="10"/>
  <c r="D160" i="10" s="1"/>
  <c r="G160" i="10" s="1"/>
  <c r="J160" i="10" s="1"/>
  <c r="J151" i="15"/>
  <c r="I132" i="15"/>
  <c r="I63" i="15" s="1"/>
  <c r="J154" i="13"/>
  <c r="I131" i="16" l="1"/>
  <c r="I62" i="16" s="1"/>
  <c r="I135" i="16"/>
  <c r="H16" i="9"/>
  <c r="H18" i="9"/>
  <c r="J221" i="14"/>
  <c r="I80" i="14"/>
  <c r="H18" i="6"/>
  <c r="H16" i="6"/>
  <c r="L69" i="17"/>
  <c r="H18" i="7"/>
  <c r="H16" i="7"/>
  <c r="J244" i="15"/>
  <c r="I80" i="15"/>
  <c r="I79" i="14"/>
  <c r="I82" i="14" s="1"/>
  <c r="J215" i="14"/>
  <c r="I82" i="15"/>
  <c r="I131" i="19"/>
  <c r="I62" i="19" s="1"/>
  <c r="I135" i="19"/>
  <c r="K227" i="14"/>
  <c r="J81" i="14"/>
  <c r="F46" i="19"/>
  <c r="H46" i="19" s="1"/>
  <c r="F33" i="19"/>
  <c r="K154" i="17"/>
  <c r="I188" i="15"/>
  <c r="J188" i="15"/>
  <c r="H194" i="15"/>
  <c r="H20" i="15" s="1"/>
  <c r="D188" i="14"/>
  <c r="G188" i="14" s="1"/>
  <c r="H188" i="14" s="1"/>
  <c r="H65" i="14"/>
  <c r="H109" i="14"/>
  <c r="I135" i="11"/>
  <c r="I131" i="11"/>
  <c r="I62" i="11" s="1"/>
  <c r="L48" i="19"/>
  <c r="L126" i="17"/>
  <c r="L185" i="17"/>
  <c r="C192" i="17" s="1"/>
  <c r="L201" i="17"/>
  <c r="L96" i="17"/>
  <c r="L56" i="17"/>
  <c r="F34" i="6"/>
  <c r="F97" i="6"/>
  <c r="I61" i="15"/>
  <c r="I133" i="15"/>
  <c r="F33" i="18"/>
  <c r="F46" i="18"/>
  <c r="I132" i="17"/>
  <c r="I63" i="17" s="1"/>
  <c r="I137" i="17"/>
  <c r="I76" i="17" s="1"/>
  <c r="L155" i="17"/>
  <c r="K69" i="12"/>
  <c r="L121" i="10"/>
  <c r="K212" i="14"/>
  <c r="K78" i="14"/>
  <c r="L206" i="14"/>
  <c r="L209" i="14" s="1"/>
  <c r="H135" i="17"/>
  <c r="H131" i="17"/>
  <c r="H62" i="17" s="1"/>
  <c r="D188" i="13"/>
  <c r="G188" i="13" s="1"/>
  <c r="H188" i="13" s="1"/>
  <c r="H109" i="13"/>
  <c r="H65" i="13"/>
  <c r="F33" i="10"/>
  <c r="F46" i="10"/>
  <c r="H46" i="10" s="1"/>
  <c r="H61" i="14"/>
  <c r="H74" i="10"/>
  <c r="H77" i="10" s="1"/>
  <c r="H84" i="10" s="1"/>
  <c r="H108" i="10"/>
  <c r="H109" i="10" s="1"/>
  <c r="H111" i="10" s="1"/>
  <c r="I61" i="10"/>
  <c r="I14" i="17"/>
  <c r="I146" i="17" s="1"/>
  <c r="J43" i="17"/>
  <c r="K48" i="14"/>
  <c r="I145" i="11"/>
  <c r="I130" i="11" s="1"/>
  <c r="I15" i="11"/>
  <c r="I17" i="11"/>
  <c r="I147" i="11" s="1"/>
  <c r="I36" i="11"/>
  <c r="D189" i="11" s="1"/>
  <c r="G189" i="11" s="1"/>
  <c r="I189" i="11" s="1"/>
  <c r="L48" i="11"/>
  <c r="G33" i="16"/>
  <c r="G46" i="16"/>
  <c r="H132" i="13"/>
  <c r="H63" i="13" s="1"/>
  <c r="H137" i="13"/>
  <c r="H76" i="13" s="1"/>
  <c r="H136" i="13"/>
  <c r="H75" i="13" s="1"/>
  <c r="I106" i="10"/>
  <c r="I75" i="10" s="1"/>
  <c r="K155" i="11"/>
  <c r="J102" i="18"/>
  <c r="F33" i="9"/>
  <c r="F46" i="9"/>
  <c r="H46" i="9" s="1"/>
  <c r="I145" i="14"/>
  <c r="I130" i="14" s="1"/>
  <c r="L43" i="9"/>
  <c r="H46" i="8"/>
  <c r="I101" i="10"/>
  <c r="I62" i="10" s="1"/>
  <c r="I105" i="10"/>
  <c r="K235" i="15"/>
  <c r="L229" i="15"/>
  <c r="L232" i="15" s="1"/>
  <c r="K78" i="15"/>
  <c r="K41" i="18"/>
  <c r="J13" i="18"/>
  <c r="D188" i="12"/>
  <c r="G188" i="12" s="1"/>
  <c r="H188" i="12" s="1"/>
  <c r="H109" i="12"/>
  <c r="H65" i="12"/>
  <c r="H16" i="14"/>
  <c r="H18" i="14"/>
  <c r="K21" i="15"/>
  <c r="K154" i="13"/>
  <c r="H131" i="14"/>
  <c r="H62" i="14" s="1"/>
  <c r="H135" i="14"/>
  <c r="K48" i="17"/>
  <c r="L154" i="15"/>
  <c r="K41" i="11"/>
  <c r="J13" i="11"/>
  <c r="J14" i="11" s="1"/>
  <c r="J146" i="11" s="1"/>
  <c r="H135" i="13"/>
  <c r="H131" i="13"/>
  <c r="H62" i="13" s="1"/>
  <c r="K41" i="6"/>
  <c r="J13" i="6"/>
  <c r="K124" i="10"/>
  <c r="H16" i="15"/>
  <c r="H18" i="15"/>
  <c r="I17" i="14"/>
  <c r="I147" i="14" s="1"/>
  <c r="I107" i="10"/>
  <c r="I76" i="10" s="1"/>
  <c r="K69" i="8"/>
  <c r="K41" i="14"/>
  <c r="J13" i="14"/>
  <c r="F34" i="8"/>
  <c r="F97" i="8"/>
  <c r="K43" i="10"/>
  <c r="J14" i="10"/>
  <c r="J116" i="10" s="1"/>
  <c r="I137" i="19"/>
  <c r="I76" i="19" s="1"/>
  <c r="J155" i="19"/>
  <c r="G33" i="6"/>
  <c r="G46" i="6"/>
  <c r="I145" i="18"/>
  <c r="I130" i="18" s="1"/>
  <c r="L44" i="11"/>
  <c r="H61" i="12"/>
  <c r="J239" i="15"/>
  <c r="J241" i="15"/>
  <c r="J145" i="15"/>
  <c r="J130" i="15" s="1"/>
  <c r="J36" i="15"/>
  <c r="D189" i="17"/>
  <c r="G189" i="17" s="1"/>
  <c r="I189" i="17" s="1"/>
  <c r="I109" i="17"/>
  <c r="G34" i="10"/>
  <c r="G135" i="10"/>
  <c r="I145" i="17"/>
  <c r="I130" i="17" s="1"/>
  <c r="G33" i="17"/>
  <c r="G46" i="17"/>
  <c r="J17" i="7"/>
  <c r="K44" i="7"/>
  <c r="F33" i="11"/>
  <c r="F46" i="11"/>
  <c r="H46" i="11" s="1"/>
  <c r="H15" i="13"/>
  <c r="I15" i="6"/>
  <c r="K44" i="14"/>
  <c r="J17" i="14"/>
  <c r="J147" i="14" s="1"/>
  <c r="K125" i="10"/>
  <c r="L117" i="7"/>
  <c r="C124" i="7" s="1"/>
  <c r="L56" i="7"/>
  <c r="L43" i="7"/>
  <c r="I136" i="15"/>
  <c r="I75" i="15" s="1"/>
  <c r="I137" i="15"/>
  <c r="I76" i="15" s="1"/>
  <c r="L201" i="14"/>
  <c r="L185" i="14"/>
  <c r="C192" i="14" s="1"/>
  <c r="L126" i="14"/>
  <c r="L96" i="14"/>
  <c r="L56" i="14"/>
  <c r="K48" i="18"/>
  <c r="L151" i="17"/>
  <c r="H18" i="12"/>
  <c r="H16" i="12"/>
  <c r="L151" i="16"/>
  <c r="K154" i="12"/>
  <c r="H61" i="17"/>
  <c r="L48" i="8"/>
  <c r="K44" i="17"/>
  <c r="L154" i="19"/>
  <c r="K69" i="16"/>
  <c r="H138" i="11"/>
  <c r="H74" i="11"/>
  <c r="K41" i="13"/>
  <c r="J13" i="13"/>
  <c r="I135" i="15"/>
  <c r="I131" i="15"/>
  <c r="I62" i="15" s="1"/>
  <c r="K151" i="19"/>
  <c r="J17" i="10"/>
  <c r="J117" i="10" s="1"/>
  <c r="J102" i="10" s="1"/>
  <c r="J63" i="10" s="1"/>
  <c r="K44" i="10"/>
  <c r="I67" i="8"/>
  <c r="I70" i="8" s="1"/>
  <c r="J65" i="8"/>
  <c r="J158" i="10"/>
  <c r="K158" i="10" s="1"/>
  <c r="H61" i="18"/>
  <c r="H61" i="19"/>
  <c r="I65" i="17"/>
  <c r="I15" i="15"/>
  <c r="I137" i="18"/>
  <c r="I76" i="18" s="1"/>
  <c r="I132" i="18"/>
  <c r="I63" i="18" s="1"/>
  <c r="I136" i="18"/>
  <c r="I75" i="18" s="1"/>
  <c r="I15" i="13"/>
  <c r="I145" i="13"/>
  <c r="I130" i="13" s="1"/>
  <c r="I36" i="13"/>
  <c r="I14" i="13"/>
  <c r="I146" i="13" s="1"/>
  <c r="I17" i="13"/>
  <c r="I147" i="13" s="1"/>
  <c r="L155" i="15"/>
  <c r="J13" i="7"/>
  <c r="K41" i="7"/>
  <c r="H67" i="8"/>
  <c r="H70" i="8" s="1"/>
  <c r="K44" i="9"/>
  <c r="D158" i="9"/>
  <c r="G158" i="9" s="1"/>
  <c r="H158" i="9" s="1"/>
  <c r="H65" i="9"/>
  <c r="H18" i="18"/>
  <c r="H16" i="18"/>
  <c r="G34" i="9"/>
  <c r="G135" i="9"/>
  <c r="I16" i="10"/>
  <c r="I18" i="10"/>
  <c r="D189" i="14"/>
  <c r="G189" i="14" s="1"/>
  <c r="I189" i="14" s="1"/>
  <c r="I109" i="14"/>
  <c r="G34" i="8"/>
  <c r="G97" i="8"/>
  <c r="I188" i="17"/>
  <c r="J188" i="17"/>
  <c r="K188" i="17"/>
  <c r="H194" i="17"/>
  <c r="H20" i="17" s="1"/>
  <c r="L48" i="9"/>
  <c r="K44" i="6"/>
  <c r="J17" i="6"/>
  <c r="K155" i="16"/>
  <c r="I14" i="7"/>
  <c r="I15" i="7" s="1"/>
  <c r="L155" i="10"/>
  <c r="C162" i="10" s="1"/>
  <c r="L96" i="10"/>
  <c r="L56" i="10"/>
  <c r="H19" i="8"/>
  <c r="H22" i="8"/>
  <c r="H31" i="8" s="1"/>
  <c r="L44" i="8"/>
  <c r="L17" i="8" s="1"/>
  <c r="K17" i="8"/>
  <c r="F33" i="17"/>
  <c r="F46" i="17"/>
  <c r="J120" i="8"/>
  <c r="H132" i="12"/>
  <c r="H63" i="12" s="1"/>
  <c r="H137" i="12"/>
  <c r="H76" i="12" s="1"/>
  <c r="H136" i="12"/>
  <c r="H75" i="12" s="1"/>
  <c r="K21" i="12"/>
  <c r="K151" i="15"/>
  <c r="K13" i="15"/>
  <c r="L41" i="15"/>
  <c r="L13" i="15" s="1"/>
  <c r="L48" i="12"/>
  <c r="H136" i="11"/>
  <c r="H75" i="11" s="1"/>
  <c r="H137" i="11"/>
  <c r="H76" i="11" s="1"/>
  <c r="H132" i="11"/>
  <c r="H63" i="11" s="1"/>
  <c r="K41" i="17"/>
  <c r="J13" i="17"/>
  <c r="J17" i="17" s="1"/>
  <c r="J147" i="17" s="1"/>
  <c r="I18" i="8"/>
  <c r="I16" i="8"/>
  <c r="K13" i="10"/>
  <c r="L41" i="10"/>
  <c r="L13" i="10" s="1"/>
  <c r="K43" i="19"/>
  <c r="G46" i="18"/>
  <c r="G33" i="18"/>
  <c r="F33" i="14"/>
  <c r="F46" i="14"/>
  <c r="H46" i="14" s="1"/>
  <c r="K21" i="19"/>
  <c r="J250" i="15"/>
  <c r="I81" i="15"/>
  <c r="K151" i="11"/>
  <c r="K44" i="15"/>
  <c r="J17" i="15"/>
  <c r="J147" i="15" s="1"/>
  <c r="J132" i="15" s="1"/>
  <c r="J63" i="15" s="1"/>
  <c r="D189" i="18"/>
  <c r="G189" i="18" s="1"/>
  <c r="I189" i="18" s="1"/>
  <c r="I109" i="18"/>
  <c r="J65" i="10"/>
  <c r="I67" i="10"/>
  <c r="K155" i="12"/>
  <c r="D188" i="11"/>
  <c r="G188" i="11" s="1"/>
  <c r="H188" i="11" s="1"/>
  <c r="H65" i="11"/>
  <c r="K69" i="9"/>
  <c r="L44" i="12"/>
  <c r="I14" i="14"/>
  <c r="I146" i="14" s="1"/>
  <c r="J115" i="10"/>
  <c r="J100" i="10" s="1"/>
  <c r="L151" i="18"/>
  <c r="H22" i="10"/>
  <c r="H31" i="10" s="1"/>
  <c r="H19" i="10"/>
  <c r="L44" i="16"/>
  <c r="H132" i="16"/>
  <c r="H63" i="16" s="1"/>
  <c r="H136" i="16"/>
  <c r="H75" i="16" s="1"/>
  <c r="H137" i="16"/>
  <c r="H76" i="16" s="1"/>
  <c r="G34" i="11"/>
  <c r="G165" i="11"/>
  <c r="K154" i="11"/>
  <c r="L48" i="16"/>
  <c r="J43" i="6"/>
  <c r="I14" i="6"/>
  <c r="J13" i="12"/>
  <c r="K41" i="12"/>
  <c r="K36" i="10"/>
  <c r="D161" i="10" s="1"/>
  <c r="G161" i="10" s="1"/>
  <c r="K161" i="10" s="1"/>
  <c r="L48" i="10"/>
  <c r="L36" i="10" s="1"/>
  <c r="D162" i="10" s="1"/>
  <c r="G162" i="10" s="1"/>
  <c r="L162" i="10" s="1"/>
  <c r="J15" i="8"/>
  <c r="H18" i="11"/>
  <c r="H16" i="11"/>
  <c r="L69" i="10"/>
  <c r="L44" i="19"/>
  <c r="K43" i="14"/>
  <c r="F33" i="15"/>
  <c r="F46" i="15"/>
  <c r="H46" i="15" s="1"/>
  <c r="L185" i="12"/>
  <c r="C192" i="12" s="1"/>
  <c r="L96" i="12"/>
  <c r="L56" i="12"/>
  <c r="L126" i="12"/>
  <c r="L151" i="13"/>
  <c r="H138" i="15"/>
  <c r="H139" i="15" s="1"/>
  <c r="H141" i="15" s="1"/>
  <c r="H104" i="15" s="1"/>
  <c r="H74" i="15"/>
  <c r="H77" i="15" s="1"/>
  <c r="H84" i="15" s="1"/>
  <c r="G33" i="19"/>
  <c r="G46" i="19"/>
  <c r="H109" i="16"/>
  <c r="D188" i="16"/>
  <c r="G188" i="16" s="1"/>
  <c r="H188" i="16" s="1"/>
  <c r="H65" i="16"/>
  <c r="I66" i="10"/>
  <c r="I15" i="12"/>
  <c r="I145" i="12"/>
  <c r="I130" i="12" s="1"/>
  <c r="I17" i="12"/>
  <c r="I147" i="12" s="1"/>
  <c r="I36" i="12"/>
  <c r="L201" i="15"/>
  <c r="L56" i="15"/>
  <c r="L185" i="15"/>
  <c r="C192" i="15" s="1"/>
  <c r="L126" i="15"/>
  <c r="L96" i="15"/>
  <c r="L48" i="13"/>
  <c r="I36" i="9"/>
  <c r="D159" i="9" s="1"/>
  <c r="G159" i="9" s="1"/>
  <c r="I159" i="9" s="1"/>
  <c r="I14" i="9"/>
  <c r="I15" i="9" s="1"/>
  <c r="K43" i="16"/>
  <c r="J14" i="16"/>
  <c r="J146" i="16" s="1"/>
  <c r="L69" i="13"/>
  <c r="K13" i="8"/>
  <c r="L41" i="8"/>
  <c r="L13" i="8" s="1"/>
  <c r="H133" i="11"/>
  <c r="H61" i="11"/>
  <c r="H64" i="11" s="1"/>
  <c r="J14" i="12"/>
  <c r="J146" i="12" s="1"/>
  <c r="K43" i="12"/>
  <c r="K41" i="16"/>
  <c r="J13" i="16"/>
  <c r="K151" i="12"/>
  <c r="F33" i="12"/>
  <c r="F46" i="12"/>
  <c r="H46" i="12" s="1"/>
  <c r="K14" i="8"/>
  <c r="L43" i="8"/>
  <c r="L14" i="8" s="1"/>
  <c r="I65" i="15"/>
  <c r="K41" i="19"/>
  <c r="J13" i="19"/>
  <c r="J14" i="19" s="1"/>
  <c r="J146" i="19" s="1"/>
  <c r="H135" i="18"/>
  <c r="H131" i="18"/>
  <c r="H62" i="18" s="1"/>
  <c r="H61" i="16"/>
  <c r="L44" i="13"/>
  <c r="H74" i="16"/>
  <c r="K69" i="11"/>
  <c r="L21" i="11" s="1"/>
  <c r="H109" i="18"/>
  <c r="D188" i="18"/>
  <c r="G188" i="18" s="1"/>
  <c r="H188" i="18" s="1"/>
  <c r="H65" i="18"/>
  <c r="J69" i="18"/>
  <c r="K21" i="16"/>
  <c r="K41" i="9"/>
  <c r="J13" i="9"/>
  <c r="H74" i="19"/>
  <c r="H136" i="19"/>
  <c r="H75" i="19" s="1"/>
  <c r="H132" i="19"/>
  <c r="H63" i="19" s="1"/>
  <c r="H46" i="6"/>
  <c r="D189" i="15"/>
  <c r="G189" i="15" s="1"/>
  <c r="I189" i="15" s="1"/>
  <c r="I109" i="15"/>
  <c r="L21" i="17"/>
  <c r="L102" i="17" s="1"/>
  <c r="K102" i="17"/>
  <c r="J14" i="15"/>
  <c r="J146" i="15" s="1"/>
  <c r="K43" i="15"/>
  <c r="L155" i="13"/>
  <c r="H74" i="12"/>
  <c r="H77" i="12" s="1"/>
  <c r="H84" i="12" s="1"/>
  <c r="H16" i="19"/>
  <c r="H18" i="19"/>
  <c r="K44" i="18"/>
  <c r="F33" i="13"/>
  <c r="F46" i="13"/>
  <c r="H46" i="13" s="1"/>
  <c r="F34" i="7"/>
  <c r="F97" i="7"/>
  <c r="H61" i="13"/>
  <c r="H137" i="18"/>
  <c r="H76" i="18" s="1"/>
  <c r="H132" i="18"/>
  <c r="H63" i="18" s="1"/>
  <c r="H136" i="18"/>
  <c r="H75" i="18" s="1"/>
  <c r="G34" i="15"/>
  <c r="G165" i="15"/>
  <c r="G33" i="14"/>
  <c r="G46" i="14"/>
  <c r="H137" i="17"/>
  <c r="H76" i="17" s="1"/>
  <c r="H132" i="17"/>
  <c r="H63" i="17" s="1"/>
  <c r="H136" i="17"/>
  <c r="H75" i="17" s="1"/>
  <c r="L154" i="18"/>
  <c r="H109" i="19"/>
  <c r="D188" i="19"/>
  <c r="G188" i="19" s="1"/>
  <c r="H188" i="19" s="1"/>
  <c r="H65" i="19"/>
  <c r="H136" i="14"/>
  <c r="H75" i="14" s="1"/>
  <c r="H137" i="14"/>
  <c r="H76" i="14" s="1"/>
  <c r="H132" i="14"/>
  <c r="H63" i="14" s="1"/>
  <c r="I135" i="12"/>
  <c r="I131" i="12"/>
  <c r="I62" i="12" s="1"/>
  <c r="F33" i="16"/>
  <c r="F46" i="16"/>
  <c r="H46" i="16" s="1"/>
  <c r="I145" i="16"/>
  <c r="I130" i="16" s="1"/>
  <c r="I15" i="16"/>
  <c r="I17" i="16"/>
  <c r="I147" i="16" s="1"/>
  <c r="I36" i="16"/>
  <c r="L36" i="15"/>
  <c r="K102" i="14"/>
  <c r="L21" i="14"/>
  <c r="L102" i="14" s="1"/>
  <c r="H64" i="10"/>
  <c r="H70" i="10" s="1"/>
  <c r="L154" i="16"/>
  <c r="I145" i="19"/>
  <c r="I130" i="19" s="1"/>
  <c r="I15" i="19"/>
  <c r="I36" i="19"/>
  <c r="I17" i="19"/>
  <c r="I147" i="19" s="1"/>
  <c r="H15" i="17"/>
  <c r="I14" i="18"/>
  <c r="I146" i="18" s="1"/>
  <c r="J43" i="18"/>
  <c r="H16" i="16"/>
  <c r="H18" i="16"/>
  <c r="G34" i="12"/>
  <c r="G165" i="12"/>
  <c r="K43" i="11"/>
  <c r="G34" i="13"/>
  <c r="G165" i="13"/>
  <c r="G33" i="7"/>
  <c r="G46" i="7"/>
  <c r="H46" i="7" s="1"/>
  <c r="L43" i="13"/>
  <c r="J135" i="11" l="1"/>
  <c r="J131" i="11"/>
  <c r="J62" i="11" s="1"/>
  <c r="J137" i="17"/>
  <c r="J76" i="17" s="1"/>
  <c r="J132" i="17"/>
  <c r="J63" i="17" s="1"/>
  <c r="J136" i="17"/>
  <c r="J75" i="17" s="1"/>
  <c r="I46" i="7"/>
  <c r="J135" i="19"/>
  <c r="J131" i="19"/>
  <c r="J62" i="19" s="1"/>
  <c r="L120" i="8"/>
  <c r="I18" i="9"/>
  <c r="I16" i="9"/>
  <c r="I18" i="7"/>
  <c r="I16" i="7"/>
  <c r="I65" i="18"/>
  <c r="L43" i="12"/>
  <c r="K14" i="12"/>
  <c r="K146" i="12" s="1"/>
  <c r="I135" i="14"/>
  <c r="I131" i="14"/>
  <c r="I62" i="14" s="1"/>
  <c r="I46" i="10"/>
  <c r="H32" i="10"/>
  <c r="G34" i="7"/>
  <c r="G97" i="7"/>
  <c r="L115" i="10"/>
  <c r="L100" i="10" s="1"/>
  <c r="K15" i="15"/>
  <c r="K145" i="15"/>
  <c r="K130" i="15" s="1"/>
  <c r="K36" i="15"/>
  <c r="I19" i="10"/>
  <c r="I22" i="10"/>
  <c r="I31" i="10" s="1"/>
  <c r="H18" i="13"/>
  <c r="H16" i="13"/>
  <c r="I15" i="18"/>
  <c r="L41" i="11"/>
  <c r="L13" i="11" s="1"/>
  <c r="K13" i="11"/>
  <c r="I65" i="12"/>
  <c r="L48" i="14"/>
  <c r="I65" i="14"/>
  <c r="I136" i="19"/>
  <c r="I75" i="19" s="1"/>
  <c r="I132" i="19"/>
  <c r="I63" i="19" s="1"/>
  <c r="I136" i="16"/>
  <c r="I75" i="16" s="1"/>
  <c r="I132" i="16"/>
  <c r="I63" i="16" s="1"/>
  <c r="I137" i="16"/>
  <c r="I76" i="16" s="1"/>
  <c r="H138" i="12"/>
  <c r="H138" i="16"/>
  <c r="L15" i="8"/>
  <c r="G34" i="19"/>
  <c r="G165" i="19"/>
  <c r="L43" i="14"/>
  <c r="K14" i="14"/>
  <c r="K146" i="14" s="1"/>
  <c r="I65" i="11"/>
  <c r="H67" i="11"/>
  <c r="H70" i="11" s="1"/>
  <c r="L151" i="11"/>
  <c r="K115" i="10"/>
  <c r="K100" i="10" s="1"/>
  <c r="L41" i="7"/>
  <c r="L13" i="7" s="1"/>
  <c r="K13" i="7"/>
  <c r="I16" i="15"/>
  <c r="I18" i="15"/>
  <c r="I46" i="11"/>
  <c r="I132" i="14"/>
  <c r="I63" i="14" s="1"/>
  <c r="I137" i="14"/>
  <c r="I76" i="14" s="1"/>
  <c r="I136" i="14"/>
  <c r="I75" i="14" s="1"/>
  <c r="J14" i="17"/>
  <c r="J146" i="17" s="1"/>
  <c r="K43" i="17"/>
  <c r="J188" i="13"/>
  <c r="I188" i="13"/>
  <c r="H194" i="13"/>
  <c r="H20" i="13" s="1"/>
  <c r="I188" i="14"/>
  <c r="I194" i="14" s="1"/>
  <c r="I20" i="14" s="1"/>
  <c r="I101" i="14" s="1"/>
  <c r="H194" i="14"/>
  <c r="H20" i="14" s="1"/>
  <c r="K228" i="14"/>
  <c r="K230" i="14" s="1"/>
  <c r="D189" i="19"/>
  <c r="G189" i="19" s="1"/>
  <c r="I189" i="19" s="1"/>
  <c r="I109" i="19"/>
  <c r="I16" i="16"/>
  <c r="I18" i="16"/>
  <c r="H133" i="13"/>
  <c r="H139" i="13" s="1"/>
  <c r="H141" i="13" s="1"/>
  <c r="H104" i="13" s="1"/>
  <c r="H77" i="19"/>
  <c r="H77" i="16"/>
  <c r="K15" i="8"/>
  <c r="K43" i="6"/>
  <c r="J14" i="6"/>
  <c r="J15" i="6" s="1"/>
  <c r="I188" i="11"/>
  <c r="I194" i="11" s="1"/>
  <c r="I20" i="11" s="1"/>
  <c r="H194" i="11"/>
  <c r="H20" i="11" s="1"/>
  <c r="H66" i="11" s="1"/>
  <c r="K132" i="15"/>
  <c r="K63" i="15" s="1"/>
  <c r="L151" i="15"/>
  <c r="J14" i="7"/>
  <c r="J15" i="7" s="1"/>
  <c r="H19" i="12"/>
  <c r="F34" i="11"/>
  <c r="F165" i="11"/>
  <c r="J109" i="15"/>
  <c r="D190" i="15"/>
  <c r="G190" i="15" s="1"/>
  <c r="J190" i="15" s="1"/>
  <c r="G34" i="6"/>
  <c r="G97" i="6"/>
  <c r="I188" i="12"/>
  <c r="L188" i="12" s="1"/>
  <c r="J188" i="12"/>
  <c r="K188" i="12"/>
  <c r="H194" i="12"/>
  <c r="H20" i="12" s="1"/>
  <c r="I15" i="14"/>
  <c r="I131" i="17"/>
  <c r="I62" i="17" s="1"/>
  <c r="I135" i="17"/>
  <c r="H101" i="15"/>
  <c r="H66" i="15"/>
  <c r="I74" i="19"/>
  <c r="H22" i="6"/>
  <c r="H31" i="6" s="1"/>
  <c r="H19" i="6"/>
  <c r="I18" i="19"/>
  <c r="I16" i="19"/>
  <c r="I133" i="16"/>
  <c r="I61" i="16"/>
  <c r="H138" i="19"/>
  <c r="I46" i="12"/>
  <c r="I19" i="8"/>
  <c r="I22" i="8"/>
  <c r="I31" i="8" s="1"/>
  <c r="L21" i="12"/>
  <c r="L102" i="12" s="1"/>
  <c r="K102" i="12"/>
  <c r="H101" i="17"/>
  <c r="H66" i="17"/>
  <c r="L151" i="19"/>
  <c r="L132" i="17"/>
  <c r="L63" i="17" s="1"/>
  <c r="L44" i="7"/>
  <c r="L17" i="7" s="1"/>
  <c r="K17" i="7"/>
  <c r="J15" i="15"/>
  <c r="K155" i="19"/>
  <c r="J137" i="19"/>
  <c r="J76" i="19" s="1"/>
  <c r="H19" i="15"/>
  <c r="H22" i="15"/>
  <c r="H31" i="15" s="1"/>
  <c r="L48" i="17"/>
  <c r="K36" i="17"/>
  <c r="I61" i="14"/>
  <c r="I64" i="10"/>
  <c r="I70" i="10" s="1"/>
  <c r="F34" i="17"/>
  <c r="F165" i="17"/>
  <c r="L155" i="16"/>
  <c r="I18" i="13"/>
  <c r="I16" i="13"/>
  <c r="L154" i="12"/>
  <c r="J136" i="14"/>
  <c r="J75" i="14" s="1"/>
  <c r="J137" i="14"/>
  <c r="J76" i="14" s="1"/>
  <c r="J132" i="14"/>
  <c r="J63" i="14" s="1"/>
  <c r="J145" i="14"/>
  <c r="J130" i="14" s="1"/>
  <c r="K102" i="15"/>
  <c r="I74" i="10"/>
  <c r="I77" i="10" s="1"/>
  <c r="I84" i="10" s="1"/>
  <c r="I108" i="10"/>
  <c r="I18" i="11"/>
  <c r="I16" i="11"/>
  <c r="F34" i="18"/>
  <c r="F165" i="18"/>
  <c r="J245" i="15"/>
  <c r="J247" i="15" s="1"/>
  <c r="I188" i="18"/>
  <c r="I194" i="18" s="1"/>
  <c r="I20" i="18" s="1"/>
  <c r="I101" i="18" s="1"/>
  <c r="K188" i="18"/>
  <c r="J188" i="18"/>
  <c r="H194" i="18"/>
  <c r="H20" i="18" s="1"/>
  <c r="J131" i="12"/>
  <c r="J62" i="12" s="1"/>
  <c r="J135" i="12"/>
  <c r="I46" i="15"/>
  <c r="H32" i="15"/>
  <c r="L17" i="11"/>
  <c r="L147" i="11" s="1"/>
  <c r="H138" i="13"/>
  <c r="H74" i="13"/>
  <c r="H77" i="13" s="1"/>
  <c r="H84" i="13" s="1"/>
  <c r="H19" i="14"/>
  <c r="H22" i="14"/>
  <c r="H31" i="14" s="1"/>
  <c r="L155" i="11"/>
  <c r="L137" i="11" s="1"/>
  <c r="L76" i="11" s="1"/>
  <c r="F34" i="10"/>
  <c r="F135" i="10"/>
  <c r="D192" i="15"/>
  <c r="G192" i="15" s="1"/>
  <c r="L192" i="15" s="1"/>
  <c r="L109" i="15"/>
  <c r="I65" i="19"/>
  <c r="I46" i="6"/>
  <c r="L41" i="12"/>
  <c r="K13" i="12"/>
  <c r="L43" i="19"/>
  <c r="L15" i="15"/>
  <c r="L145" i="15"/>
  <c r="L130" i="15" s="1"/>
  <c r="I133" i="18"/>
  <c r="I61" i="18"/>
  <c r="I46" i="8"/>
  <c r="H32" i="8"/>
  <c r="H33" i="8" s="1"/>
  <c r="J36" i="14"/>
  <c r="I65" i="13"/>
  <c r="H22" i="7"/>
  <c r="H31" i="7" s="1"/>
  <c r="H19" i="7"/>
  <c r="H16" i="17"/>
  <c r="H18" i="17"/>
  <c r="D189" i="16"/>
  <c r="G189" i="16" s="1"/>
  <c r="I189" i="16" s="1"/>
  <c r="I109" i="16"/>
  <c r="I188" i="19"/>
  <c r="H194" i="19"/>
  <c r="H20" i="19" s="1"/>
  <c r="L69" i="11"/>
  <c r="J65" i="15"/>
  <c r="J14" i="14"/>
  <c r="J146" i="14" s="1"/>
  <c r="J145" i="12"/>
  <c r="J130" i="12" s="1"/>
  <c r="J15" i="12"/>
  <c r="J36" i="12"/>
  <c r="J17" i="12"/>
  <c r="J147" i="12" s="1"/>
  <c r="K17" i="15"/>
  <c r="K147" i="15" s="1"/>
  <c r="L44" i="15"/>
  <c r="L17" i="15" s="1"/>
  <c r="L147" i="15" s="1"/>
  <c r="L137" i="15" s="1"/>
  <c r="L76" i="15" s="1"/>
  <c r="L44" i="10"/>
  <c r="L17" i="10" s="1"/>
  <c r="L117" i="10" s="1"/>
  <c r="L102" i="10" s="1"/>
  <c r="L63" i="10" s="1"/>
  <c r="K17" i="10"/>
  <c r="K117" i="10" s="1"/>
  <c r="K102" i="10" s="1"/>
  <c r="K63" i="10" s="1"/>
  <c r="I61" i="19"/>
  <c r="I133" i="19"/>
  <c r="I46" i="16"/>
  <c r="K14" i="15"/>
  <c r="K146" i="15" s="1"/>
  <c r="L43" i="15"/>
  <c r="L14" i="15" s="1"/>
  <c r="L146" i="15" s="1"/>
  <c r="J14" i="9"/>
  <c r="J15" i="9" s="1"/>
  <c r="J36" i="9"/>
  <c r="D160" i="9" s="1"/>
  <c r="G160" i="9" s="1"/>
  <c r="J160" i="9" s="1"/>
  <c r="F34" i="12"/>
  <c r="F165" i="12"/>
  <c r="J135" i="16"/>
  <c r="J131" i="16"/>
  <c r="J62" i="16" s="1"/>
  <c r="H33" i="10"/>
  <c r="J253" i="15"/>
  <c r="J251" i="15"/>
  <c r="J145" i="17"/>
  <c r="J130" i="17" s="1"/>
  <c r="L44" i="17"/>
  <c r="L17" i="17" s="1"/>
  <c r="L147" i="17" s="1"/>
  <c r="L137" i="17" s="1"/>
  <c r="L76" i="17" s="1"/>
  <c r="K17" i="17"/>
  <c r="K147" i="17" s="1"/>
  <c r="L14" i="7"/>
  <c r="J61" i="15"/>
  <c r="J133" i="15"/>
  <c r="J36" i="17"/>
  <c r="J15" i="18"/>
  <c r="J145" i="18"/>
  <c r="J130" i="18" s="1"/>
  <c r="I46" i="9"/>
  <c r="G34" i="16"/>
  <c r="G165" i="16"/>
  <c r="I103" i="10"/>
  <c r="H138" i="17"/>
  <c r="H74" i="17"/>
  <c r="H77" i="17" s="1"/>
  <c r="J222" i="14"/>
  <c r="J224" i="14" s="1"/>
  <c r="F34" i="16"/>
  <c r="F165" i="16"/>
  <c r="K13" i="9"/>
  <c r="L41" i="9"/>
  <c r="J14" i="18"/>
  <c r="J146" i="18" s="1"/>
  <c r="K43" i="18"/>
  <c r="H19" i="19"/>
  <c r="L41" i="19"/>
  <c r="K13" i="19"/>
  <c r="K65" i="8"/>
  <c r="L44" i="14"/>
  <c r="L41" i="14"/>
  <c r="K13" i="14"/>
  <c r="K36" i="14" s="1"/>
  <c r="I61" i="11"/>
  <c r="I46" i="19"/>
  <c r="I18" i="6"/>
  <c r="I16" i="6"/>
  <c r="J131" i="15"/>
  <c r="J62" i="15" s="1"/>
  <c r="J135" i="15"/>
  <c r="L44" i="18"/>
  <c r="J15" i="19"/>
  <c r="J145" i="19"/>
  <c r="J130" i="19" s="1"/>
  <c r="J17" i="19"/>
  <c r="J147" i="19" s="1"/>
  <c r="J36" i="19"/>
  <c r="I65" i="16"/>
  <c r="K17" i="9"/>
  <c r="L44" i="9"/>
  <c r="F34" i="19"/>
  <c r="F165" i="19"/>
  <c r="J188" i="16"/>
  <c r="K188" i="16"/>
  <c r="I188" i="16"/>
  <c r="I194" i="16" s="1"/>
  <c r="I20" i="16" s="1"/>
  <c r="I101" i="16" s="1"/>
  <c r="H194" i="16"/>
  <c r="H20" i="16" s="1"/>
  <c r="L188" i="16"/>
  <c r="L69" i="16"/>
  <c r="I74" i="11"/>
  <c r="I135" i="18"/>
  <c r="I131" i="18"/>
  <c r="I62" i="18" s="1"/>
  <c r="F34" i="15"/>
  <c r="F165" i="15"/>
  <c r="J136" i="15"/>
  <c r="J75" i="15" s="1"/>
  <c r="J137" i="15"/>
  <c r="J76" i="15" s="1"/>
  <c r="L44" i="6"/>
  <c r="K17" i="6"/>
  <c r="J145" i="11"/>
  <c r="J130" i="11" s="1"/>
  <c r="J15" i="11"/>
  <c r="J36" i="11"/>
  <c r="D190" i="11" s="1"/>
  <c r="G190" i="11" s="1"/>
  <c r="J190" i="11" s="1"/>
  <c r="J17" i="11"/>
  <c r="J147" i="11" s="1"/>
  <c r="K69" i="15"/>
  <c r="H139" i="11"/>
  <c r="H141" i="11" s="1"/>
  <c r="K14" i="11"/>
  <c r="K146" i="11" s="1"/>
  <c r="L43" i="11"/>
  <c r="L14" i="11" s="1"/>
  <c r="L146" i="11" s="1"/>
  <c r="D189" i="12"/>
  <c r="G189" i="12" s="1"/>
  <c r="I189" i="12" s="1"/>
  <c r="I109" i="12"/>
  <c r="H133" i="16"/>
  <c r="L151" i="12"/>
  <c r="L43" i="16"/>
  <c r="I136" i="12"/>
  <c r="I75" i="12" s="1"/>
  <c r="I132" i="12"/>
  <c r="I63" i="12" s="1"/>
  <c r="I137" i="12"/>
  <c r="I76" i="12" s="1"/>
  <c r="L155" i="12"/>
  <c r="L21" i="19"/>
  <c r="L102" i="19" s="1"/>
  <c r="K102" i="19"/>
  <c r="K13" i="17"/>
  <c r="L41" i="17"/>
  <c r="L13" i="17" s="1"/>
  <c r="L188" i="17"/>
  <c r="H22" i="18"/>
  <c r="H19" i="18"/>
  <c r="I132" i="13"/>
  <c r="I63" i="13" s="1"/>
  <c r="I137" i="13"/>
  <c r="I76" i="13" s="1"/>
  <c r="I136" i="13"/>
  <c r="I75" i="13" s="1"/>
  <c r="H133" i="19"/>
  <c r="H139" i="19" s="1"/>
  <c r="H141" i="19" s="1"/>
  <c r="H104" i="19" s="1"/>
  <c r="I74" i="15"/>
  <c r="I77" i="15" s="1"/>
  <c r="I84" i="15" s="1"/>
  <c r="I138" i="15"/>
  <c r="I139" i="15" s="1"/>
  <c r="I141" i="15" s="1"/>
  <c r="I104" i="15" s="1"/>
  <c r="L36" i="8"/>
  <c r="D124" i="8" s="1"/>
  <c r="G124" i="8" s="1"/>
  <c r="L124" i="8" s="1"/>
  <c r="J36" i="18"/>
  <c r="K238" i="15"/>
  <c r="J79" i="15"/>
  <c r="J101" i="10"/>
  <c r="J62" i="10" s="1"/>
  <c r="J105" i="10"/>
  <c r="J106" i="10"/>
  <c r="J75" i="10" s="1"/>
  <c r="H74" i="14"/>
  <c r="H77" i="14" s="1"/>
  <c r="H84" i="14" s="1"/>
  <c r="H138" i="14"/>
  <c r="K13" i="18"/>
  <c r="L41" i="18"/>
  <c r="L13" i="18" s="1"/>
  <c r="F34" i="9"/>
  <c r="F135" i="9"/>
  <c r="K188" i="15"/>
  <c r="J216" i="14"/>
  <c r="J218" i="14" s="1"/>
  <c r="H19" i="9"/>
  <c r="I46" i="13"/>
  <c r="K102" i="16"/>
  <c r="L21" i="16"/>
  <c r="L102" i="16" s="1"/>
  <c r="I61" i="12"/>
  <c r="H19" i="11"/>
  <c r="I46" i="14"/>
  <c r="H32" i="14"/>
  <c r="I65" i="9"/>
  <c r="I135" i="13"/>
  <c r="I131" i="13"/>
  <c r="I62" i="13" s="1"/>
  <c r="L21" i="9"/>
  <c r="L69" i="9" s="1"/>
  <c r="J145" i="13"/>
  <c r="J130" i="13" s="1"/>
  <c r="J36" i="13"/>
  <c r="J17" i="13"/>
  <c r="J147" i="13" s="1"/>
  <c r="J14" i="13"/>
  <c r="J146" i="13" s="1"/>
  <c r="K36" i="8"/>
  <c r="D123" i="8" s="1"/>
  <c r="G123" i="8" s="1"/>
  <c r="K123" i="8" s="1"/>
  <c r="L48" i="18"/>
  <c r="G34" i="17"/>
  <c r="G165" i="17"/>
  <c r="K14" i="10"/>
  <c r="K116" i="10" s="1"/>
  <c r="L43" i="10"/>
  <c r="L14" i="10" s="1"/>
  <c r="L116" i="10" s="1"/>
  <c r="K106" i="10"/>
  <c r="K75" i="10" s="1"/>
  <c r="L124" i="10"/>
  <c r="L21" i="8"/>
  <c r="L69" i="8" s="1"/>
  <c r="L36" i="11"/>
  <c r="D192" i="11" s="1"/>
  <c r="G192" i="11" s="1"/>
  <c r="L192" i="11" s="1"/>
  <c r="K69" i="19"/>
  <c r="I194" i="15"/>
  <c r="I20" i="15" s="1"/>
  <c r="I101" i="15" s="1"/>
  <c r="I138" i="12"/>
  <c r="I74" i="12"/>
  <c r="I77" i="12" s="1"/>
  <c r="I84" i="12" s="1"/>
  <c r="F34" i="13"/>
  <c r="F165" i="13"/>
  <c r="K69" i="18"/>
  <c r="J145" i="16"/>
  <c r="J130" i="16" s="1"/>
  <c r="J15" i="16"/>
  <c r="J36" i="16"/>
  <c r="J17" i="16"/>
  <c r="J147" i="16" s="1"/>
  <c r="I18" i="12"/>
  <c r="I16" i="12"/>
  <c r="L154" i="11"/>
  <c r="L136" i="11" s="1"/>
  <c r="L75" i="11" s="1"/>
  <c r="J61" i="10"/>
  <c r="J64" i="10" s="1"/>
  <c r="F34" i="14"/>
  <c r="F165" i="14"/>
  <c r="K120" i="8"/>
  <c r="I194" i="17"/>
  <c r="I20" i="17" s="1"/>
  <c r="I101" i="17" s="1"/>
  <c r="I158" i="9"/>
  <c r="I164" i="9" s="1"/>
  <c r="I20" i="9" s="1"/>
  <c r="H164" i="9"/>
  <c r="H20" i="9" s="1"/>
  <c r="H66" i="9" s="1"/>
  <c r="I66" i="9" s="1"/>
  <c r="I109" i="13"/>
  <c r="D189" i="13"/>
  <c r="G189" i="13" s="1"/>
  <c r="I189" i="13" s="1"/>
  <c r="H133" i="18"/>
  <c r="L41" i="13"/>
  <c r="K13" i="13"/>
  <c r="J107" i="10"/>
  <c r="J76" i="10" s="1"/>
  <c r="I15" i="17"/>
  <c r="H133" i="12"/>
  <c r="H139" i="12" s="1"/>
  <c r="H141" i="12" s="1"/>
  <c r="H104" i="12" s="1"/>
  <c r="L154" i="13"/>
  <c r="L235" i="15"/>
  <c r="L78" i="15"/>
  <c r="K21" i="18"/>
  <c r="H133" i="14"/>
  <c r="L69" i="14"/>
  <c r="I74" i="16"/>
  <c r="H22" i="16"/>
  <c r="H31" i="16" s="1"/>
  <c r="H19" i="16"/>
  <c r="G34" i="14"/>
  <c r="G165" i="14"/>
  <c r="J17" i="18"/>
  <c r="J147" i="18" s="1"/>
  <c r="L158" i="10"/>
  <c r="H74" i="18"/>
  <c r="H77" i="18" s="1"/>
  <c r="H138" i="18"/>
  <c r="L41" i="16"/>
  <c r="K13" i="16"/>
  <c r="J16" i="8"/>
  <c r="J18" i="8"/>
  <c r="J15" i="10"/>
  <c r="K65" i="10"/>
  <c r="G34" i="18"/>
  <c r="G165" i="18"/>
  <c r="H46" i="17"/>
  <c r="J17" i="9"/>
  <c r="I61" i="13"/>
  <c r="H77" i="11"/>
  <c r="H84" i="11" s="1"/>
  <c r="H133" i="17"/>
  <c r="H139" i="17" s="1"/>
  <c r="H141" i="17" s="1"/>
  <c r="H104" i="17" s="1"/>
  <c r="L125" i="10"/>
  <c r="L107" i="10" s="1"/>
  <c r="L76" i="10" s="1"/>
  <c r="K107" i="10"/>
  <c r="K76" i="10" s="1"/>
  <c r="I133" i="17"/>
  <c r="I61" i="17"/>
  <c r="L41" i="6"/>
  <c r="K13" i="6"/>
  <c r="I136" i="11"/>
  <c r="I75" i="11" s="1"/>
  <c r="I132" i="11"/>
  <c r="I63" i="11" s="1"/>
  <c r="I137" i="11"/>
  <c r="I76" i="11" s="1"/>
  <c r="L212" i="14"/>
  <c r="L78" i="14"/>
  <c r="H46" i="18"/>
  <c r="L154" i="17"/>
  <c r="L136" i="17" s="1"/>
  <c r="L75" i="17" s="1"/>
  <c r="K136" i="17"/>
  <c r="K75" i="17" s="1"/>
  <c r="H34" i="8" l="1"/>
  <c r="H86" i="8"/>
  <c r="J16" i="6"/>
  <c r="J18" i="6"/>
  <c r="J16" i="7"/>
  <c r="J18" i="7"/>
  <c r="D191" i="14"/>
  <c r="G191" i="14" s="1"/>
  <c r="K191" i="14" s="1"/>
  <c r="K109" i="14"/>
  <c r="K221" i="14"/>
  <c r="J80" i="14"/>
  <c r="J16" i="9"/>
  <c r="J18" i="9"/>
  <c r="K81" i="14"/>
  <c r="L227" i="14"/>
  <c r="J79" i="14"/>
  <c r="J82" i="14" s="1"/>
  <c r="K215" i="14"/>
  <c r="J80" i="15"/>
  <c r="K244" i="15"/>
  <c r="L65" i="10"/>
  <c r="J61" i="11"/>
  <c r="J16" i="18"/>
  <c r="J18" i="18"/>
  <c r="J135" i="14"/>
  <c r="J131" i="14"/>
  <c r="J62" i="14" s="1"/>
  <c r="L105" i="10"/>
  <c r="L101" i="10"/>
  <c r="L62" i="10" s="1"/>
  <c r="L145" i="18"/>
  <c r="L130" i="18" s="1"/>
  <c r="L15" i="18"/>
  <c r="J109" i="17"/>
  <c r="D190" i="17"/>
  <c r="G190" i="17" s="1"/>
  <c r="J190" i="17" s="1"/>
  <c r="J61" i="14"/>
  <c r="L155" i="19"/>
  <c r="K137" i="19"/>
  <c r="K76" i="19" s="1"/>
  <c r="H101" i="12"/>
  <c r="H66" i="12"/>
  <c r="K105" i="10"/>
  <c r="K101" i="10"/>
  <c r="K62" i="10" s="1"/>
  <c r="K145" i="18"/>
  <c r="K130" i="18" s="1"/>
  <c r="K15" i="18"/>
  <c r="J74" i="16"/>
  <c r="J138" i="16"/>
  <c r="I74" i="14"/>
  <c r="I77" i="14" s="1"/>
  <c r="I84" i="14" s="1"/>
  <c r="I138" i="14"/>
  <c r="H67" i="9"/>
  <c r="H70" i="9" s="1"/>
  <c r="J46" i="19"/>
  <c r="I22" i="15"/>
  <c r="I31" i="15" s="1"/>
  <c r="I19" i="15"/>
  <c r="J65" i="14"/>
  <c r="K135" i="12"/>
  <c r="K131" i="12"/>
  <c r="K62" i="12" s="1"/>
  <c r="I77" i="16"/>
  <c r="J158" i="9"/>
  <c r="K36" i="18"/>
  <c r="J65" i="9"/>
  <c r="I67" i="9"/>
  <c r="I70" i="9" s="1"/>
  <c r="K131" i="11"/>
  <c r="K62" i="11" s="1"/>
  <c r="K135" i="11"/>
  <c r="H66" i="16"/>
  <c r="H101" i="16"/>
  <c r="J133" i="19"/>
  <c r="J139" i="19" s="1"/>
  <c r="J61" i="19"/>
  <c r="L13" i="19"/>
  <c r="K132" i="17"/>
  <c r="K63" i="17" s="1"/>
  <c r="K137" i="17"/>
  <c r="K76" i="17" s="1"/>
  <c r="I194" i="19"/>
  <c r="I20" i="19" s="1"/>
  <c r="I101" i="19" s="1"/>
  <c r="K145" i="12"/>
  <c r="K130" i="12" s="1"/>
  <c r="K15" i="12"/>
  <c r="K36" i="12"/>
  <c r="K17" i="12"/>
  <c r="K147" i="12" s="1"/>
  <c r="H66" i="18"/>
  <c r="H101" i="18"/>
  <c r="J46" i="12"/>
  <c r="I77" i="19"/>
  <c r="H66" i="14"/>
  <c r="H101" i="14"/>
  <c r="K109" i="15"/>
  <c r="D191" i="15"/>
  <c r="G191" i="15" s="1"/>
  <c r="K191" i="15" s="1"/>
  <c r="L14" i="12"/>
  <c r="L146" i="12" s="1"/>
  <c r="J46" i="7"/>
  <c r="I133" i="13"/>
  <c r="I139" i="13" s="1"/>
  <c r="I141" i="13" s="1"/>
  <c r="I104" i="13" s="1"/>
  <c r="L13" i="16"/>
  <c r="I18" i="17"/>
  <c r="I16" i="17"/>
  <c r="L69" i="19"/>
  <c r="L36" i="18"/>
  <c r="H22" i="9"/>
  <c r="H31" i="9" s="1"/>
  <c r="J108" i="10"/>
  <c r="J74" i="10"/>
  <c r="J77" i="10" s="1"/>
  <c r="J84" i="10" s="1"/>
  <c r="J16" i="19"/>
  <c r="J18" i="19"/>
  <c r="I64" i="11"/>
  <c r="I109" i="10"/>
  <c r="I111" i="10" s="1"/>
  <c r="K137" i="15"/>
  <c r="K76" i="15" s="1"/>
  <c r="K136" i="15"/>
  <c r="K75" i="15" s="1"/>
  <c r="J65" i="13"/>
  <c r="L13" i="12"/>
  <c r="I138" i="19"/>
  <c r="I139" i="19" s="1"/>
  <c r="I141" i="19" s="1"/>
  <c r="I104" i="19" s="1"/>
  <c r="L136" i="15"/>
  <c r="L75" i="15" s="1"/>
  <c r="L132" i="15"/>
  <c r="L63" i="15" s="1"/>
  <c r="K16" i="8"/>
  <c r="K18" i="8"/>
  <c r="K15" i="7"/>
  <c r="K14" i="7"/>
  <c r="K61" i="15"/>
  <c r="K133" i="15"/>
  <c r="J18" i="10"/>
  <c r="J16" i="10"/>
  <c r="J65" i="16"/>
  <c r="L65" i="8"/>
  <c r="K65" i="15"/>
  <c r="I19" i="19"/>
  <c r="K188" i="13"/>
  <c r="J46" i="11"/>
  <c r="I67" i="11"/>
  <c r="J65" i="11"/>
  <c r="I74" i="13"/>
  <c r="I77" i="13" s="1"/>
  <c r="I84" i="13" s="1"/>
  <c r="I138" i="13"/>
  <c r="L17" i="6"/>
  <c r="D190" i="19"/>
  <c r="G190" i="19" s="1"/>
  <c r="J190" i="19" s="1"/>
  <c r="J109" i="19"/>
  <c r="K14" i="6"/>
  <c r="L43" i="6"/>
  <c r="L14" i="6" s="1"/>
  <c r="L43" i="17"/>
  <c r="L14" i="17" s="1"/>
  <c r="L146" i="17" s="1"/>
  <c r="K14" i="17"/>
  <c r="K146" i="17" s="1"/>
  <c r="K131" i="14"/>
  <c r="K62" i="14" s="1"/>
  <c r="K135" i="14"/>
  <c r="J138" i="19"/>
  <c r="J74" i="19"/>
  <c r="J77" i="19" s="1"/>
  <c r="I19" i="12"/>
  <c r="I22" i="12"/>
  <c r="I31" i="12" s="1"/>
  <c r="J136" i="19"/>
  <c r="J75" i="19" s="1"/>
  <c r="J132" i="19"/>
  <c r="J63" i="19" s="1"/>
  <c r="K145" i="19"/>
  <c r="K130" i="19" s="1"/>
  <c r="K36" i="19"/>
  <c r="K17" i="19"/>
  <c r="K147" i="19" s="1"/>
  <c r="H66" i="19"/>
  <c r="H101" i="19"/>
  <c r="I133" i="11"/>
  <c r="J109" i="14"/>
  <c r="D190" i="14"/>
  <c r="G190" i="14" s="1"/>
  <c r="J190" i="14" s="1"/>
  <c r="I133" i="14"/>
  <c r="I139" i="14" s="1"/>
  <c r="I141" i="14" s="1"/>
  <c r="I104" i="14" s="1"/>
  <c r="L15" i="7"/>
  <c r="K18" i="15"/>
  <c r="K16" i="15"/>
  <c r="I46" i="17"/>
  <c r="H32" i="17"/>
  <c r="J135" i="13"/>
  <c r="J131" i="13"/>
  <c r="J62" i="13" s="1"/>
  <c r="L69" i="15"/>
  <c r="K17" i="18"/>
  <c r="K147" i="18" s="1"/>
  <c r="L43" i="18"/>
  <c r="L14" i="18" s="1"/>
  <c r="L146" i="18" s="1"/>
  <c r="K14" i="18"/>
  <c r="K146" i="18" s="1"/>
  <c r="J15" i="17"/>
  <c r="L188" i="18"/>
  <c r="D191" i="17"/>
  <c r="G191" i="17" s="1"/>
  <c r="K191" i="17" s="1"/>
  <c r="K109" i="17"/>
  <c r="I66" i="11"/>
  <c r="J188" i="14"/>
  <c r="J65" i="12"/>
  <c r="L61" i="10"/>
  <c r="L64" i="10" s="1"/>
  <c r="K15" i="6"/>
  <c r="L13" i="13"/>
  <c r="J109" i="16"/>
  <c r="D190" i="16"/>
  <c r="G190" i="16" s="1"/>
  <c r="J190" i="16" s="1"/>
  <c r="J137" i="13"/>
  <c r="J76" i="13" s="1"/>
  <c r="J132" i="13"/>
  <c r="J63" i="13" s="1"/>
  <c r="J136" i="13"/>
  <c r="J75" i="13" s="1"/>
  <c r="K239" i="15"/>
  <c r="K241" i="15" s="1"/>
  <c r="L145" i="17"/>
  <c r="L130" i="17" s="1"/>
  <c r="J136" i="11"/>
  <c r="J75" i="11" s="1"/>
  <c r="J137" i="11"/>
  <c r="J76" i="11" s="1"/>
  <c r="J132" i="11"/>
  <c r="J63" i="11" s="1"/>
  <c r="I74" i="18"/>
  <c r="I77" i="18" s="1"/>
  <c r="I138" i="18"/>
  <c r="I139" i="18" s="1"/>
  <c r="I141" i="18" s="1"/>
  <c r="I104" i="18" s="1"/>
  <c r="J74" i="15"/>
  <c r="J77" i="15" s="1"/>
  <c r="J138" i="15"/>
  <c r="L13" i="14"/>
  <c r="J135" i="18"/>
  <c r="J131" i="18"/>
  <c r="J62" i="18" s="1"/>
  <c r="J61" i="17"/>
  <c r="L135" i="15"/>
  <c r="L131" i="15"/>
  <c r="L62" i="15" s="1"/>
  <c r="J109" i="12"/>
  <c r="D190" i="12"/>
  <c r="G190" i="12" s="1"/>
  <c r="J190" i="12" s="1"/>
  <c r="I32" i="8"/>
  <c r="I33" i="8" s="1"/>
  <c r="I34" i="8" s="1"/>
  <c r="J46" i="8"/>
  <c r="J46" i="6"/>
  <c r="I32" i="6"/>
  <c r="I19" i="13"/>
  <c r="L36" i="17"/>
  <c r="J65" i="17"/>
  <c r="J188" i="11"/>
  <c r="L69" i="12"/>
  <c r="K61" i="10"/>
  <c r="K64" i="10" s="1"/>
  <c r="L15" i="10"/>
  <c r="I22" i="7"/>
  <c r="I31" i="7" s="1"/>
  <c r="I19" i="7"/>
  <c r="L13" i="6"/>
  <c r="J137" i="18"/>
  <c r="J76" i="18" s="1"/>
  <c r="J132" i="18"/>
  <c r="J63" i="18" s="1"/>
  <c r="J136" i="18"/>
  <c r="J75" i="18" s="1"/>
  <c r="H139" i="18"/>
  <c r="H141" i="18" s="1"/>
  <c r="H104" i="18" s="1"/>
  <c r="J18" i="16"/>
  <c r="J16" i="16"/>
  <c r="D190" i="13"/>
  <c r="G190" i="13" s="1"/>
  <c r="J190" i="13" s="1"/>
  <c r="J109" i="13"/>
  <c r="H22" i="11"/>
  <c r="H31" i="11" s="1"/>
  <c r="D190" i="18"/>
  <c r="G190" i="18" s="1"/>
  <c r="J190" i="18" s="1"/>
  <c r="J109" i="18"/>
  <c r="K145" i="17"/>
  <c r="K130" i="17" s="1"/>
  <c r="I138" i="11"/>
  <c r="L13" i="9"/>
  <c r="I32" i="9"/>
  <c r="J46" i="9"/>
  <c r="K131" i="15"/>
  <c r="K62" i="15" s="1"/>
  <c r="K135" i="15"/>
  <c r="J18" i="12"/>
  <c r="J16" i="12"/>
  <c r="L21" i="15"/>
  <c r="L102" i="15" s="1"/>
  <c r="H33" i="15"/>
  <c r="I74" i="17"/>
  <c r="I77" i="17" s="1"/>
  <c r="I138" i="17"/>
  <c r="I139" i="17" s="1"/>
  <c r="I141" i="17" s="1"/>
  <c r="I104" i="17" s="1"/>
  <c r="I19" i="16"/>
  <c r="I22" i="16"/>
  <c r="I31" i="16" s="1"/>
  <c r="H66" i="13"/>
  <c r="H101" i="13"/>
  <c r="K15" i="10"/>
  <c r="K15" i="11"/>
  <c r="K145" i="11"/>
  <c r="K130" i="11" s="1"/>
  <c r="K36" i="11"/>
  <c r="D191" i="11" s="1"/>
  <c r="G191" i="11" s="1"/>
  <c r="K191" i="11" s="1"/>
  <c r="K17" i="11"/>
  <c r="K147" i="11" s="1"/>
  <c r="J74" i="11"/>
  <c r="J77" i="11" s="1"/>
  <c r="J84" i="11" s="1"/>
  <c r="J61" i="13"/>
  <c r="J133" i="13"/>
  <c r="I19" i="6"/>
  <c r="I22" i="6"/>
  <c r="I31" i="6" s="1"/>
  <c r="H86" i="10"/>
  <c r="H34" i="10"/>
  <c r="J46" i="16"/>
  <c r="I32" i="16"/>
  <c r="J15" i="14"/>
  <c r="I16" i="14"/>
  <c r="I18" i="14"/>
  <c r="I18" i="18"/>
  <c r="I16" i="18"/>
  <c r="L61" i="15"/>
  <c r="H22" i="12"/>
  <c r="H31" i="12" s="1"/>
  <c r="I32" i="10"/>
  <c r="J46" i="10"/>
  <c r="J19" i="8"/>
  <c r="J139" i="15"/>
  <c r="J141" i="15" s="1"/>
  <c r="J104" i="15" s="1"/>
  <c r="L18" i="15"/>
  <c r="L16" i="15"/>
  <c r="I32" i="15"/>
  <c r="J46" i="15"/>
  <c r="J18" i="15"/>
  <c r="J16" i="15"/>
  <c r="H22" i="13"/>
  <c r="H31" i="13" s="1"/>
  <c r="H19" i="13"/>
  <c r="I46" i="18"/>
  <c r="J74" i="12"/>
  <c r="J77" i="12" s="1"/>
  <c r="J84" i="12" s="1"/>
  <c r="J138" i="12"/>
  <c r="I33" i="10"/>
  <c r="I34" i="10" s="1"/>
  <c r="I138" i="16"/>
  <c r="I139" i="16" s="1"/>
  <c r="I141" i="16" s="1"/>
  <c r="I104" i="16" s="1"/>
  <c r="J46" i="13"/>
  <c r="L131" i="11"/>
  <c r="L62" i="11" s="1"/>
  <c r="L135" i="11"/>
  <c r="K14" i="19"/>
  <c r="K146" i="19" s="1"/>
  <c r="I194" i="12"/>
  <c r="I20" i="12" s="1"/>
  <c r="I101" i="12" s="1"/>
  <c r="J135" i="17"/>
  <c r="J131" i="17"/>
  <c r="J62" i="17" s="1"/>
  <c r="L14" i="14"/>
  <c r="L146" i="14" s="1"/>
  <c r="H32" i="7"/>
  <c r="H33" i="7" s="1"/>
  <c r="H34" i="7" s="1"/>
  <c r="K15" i="16"/>
  <c r="K145" i="16"/>
  <c r="K130" i="16" s="1"/>
  <c r="K36" i="16"/>
  <c r="K17" i="16"/>
  <c r="K147" i="16" s="1"/>
  <c r="H139" i="14"/>
  <c r="H141" i="14" s="1"/>
  <c r="H104" i="14" s="1"/>
  <c r="L17" i="18"/>
  <c r="L147" i="18" s="1"/>
  <c r="H22" i="19"/>
  <c r="J188" i="19"/>
  <c r="H33" i="14"/>
  <c r="I22" i="11"/>
  <c r="I31" i="11" s="1"/>
  <c r="I32" i="11" s="1"/>
  <c r="I19" i="11"/>
  <c r="I66" i="15"/>
  <c r="H67" i="15"/>
  <c r="L16" i="8"/>
  <c r="L18" i="8"/>
  <c r="J65" i="18"/>
  <c r="K145" i="13"/>
  <c r="K130" i="13" s="1"/>
  <c r="K15" i="13"/>
  <c r="K14" i="13"/>
  <c r="K146" i="13" s="1"/>
  <c r="K17" i="13"/>
  <c r="K147" i="13" s="1"/>
  <c r="K36" i="13"/>
  <c r="J136" i="16"/>
  <c r="J75" i="16" s="1"/>
  <c r="J132" i="16"/>
  <c r="J63" i="16" s="1"/>
  <c r="J137" i="16"/>
  <c r="J76" i="16" s="1"/>
  <c r="J46" i="14"/>
  <c r="J82" i="15"/>
  <c r="K14" i="16"/>
  <c r="K146" i="16" s="1"/>
  <c r="K15" i="14"/>
  <c r="K145" i="14"/>
  <c r="K130" i="14" s="1"/>
  <c r="J137" i="12"/>
  <c r="J76" i="12" s="1"/>
  <c r="J132" i="12"/>
  <c r="J63" i="12" s="1"/>
  <c r="J136" i="12"/>
  <c r="J75" i="12" s="1"/>
  <c r="H32" i="6"/>
  <c r="H33" i="6" s="1"/>
  <c r="H34" i="6" s="1"/>
  <c r="L21" i="18"/>
  <c r="L102" i="18" s="1"/>
  <c r="K102" i="18"/>
  <c r="J103" i="10"/>
  <c r="J109" i="10" s="1"/>
  <c r="J111" i="10" s="1"/>
  <c r="J61" i="16"/>
  <c r="J133" i="16"/>
  <c r="J139" i="16" s="1"/>
  <c r="L106" i="10"/>
  <c r="L75" i="10" s="1"/>
  <c r="J15" i="13"/>
  <c r="I133" i="12"/>
  <c r="I139" i="12" s="1"/>
  <c r="I141" i="12" s="1"/>
  <c r="I104" i="12" s="1"/>
  <c r="H139" i="16"/>
  <c r="H141" i="16" s="1"/>
  <c r="H104" i="16" s="1"/>
  <c r="J16" i="11"/>
  <c r="J18" i="11"/>
  <c r="I77" i="11"/>
  <c r="I84" i="11" s="1"/>
  <c r="L17" i="9"/>
  <c r="K17" i="14"/>
  <c r="K147" i="14" s="1"/>
  <c r="K36" i="9"/>
  <c r="D161" i="9" s="1"/>
  <c r="G161" i="9" s="1"/>
  <c r="K161" i="9" s="1"/>
  <c r="K14" i="9"/>
  <c r="K15" i="9" s="1"/>
  <c r="J61" i="18"/>
  <c r="J81" i="15"/>
  <c r="K250" i="15"/>
  <c r="H32" i="16"/>
  <c r="H33" i="16" s="1"/>
  <c r="J61" i="12"/>
  <c r="J133" i="12"/>
  <c r="H22" i="17"/>
  <c r="H31" i="17" s="1"/>
  <c r="H19" i="17"/>
  <c r="J65" i="19"/>
  <c r="I66" i="17"/>
  <c r="H67" i="17"/>
  <c r="I194" i="13"/>
  <c r="I20" i="13" s="1"/>
  <c r="I101" i="13" s="1"/>
  <c r="L132" i="11"/>
  <c r="L63" i="11" s="1"/>
  <c r="L145" i="11"/>
  <c r="L130" i="11" s="1"/>
  <c r="L15" i="11"/>
  <c r="I22" i="9"/>
  <c r="I31" i="9" s="1"/>
  <c r="I19" i="9"/>
  <c r="L188" i="15"/>
  <c r="K79" i="15" l="1"/>
  <c r="L238" i="15"/>
  <c r="K16" i="9"/>
  <c r="K18" i="9"/>
  <c r="L188" i="19"/>
  <c r="H100" i="16"/>
  <c r="H103" i="16" s="1"/>
  <c r="H105" i="16" s="1"/>
  <c r="H206" i="16" s="1"/>
  <c r="H207" i="16" s="1"/>
  <c r="H214" i="16" s="1"/>
  <c r="H34" i="16"/>
  <c r="H86" i="16"/>
  <c r="K61" i="14"/>
  <c r="K133" i="14"/>
  <c r="K139" i="14" s="1"/>
  <c r="K18" i="16"/>
  <c r="K16" i="16"/>
  <c r="L61" i="11"/>
  <c r="L64" i="11" s="1"/>
  <c r="L133" i="11"/>
  <c r="I33" i="7"/>
  <c r="I34" i="7" s="1"/>
  <c r="K65" i="12"/>
  <c r="K61" i="19"/>
  <c r="L135" i="12"/>
  <c r="L131" i="12"/>
  <c r="L62" i="12" s="1"/>
  <c r="K16" i="18"/>
  <c r="K18" i="18"/>
  <c r="K251" i="15"/>
  <c r="K253" i="15" s="1"/>
  <c r="H32" i="12"/>
  <c r="H33" i="12" s="1"/>
  <c r="K139" i="15"/>
  <c r="K141" i="15" s="1"/>
  <c r="K104" i="15" s="1"/>
  <c r="K61" i="12"/>
  <c r="K65" i="9"/>
  <c r="K61" i="18"/>
  <c r="D191" i="13"/>
  <c r="G191" i="13" s="1"/>
  <c r="K191" i="13" s="1"/>
  <c r="K109" i="13"/>
  <c r="I67" i="15"/>
  <c r="L14" i="9"/>
  <c r="L15" i="9" s="1"/>
  <c r="L36" i="9"/>
  <c r="D162" i="9" s="1"/>
  <c r="G162" i="9" s="1"/>
  <c r="L162" i="9" s="1"/>
  <c r="L145" i="14"/>
  <c r="L130" i="14" s="1"/>
  <c r="L15" i="14"/>
  <c r="K188" i="14"/>
  <c r="L61" i="18"/>
  <c r="K222" i="14"/>
  <c r="K224" i="14" s="1"/>
  <c r="J16" i="13"/>
  <c r="J18" i="13"/>
  <c r="K132" i="13"/>
  <c r="K63" i="13" s="1"/>
  <c r="K137" i="13"/>
  <c r="K76" i="13" s="1"/>
  <c r="K136" i="13"/>
  <c r="K75" i="13" s="1"/>
  <c r="K109" i="16"/>
  <c r="D191" i="16"/>
  <c r="G191" i="16" s="1"/>
  <c r="K191" i="16" s="1"/>
  <c r="K46" i="13"/>
  <c r="J19" i="15"/>
  <c r="L133" i="15"/>
  <c r="I86" i="10"/>
  <c r="H87" i="10"/>
  <c r="H89" i="10" s="1"/>
  <c r="K61" i="11"/>
  <c r="K64" i="11" s="1"/>
  <c r="L17" i="14"/>
  <c r="L147" i="14" s="1"/>
  <c r="K103" i="10"/>
  <c r="K46" i="6"/>
  <c r="J32" i="6"/>
  <c r="K65" i="13"/>
  <c r="H33" i="9"/>
  <c r="H32" i="9"/>
  <c r="K158" i="9"/>
  <c r="K74" i="10"/>
  <c r="K77" i="10" s="1"/>
  <c r="K84" i="10" s="1"/>
  <c r="K108" i="10"/>
  <c r="I67" i="17"/>
  <c r="I33" i="11"/>
  <c r="I34" i="11" s="1"/>
  <c r="J19" i="16"/>
  <c r="L145" i="19"/>
  <c r="L130" i="19" s="1"/>
  <c r="L17" i="19"/>
  <c r="L147" i="19" s="1"/>
  <c r="L36" i="19"/>
  <c r="K18" i="14"/>
  <c r="K16" i="14"/>
  <c r="H100" i="14"/>
  <c r="H103" i="14" s="1"/>
  <c r="H105" i="14" s="1"/>
  <c r="H119" i="14" s="1"/>
  <c r="H60" i="14" s="1"/>
  <c r="H34" i="14"/>
  <c r="H86" i="14"/>
  <c r="K46" i="9"/>
  <c r="K137" i="18"/>
  <c r="K76" i="18" s="1"/>
  <c r="K132" i="18"/>
  <c r="K63" i="18" s="1"/>
  <c r="K136" i="18"/>
  <c r="K75" i="18" s="1"/>
  <c r="K131" i="17"/>
  <c r="K135" i="17"/>
  <c r="K65" i="11"/>
  <c r="J19" i="10"/>
  <c r="K18" i="12"/>
  <c r="K16" i="12"/>
  <c r="K46" i="19"/>
  <c r="J64" i="11"/>
  <c r="L74" i="11"/>
  <c r="L77" i="11" s="1"/>
  <c r="L84" i="11" s="1"/>
  <c r="L138" i="11"/>
  <c r="H33" i="13"/>
  <c r="H32" i="13"/>
  <c r="K46" i="16"/>
  <c r="K132" i="11"/>
  <c r="K63" i="11" s="1"/>
  <c r="K136" i="11"/>
  <c r="K75" i="11" s="1"/>
  <c r="K137" i="11"/>
  <c r="K76" i="11" s="1"/>
  <c r="H32" i="11"/>
  <c r="H33" i="11" s="1"/>
  <c r="L16" i="10"/>
  <c r="L18" i="10"/>
  <c r="J138" i="18"/>
  <c r="J74" i="18"/>
  <c r="J77" i="18" s="1"/>
  <c r="L135" i="17"/>
  <c r="L131" i="17"/>
  <c r="L62" i="17" s="1"/>
  <c r="L15" i="12"/>
  <c r="L145" i="12"/>
  <c r="L130" i="12" s="1"/>
  <c r="L17" i="12"/>
  <c r="L147" i="12" s="1"/>
  <c r="L36" i="12"/>
  <c r="L18" i="18"/>
  <c r="L16" i="18"/>
  <c r="K136" i="16"/>
  <c r="K75" i="16" s="1"/>
  <c r="K132" i="16"/>
  <c r="K63" i="16" s="1"/>
  <c r="K137" i="16"/>
  <c r="K76" i="16" s="1"/>
  <c r="H100" i="15"/>
  <c r="H103" i="15" s="1"/>
  <c r="H105" i="15" s="1"/>
  <c r="H119" i="15" s="1"/>
  <c r="H60" i="15" s="1"/>
  <c r="H86" i="15"/>
  <c r="H34" i="15"/>
  <c r="K46" i="11"/>
  <c r="K109" i="18"/>
  <c r="D191" i="18"/>
  <c r="G191" i="18" s="1"/>
  <c r="K191" i="18" s="1"/>
  <c r="J133" i="18"/>
  <c r="K135" i="13"/>
  <c r="K131" i="13"/>
  <c r="K61" i="16"/>
  <c r="K46" i="15"/>
  <c r="I33" i="6"/>
  <c r="I34" i="6" s="1"/>
  <c r="K18" i="11"/>
  <c r="K16" i="11"/>
  <c r="K46" i="8"/>
  <c r="J84" i="15"/>
  <c r="I139" i="11"/>
  <c r="I141" i="11" s="1"/>
  <c r="L188" i="13"/>
  <c r="K18" i="7"/>
  <c r="K16" i="7"/>
  <c r="D192" i="18"/>
  <c r="G192" i="18" s="1"/>
  <c r="L192" i="18" s="1"/>
  <c r="L109" i="18"/>
  <c r="I66" i="14"/>
  <c r="H67" i="14"/>
  <c r="L74" i="10"/>
  <c r="L77" i="10" s="1"/>
  <c r="L84" i="10" s="1"/>
  <c r="L108" i="10"/>
  <c r="I66" i="12"/>
  <c r="H67" i="12"/>
  <c r="K247" i="15"/>
  <c r="K245" i="15"/>
  <c r="J22" i="7"/>
  <c r="J31" i="7" s="1"/>
  <c r="J19" i="7"/>
  <c r="L14" i="19"/>
  <c r="L146" i="19" s="1"/>
  <c r="I22" i="19"/>
  <c r="K19" i="8"/>
  <c r="K46" i="12"/>
  <c r="K138" i="12"/>
  <c r="K74" i="12"/>
  <c r="J77" i="16"/>
  <c r="J141" i="16"/>
  <c r="J104" i="16" s="1"/>
  <c r="K16" i="13"/>
  <c r="K18" i="13"/>
  <c r="K16" i="10"/>
  <c r="K18" i="10"/>
  <c r="J74" i="13"/>
  <c r="J77" i="13" s="1"/>
  <c r="J84" i="13" s="1"/>
  <c r="J138" i="13"/>
  <c r="J139" i="13" s="1"/>
  <c r="J141" i="13" s="1"/>
  <c r="J104" i="13" s="1"/>
  <c r="L65" i="15"/>
  <c r="K61" i="13"/>
  <c r="K65" i="19"/>
  <c r="K131" i="16"/>
  <c r="K62" i="16" s="1"/>
  <c r="K135" i="16"/>
  <c r="L131" i="14"/>
  <c r="L62" i="14" s="1"/>
  <c r="L135" i="14"/>
  <c r="L19" i="15"/>
  <c r="I19" i="18"/>
  <c r="I22" i="18"/>
  <c r="I66" i="13"/>
  <c r="H67" i="13"/>
  <c r="L145" i="13"/>
  <c r="L130" i="13" s="1"/>
  <c r="L14" i="13"/>
  <c r="L146" i="13" s="1"/>
  <c r="L17" i="13"/>
  <c r="L147" i="13" s="1"/>
  <c r="L36" i="13"/>
  <c r="J46" i="17"/>
  <c r="I22" i="17"/>
  <c r="I31" i="17" s="1"/>
  <c r="I19" i="17"/>
  <c r="I32" i="12"/>
  <c r="I33" i="12" s="1"/>
  <c r="J141" i="19"/>
  <c r="J104" i="19" s="1"/>
  <c r="K218" i="14"/>
  <c r="K216" i="14"/>
  <c r="J19" i="6"/>
  <c r="J22" i="6"/>
  <c r="J31" i="6" s="1"/>
  <c r="K136" i="14"/>
  <c r="K75" i="14" s="1"/>
  <c r="K132" i="14"/>
  <c r="K63" i="14" s="1"/>
  <c r="K137" i="14"/>
  <c r="K76" i="14" s="1"/>
  <c r="K65" i="18"/>
  <c r="I19" i="14"/>
  <c r="I22" i="14"/>
  <c r="I31" i="14" s="1"/>
  <c r="L69" i="18"/>
  <c r="I33" i="16"/>
  <c r="K61" i="17"/>
  <c r="K65" i="17"/>
  <c r="K188" i="19"/>
  <c r="I66" i="19"/>
  <c r="H67" i="19"/>
  <c r="L145" i="16"/>
  <c r="L130" i="16" s="1"/>
  <c r="L15" i="16"/>
  <c r="L17" i="16"/>
  <c r="L147" i="16" s="1"/>
  <c r="L36" i="16"/>
  <c r="K65" i="14"/>
  <c r="J138" i="14"/>
  <c r="J74" i="14"/>
  <c r="J77" i="14" s="1"/>
  <c r="J84" i="14" s="1"/>
  <c r="H33" i="17"/>
  <c r="K46" i="14"/>
  <c r="L137" i="18"/>
  <c r="L76" i="18" s="1"/>
  <c r="L136" i="18"/>
  <c r="L75" i="18" s="1"/>
  <c r="L132" i="18"/>
  <c r="L63" i="18" s="1"/>
  <c r="J138" i="17"/>
  <c r="J74" i="17"/>
  <c r="J77" i="17" s="1"/>
  <c r="J19" i="12"/>
  <c r="K15" i="17"/>
  <c r="D192" i="17"/>
  <c r="G192" i="17" s="1"/>
  <c r="L192" i="17" s="1"/>
  <c r="L109" i="17"/>
  <c r="L74" i="15"/>
  <c r="L77" i="15" s="1"/>
  <c r="L138" i="15"/>
  <c r="K18" i="6"/>
  <c r="K16" i="6"/>
  <c r="J16" i="17"/>
  <c r="J18" i="17"/>
  <c r="K19" i="15"/>
  <c r="K136" i="19"/>
  <c r="K75" i="19" s="1"/>
  <c r="K132" i="19"/>
  <c r="K63" i="19" s="1"/>
  <c r="K65" i="16"/>
  <c r="I66" i="18"/>
  <c r="H67" i="18"/>
  <c r="I66" i="16"/>
  <c r="H67" i="16"/>
  <c r="J133" i="14"/>
  <c r="J19" i="18"/>
  <c r="L228" i="14"/>
  <c r="L230" i="14" s="1"/>
  <c r="L81" i="14" s="1"/>
  <c r="I86" i="8"/>
  <c r="H87" i="8"/>
  <c r="H89" i="8" s="1"/>
  <c r="I33" i="9"/>
  <c r="I34" i="9" s="1"/>
  <c r="J139" i="12"/>
  <c r="J141" i="12" s="1"/>
  <c r="J104" i="12" s="1"/>
  <c r="L19" i="8"/>
  <c r="L14" i="16"/>
  <c r="L146" i="16" s="1"/>
  <c r="J16" i="14"/>
  <c r="J18" i="14"/>
  <c r="K188" i="11"/>
  <c r="K74" i="15"/>
  <c r="K77" i="15" s="1"/>
  <c r="K138" i="15"/>
  <c r="L15" i="6"/>
  <c r="I22" i="13"/>
  <c r="I31" i="13" s="1"/>
  <c r="L61" i="17"/>
  <c r="L133" i="17"/>
  <c r="K131" i="18"/>
  <c r="K62" i="18" s="1"/>
  <c r="K135" i="18"/>
  <c r="L36" i="14"/>
  <c r="D191" i="19"/>
  <c r="G191" i="19" s="1"/>
  <c r="K191" i="19" s="1"/>
  <c r="K109" i="19"/>
  <c r="K138" i="14"/>
  <c r="K74" i="14"/>
  <c r="K77" i="14" s="1"/>
  <c r="I70" i="11"/>
  <c r="J32" i="7"/>
  <c r="K46" i="7"/>
  <c r="K132" i="12"/>
  <c r="K63" i="12" s="1"/>
  <c r="K137" i="12"/>
  <c r="K76" i="12" s="1"/>
  <c r="K136" i="12"/>
  <c r="K75" i="12" s="1"/>
  <c r="K74" i="11"/>
  <c r="I33" i="15"/>
  <c r="L18" i="11"/>
  <c r="L16" i="11"/>
  <c r="J19" i="11"/>
  <c r="K135" i="19"/>
  <c r="K131" i="19"/>
  <c r="K62" i="19" s="1"/>
  <c r="J46" i="18"/>
  <c r="K46" i="10"/>
  <c r="J138" i="11"/>
  <c r="J133" i="17"/>
  <c r="J139" i="17" s="1"/>
  <c r="J141" i="17" s="1"/>
  <c r="J104" i="17" s="1"/>
  <c r="L15" i="17"/>
  <c r="L103" i="10"/>
  <c r="L131" i="18"/>
  <c r="L135" i="18"/>
  <c r="L18" i="7"/>
  <c r="L16" i="7"/>
  <c r="K15" i="19"/>
  <c r="J19" i="19"/>
  <c r="I32" i="7"/>
  <c r="K109" i="12"/>
  <c r="D191" i="12"/>
  <c r="G191" i="12" s="1"/>
  <c r="K191" i="12" s="1"/>
  <c r="J133" i="11"/>
  <c r="J139" i="11" s="1"/>
  <c r="J141" i="11" s="1"/>
  <c r="J19" i="9"/>
  <c r="K80" i="14" l="1"/>
  <c r="L221" i="14"/>
  <c r="I32" i="13"/>
  <c r="I33" i="13" s="1"/>
  <c r="I34" i="12"/>
  <c r="I100" i="12"/>
  <c r="I103" i="12" s="1"/>
  <c r="I105" i="12" s="1"/>
  <c r="I119" i="12" s="1"/>
  <c r="H100" i="13"/>
  <c r="H103" i="13" s="1"/>
  <c r="H105" i="13" s="1"/>
  <c r="H119" i="13" s="1"/>
  <c r="H60" i="13" s="1"/>
  <c r="H34" i="13"/>
  <c r="H86" i="13"/>
  <c r="H100" i="12"/>
  <c r="H103" i="12" s="1"/>
  <c r="H105" i="12" s="1"/>
  <c r="H119" i="12" s="1"/>
  <c r="H60" i="12" s="1"/>
  <c r="H34" i="12"/>
  <c r="H86" i="12"/>
  <c r="I33" i="14"/>
  <c r="I32" i="14"/>
  <c r="L74" i="17"/>
  <c r="L77" i="17" s="1"/>
  <c r="L138" i="17"/>
  <c r="K81" i="15"/>
  <c r="L250" i="15"/>
  <c r="K19" i="16"/>
  <c r="K138" i="19"/>
  <c r="K74" i="19"/>
  <c r="K77" i="19" s="1"/>
  <c r="L18" i="16"/>
  <c r="L16" i="16"/>
  <c r="H64" i="15"/>
  <c r="H70" i="15" s="1"/>
  <c r="L16" i="9"/>
  <c r="L18" i="9"/>
  <c r="K141" i="14"/>
  <c r="K104" i="14" s="1"/>
  <c r="L19" i="7"/>
  <c r="L22" i="7"/>
  <c r="L31" i="7" s="1"/>
  <c r="L61" i="16"/>
  <c r="L74" i="18"/>
  <c r="L77" i="18" s="1"/>
  <c r="L138" i="18"/>
  <c r="L19" i="10"/>
  <c r="L62" i="18"/>
  <c r="L133" i="18"/>
  <c r="L139" i="18" s="1"/>
  <c r="L137" i="13"/>
  <c r="L76" i="13" s="1"/>
  <c r="L132" i="13"/>
  <c r="L63" i="13" s="1"/>
  <c r="L136" i="13"/>
  <c r="L75" i="13" s="1"/>
  <c r="K74" i="16"/>
  <c r="K77" i="16" s="1"/>
  <c r="K138" i="16"/>
  <c r="K133" i="16"/>
  <c r="K139" i="16" s="1"/>
  <c r="K141" i="16" s="1"/>
  <c r="K104" i="16" s="1"/>
  <c r="L74" i="12"/>
  <c r="K19" i="6"/>
  <c r="K22" i="6"/>
  <c r="K31" i="6" s="1"/>
  <c r="L131" i="13"/>
  <c r="L62" i="13" s="1"/>
  <c r="L135" i="13"/>
  <c r="K62" i="13"/>
  <c r="K133" i="13"/>
  <c r="H34" i="11"/>
  <c r="H86" i="11"/>
  <c r="H64" i="14"/>
  <c r="H70" i="14" s="1"/>
  <c r="I87" i="10"/>
  <c r="I89" i="10" s="1"/>
  <c r="K133" i="19"/>
  <c r="I67" i="16"/>
  <c r="L46" i="14"/>
  <c r="L61" i="13"/>
  <c r="L133" i="13"/>
  <c r="K138" i="13"/>
  <c r="K74" i="13"/>
  <c r="K77" i="13" s="1"/>
  <c r="K84" i="13" s="1"/>
  <c r="L139" i="15"/>
  <c r="L141" i="15" s="1"/>
  <c r="L104" i="15" s="1"/>
  <c r="L15" i="13"/>
  <c r="I67" i="12"/>
  <c r="K19" i="14"/>
  <c r="I67" i="18"/>
  <c r="L46" i="12"/>
  <c r="L139" i="17"/>
  <c r="L141" i="17" s="1"/>
  <c r="L104" i="17" s="1"/>
  <c r="K74" i="17"/>
  <c r="K77" i="17" s="1"/>
  <c r="K138" i="17"/>
  <c r="L65" i="13"/>
  <c r="K133" i="12"/>
  <c r="K139" i="12" s="1"/>
  <c r="K141" i="12" s="1"/>
  <c r="K104" i="12" s="1"/>
  <c r="L215" i="14"/>
  <c r="K79" i="14"/>
  <c r="K82" i="14" s="1"/>
  <c r="K46" i="18"/>
  <c r="L46" i="7"/>
  <c r="L32" i="7" s="1"/>
  <c r="K32" i="7"/>
  <c r="I34" i="16"/>
  <c r="I100" i="16"/>
  <c r="I103" i="16" s="1"/>
  <c r="I105" i="16" s="1"/>
  <c r="I206" i="16" s="1"/>
  <c r="K62" i="17"/>
  <c r="K133" i="17"/>
  <c r="K139" i="17" s="1"/>
  <c r="K141" i="17" s="1"/>
  <c r="K104" i="17" s="1"/>
  <c r="I86" i="16"/>
  <c r="L109" i="10"/>
  <c r="L111" i="10" s="1"/>
  <c r="L16" i="6"/>
  <c r="L18" i="6"/>
  <c r="H100" i="17"/>
  <c r="H103" i="17" s="1"/>
  <c r="H105" i="17" s="1"/>
  <c r="H206" i="17" s="1"/>
  <c r="H207" i="17" s="1"/>
  <c r="H214" i="17" s="1"/>
  <c r="H34" i="17"/>
  <c r="H86" i="17"/>
  <c r="L65" i="19"/>
  <c r="J139" i="18"/>
  <c r="J141" i="18" s="1"/>
  <c r="J104" i="18" s="1"/>
  <c r="D192" i="19"/>
  <c r="G192" i="19" s="1"/>
  <c r="L192" i="19" s="1"/>
  <c r="L109" i="19"/>
  <c r="L46" i="6"/>
  <c r="K32" i="6"/>
  <c r="L18" i="17"/>
  <c r="L16" i="17"/>
  <c r="K84" i="14"/>
  <c r="I87" i="8"/>
  <c r="I89" i="8" s="1"/>
  <c r="L46" i="8"/>
  <c r="L19" i="18"/>
  <c r="L46" i="19"/>
  <c r="L136" i="19"/>
  <c r="L75" i="19" s="1"/>
  <c r="L132" i="19"/>
  <c r="L63" i="19" s="1"/>
  <c r="K109" i="10"/>
  <c r="K111" i="10" s="1"/>
  <c r="L46" i="13"/>
  <c r="I67" i="19"/>
  <c r="I33" i="17"/>
  <c r="I67" i="13"/>
  <c r="L135" i="19"/>
  <c r="L131" i="19"/>
  <c r="L62" i="19" s="1"/>
  <c r="L46" i="9"/>
  <c r="L19" i="11"/>
  <c r="K19" i="13"/>
  <c r="I67" i="14"/>
  <c r="D192" i="12"/>
  <c r="G192" i="12" s="1"/>
  <c r="L192" i="12" s="1"/>
  <c r="L109" i="12"/>
  <c r="L61" i="19"/>
  <c r="K19" i="9"/>
  <c r="I34" i="15"/>
  <c r="I100" i="15"/>
  <c r="I103" i="15" s="1"/>
  <c r="I105" i="15" s="1"/>
  <c r="I119" i="15" s="1"/>
  <c r="I60" i="15" s="1"/>
  <c r="J19" i="14"/>
  <c r="L65" i="14"/>
  <c r="L65" i="17"/>
  <c r="K46" i="17"/>
  <c r="J33" i="7"/>
  <c r="J34" i="7" s="1"/>
  <c r="K19" i="11"/>
  <c r="L137" i="12"/>
  <c r="L76" i="12" s="1"/>
  <c r="L136" i="12"/>
  <c r="L75" i="12" s="1"/>
  <c r="L132" i="12"/>
  <c r="L63" i="12" s="1"/>
  <c r="K19" i="12"/>
  <c r="L158" i="9"/>
  <c r="L136" i="14"/>
  <c r="L75" i="14" s="1"/>
  <c r="L137" i="14"/>
  <c r="L76" i="14" s="1"/>
  <c r="L132" i="14"/>
  <c r="L63" i="14" s="1"/>
  <c r="L188" i="14"/>
  <c r="K138" i="11"/>
  <c r="L109" i="14"/>
  <c r="D192" i="14"/>
  <c r="G192" i="14" s="1"/>
  <c r="L192" i="14" s="1"/>
  <c r="J19" i="17"/>
  <c r="I32" i="17"/>
  <c r="L61" i="12"/>
  <c r="K133" i="11"/>
  <c r="L239" i="15"/>
  <c r="L241" i="15" s="1"/>
  <c r="L79" i="15" s="1"/>
  <c r="K18" i="17"/>
  <c r="K16" i="17"/>
  <c r="K19" i="10"/>
  <c r="L65" i="18"/>
  <c r="L15" i="19"/>
  <c r="L137" i="19"/>
  <c r="L76" i="19" s="1"/>
  <c r="L46" i="11"/>
  <c r="L139" i="11"/>
  <c r="L46" i="10"/>
  <c r="K77" i="11"/>
  <c r="K84" i="11" s="1"/>
  <c r="K74" i="18"/>
  <c r="K77" i="18" s="1"/>
  <c r="K138" i="18"/>
  <c r="L131" i="16"/>
  <c r="L62" i="16" s="1"/>
  <c r="L135" i="16"/>
  <c r="J139" i="14"/>
  <c r="J141" i="14" s="1"/>
  <c r="J104" i="14" s="1"/>
  <c r="D192" i="16"/>
  <c r="G192" i="16" s="1"/>
  <c r="L192" i="16" s="1"/>
  <c r="L109" i="16"/>
  <c r="L244" i="15"/>
  <c r="K80" i="15"/>
  <c r="L46" i="15"/>
  <c r="L16" i="12"/>
  <c r="L18" i="12"/>
  <c r="L46" i="16"/>
  <c r="I86" i="14"/>
  <c r="H87" i="14"/>
  <c r="L18" i="14"/>
  <c r="L16" i="14"/>
  <c r="K133" i="18"/>
  <c r="K19" i="18"/>
  <c r="K82" i="15"/>
  <c r="K84" i="15" s="1"/>
  <c r="L65" i="16"/>
  <c r="L65" i="12"/>
  <c r="K16" i="19"/>
  <c r="K18" i="19"/>
  <c r="L136" i="16"/>
  <c r="L75" i="16" s="1"/>
  <c r="L132" i="16"/>
  <c r="L63" i="16" s="1"/>
  <c r="L137" i="16"/>
  <c r="L76" i="16" s="1"/>
  <c r="J33" i="6"/>
  <c r="J34" i="6" s="1"/>
  <c r="D192" i="13"/>
  <c r="G192" i="13" s="1"/>
  <c r="L192" i="13" s="1"/>
  <c r="L109" i="13"/>
  <c r="L138" i="14"/>
  <c r="L74" i="14"/>
  <c r="K77" i="12"/>
  <c r="K84" i="12" s="1"/>
  <c r="K22" i="7"/>
  <c r="K31" i="7" s="1"/>
  <c r="K19" i="7"/>
  <c r="I86" i="15"/>
  <c r="H87" i="15"/>
  <c r="H89" i="15" s="1"/>
  <c r="L65" i="11"/>
  <c r="H34" i="9"/>
  <c r="H86" i="9"/>
  <c r="J19" i="13"/>
  <c r="L61" i="14"/>
  <c r="L65" i="9"/>
  <c r="L188" i="11"/>
  <c r="I64" i="15" l="1"/>
  <c r="I70" i="15" s="1"/>
  <c r="I34" i="13"/>
  <c r="I100" i="13"/>
  <c r="I103" i="13" s="1"/>
  <c r="I105" i="13" s="1"/>
  <c r="I119" i="13" s="1"/>
  <c r="I34" i="17"/>
  <c r="I100" i="17"/>
  <c r="I103" i="17" s="1"/>
  <c r="I105" i="17" s="1"/>
  <c r="I206" i="17" s="1"/>
  <c r="I86" i="17"/>
  <c r="L19" i="12"/>
  <c r="L46" i="17"/>
  <c r="I60" i="12"/>
  <c r="H64" i="12"/>
  <c r="H70" i="12" s="1"/>
  <c r="I86" i="13"/>
  <c r="H87" i="13"/>
  <c r="L133" i="19"/>
  <c r="L139" i="19" s="1"/>
  <c r="L141" i="19" s="1"/>
  <c r="L104" i="19" s="1"/>
  <c r="L19" i="17"/>
  <c r="L19" i="6"/>
  <c r="L22" i="6"/>
  <c r="L31" i="6" s="1"/>
  <c r="L46" i="18"/>
  <c r="K139" i="13"/>
  <c r="K141" i="13" s="1"/>
  <c r="K104" i="13" s="1"/>
  <c r="I60" i="13"/>
  <c r="H64" i="13"/>
  <c r="H70" i="13" s="1"/>
  <c r="K139" i="18"/>
  <c r="K141" i="18" s="1"/>
  <c r="K104" i="18" s="1"/>
  <c r="L251" i="15"/>
  <c r="L253" i="15" s="1"/>
  <c r="L81" i="15" s="1"/>
  <c r="I87" i="15"/>
  <c r="K139" i="19"/>
  <c r="K141" i="19" s="1"/>
  <c r="K104" i="19" s="1"/>
  <c r="K33" i="6"/>
  <c r="K34" i="6" s="1"/>
  <c r="K33" i="7"/>
  <c r="K34" i="7" s="1"/>
  <c r="H89" i="14"/>
  <c r="L138" i="19"/>
  <c r="L74" i="19"/>
  <c r="L77" i="19" s="1"/>
  <c r="L18" i="13"/>
  <c r="L16" i="13"/>
  <c r="L33" i="7"/>
  <c r="L34" i="7" s="1"/>
  <c r="L245" i="15"/>
  <c r="L247" i="15" s="1"/>
  <c r="L80" i="15" s="1"/>
  <c r="L82" i="15" s="1"/>
  <c r="L84" i="15" s="1"/>
  <c r="K19" i="17"/>
  <c r="L32" i="6"/>
  <c r="L19" i="14"/>
  <c r="I87" i="14"/>
  <c r="K139" i="11"/>
  <c r="K141" i="11" s="1"/>
  <c r="L77" i="12"/>
  <c r="L84" i="12" s="1"/>
  <c r="I34" i="14"/>
  <c r="I100" i="14"/>
  <c r="I103" i="14" s="1"/>
  <c r="I105" i="14" s="1"/>
  <c r="I119" i="14" s="1"/>
  <c r="I60" i="14" s="1"/>
  <c r="L224" i="14"/>
  <c r="L80" i="14" s="1"/>
  <c r="L222" i="14"/>
  <c r="L19" i="16"/>
  <c r="I86" i="11"/>
  <c r="H87" i="11"/>
  <c r="H89" i="11" s="1"/>
  <c r="L133" i="16"/>
  <c r="L139" i="16" s="1"/>
  <c r="L141" i="16" s="1"/>
  <c r="L104" i="16" s="1"/>
  <c r="I86" i="9"/>
  <c r="H87" i="9"/>
  <c r="H89" i="9" s="1"/>
  <c r="L19" i="9"/>
  <c r="L216" i="14"/>
  <c r="L218" i="14" s="1"/>
  <c r="L79" i="14" s="1"/>
  <c r="L82" i="14" s="1"/>
  <c r="L74" i="13"/>
  <c r="L77" i="13" s="1"/>
  <c r="L84" i="13" s="1"/>
  <c r="L138" i="13"/>
  <c r="L139" i="13" s="1"/>
  <c r="L141" i="13" s="1"/>
  <c r="L104" i="13" s="1"/>
  <c r="K19" i="19"/>
  <c r="L133" i="14"/>
  <c r="L139" i="14" s="1"/>
  <c r="L141" i="14" s="1"/>
  <c r="L104" i="14" s="1"/>
  <c r="L77" i="14"/>
  <c r="L138" i="16"/>
  <c r="L74" i="16"/>
  <c r="L77" i="16" s="1"/>
  <c r="L18" i="19"/>
  <c r="L16" i="19"/>
  <c r="L133" i="12"/>
  <c r="L139" i="12" s="1"/>
  <c r="L141" i="12" s="1"/>
  <c r="L104" i="12" s="1"/>
  <c r="L138" i="12"/>
  <c r="I86" i="12"/>
  <c r="H87" i="12"/>
  <c r="H89" i="12" s="1"/>
  <c r="I64" i="14" l="1"/>
  <c r="I70" i="14" s="1"/>
  <c r="I64" i="13"/>
  <c r="I70" i="13" s="1"/>
  <c r="L19" i="19"/>
  <c r="I89" i="15"/>
  <c r="I87" i="11"/>
  <c r="I89" i="11" s="1"/>
  <c r="I89" i="14"/>
  <c r="L84" i="14"/>
  <c r="L141" i="11"/>
  <c r="I87" i="12"/>
  <c r="L33" i="6"/>
  <c r="L34" i="6" s="1"/>
  <c r="I64" i="12"/>
  <c r="I70" i="12" s="1"/>
  <c r="L19" i="13"/>
  <c r="I87" i="9"/>
  <c r="I89" i="9" s="1"/>
  <c r="H89" i="13"/>
  <c r="I87" i="13"/>
  <c r="L141" i="18"/>
  <c r="L104" i="18" s="1"/>
  <c r="I89" i="13" l="1"/>
  <c r="I89" i="12"/>
  <c r="J20" i="8" l="1"/>
  <c r="K20" i="8"/>
  <c r="L20" i="8"/>
  <c r="J22" i="8"/>
  <c r="K22" i="8"/>
  <c r="L22" i="8"/>
  <c r="J31" i="8"/>
  <c r="K31" i="8"/>
  <c r="L31" i="8"/>
  <c r="J32" i="8"/>
  <c r="K32" i="8"/>
  <c r="L32" i="8"/>
  <c r="J33" i="8"/>
  <c r="K33" i="8"/>
  <c r="L33" i="8"/>
  <c r="J34" i="8"/>
  <c r="K34" i="8"/>
  <c r="L34" i="8"/>
  <c r="J66" i="8"/>
  <c r="K66" i="8"/>
  <c r="L66" i="8"/>
  <c r="J67" i="8"/>
  <c r="K67" i="8"/>
  <c r="L67" i="8"/>
  <c r="J70" i="8"/>
  <c r="K70" i="8"/>
  <c r="L70" i="8"/>
  <c r="J86" i="8"/>
  <c r="K86" i="8"/>
  <c r="L86" i="8"/>
  <c r="J87" i="8"/>
  <c r="K87" i="8"/>
  <c r="L87" i="8"/>
  <c r="J89" i="8"/>
  <c r="K89" i="8"/>
  <c r="L89" i="8"/>
  <c r="J121" i="8"/>
  <c r="K121" i="8"/>
  <c r="L121" i="8"/>
  <c r="K122" i="8"/>
  <c r="L122" i="8"/>
  <c r="L123" i="8"/>
  <c r="J126" i="8"/>
  <c r="K126" i="8"/>
  <c r="L126" i="8"/>
  <c r="J20" i="9"/>
  <c r="K20" i="9"/>
  <c r="L20" i="9"/>
  <c r="J22" i="9"/>
  <c r="K22" i="9"/>
  <c r="L22" i="9"/>
  <c r="J31" i="9"/>
  <c r="K31" i="9"/>
  <c r="L31" i="9"/>
  <c r="J32" i="9"/>
  <c r="K32" i="9"/>
  <c r="L32" i="9"/>
  <c r="J33" i="9"/>
  <c r="K33" i="9"/>
  <c r="L33" i="9"/>
  <c r="J34" i="9"/>
  <c r="K34" i="9"/>
  <c r="L34" i="9"/>
  <c r="J66" i="9"/>
  <c r="K66" i="9"/>
  <c r="L66" i="9"/>
  <c r="J67" i="9"/>
  <c r="K67" i="9"/>
  <c r="L67" i="9"/>
  <c r="J70" i="9"/>
  <c r="K70" i="9"/>
  <c r="L70" i="9"/>
  <c r="J86" i="9"/>
  <c r="K86" i="9"/>
  <c r="L86" i="9"/>
  <c r="J87" i="9"/>
  <c r="K87" i="9"/>
  <c r="L87" i="9"/>
  <c r="J89" i="9"/>
  <c r="K89" i="9"/>
  <c r="L89" i="9"/>
  <c r="J159" i="9"/>
  <c r="K159" i="9"/>
  <c r="L159" i="9"/>
  <c r="K160" i="9"/>
  <c r="L160" i="9"/>
  <c r="L161" i="9"/>
  <c r="J164" i="9"/>
  <c r="K164" i="9"/>
  <c r="L164" i="9"/>
  <c r="J20" i="10"/>
  <c r="K20" i="10"/>
  <c r="L20" i="10"/>
  <c r="J22" i="10"/>
  <c r="K22" i="10"/>
  <c r="L22" i="10"/>
  <c r="J31" i="10"/>
  <c r="K31" i="10"/>
  <c r="L31" i="10"/>
  <c r="J32" i="10"/>
  <c r="K32" i="10"/>
  <c r="L32" i="10"/>
  <c r="J33" i="10"/>
  <c r="K33" i="10"/>
  <c r="L33" i="10"/>
  <c r="J34" i="10"/>
  <c r="K34" i="10"/>
  <c r="L34" i="10"/>
  <c r="J66" i="10"/>
  <c r="K66" i="10"/>
  <c r="L66" i="10"/>
  <c r="J67" i="10"/>
  <c r="K67" i="10"/>
  <c r="L67" i="10"/>
  <c r="J70" i="10"/>
  <c r="K70" i="10"/>
  <c r="L70" i="10"/>
  <c r="J86" i="10"/>
  <c r="K86" i="10"/>
  <c r="L86" i="10"/>
  <c r="J87" i="10"/>
  <c r="K87" i="10"/>
  <c r="L87" i="10"/>
  <c r="J89" i="10"/>
  <c r="K89" i="10"/>
  <c r="L89" i="10"/>
  <c r="J159" i="10"/>
  <c r="K159" i="10"/>
  <c r="L159" i="10"/>
  <c r="K160" i="10"/>
  <c r="L160" i="10"/>
  <c r="L161" i="10"/>
  <c r="J164" i="10"/>
  <c r="K164" i="10"/>
  <c r="L164" i="10"/>
  <c r="J20" i="11"/>
  <c r="K20" i="11"/>
  <c r="L20" i="11"/>
  <c r="J22" i="11"/>
  <c r="K22" i="11"/>
  <c r="L22" i="11"/>
  <c r="J31" i="11"/>
  <c r="K31" i="11"/>
  <c r="L31" i="11"/>
  <c r="J32" i="11"/>
  <c r="K32" i="11"/>
  <c r="L32" i="11"/>
  <c r="J33" i="11"/>
  <c r="K33" i="11"/>
  <c r="L33" i="11"/>
  <c r="J34" i="11"/>
  <c r="K34" i="11"/>
  <c r="L34" i="11"/>
  <c r="J66" i="11"/>
  <c r="K66" i="11"/>
  <c r="L66" i="11"/>
  <c r="J67" i="11"/>
  <c r="K67" i="11"/>
  <c r="L67" i="11"/>
  <c r="J70" i="11"/>
  <c r="K70" i="11"/>
  <c r="L70" i="11"/>
  <c r="J86" i="11"/>
  <c r="K86" i="11"/>
  <c r="L86" i="11"/>
  <c r="J87" i="11"/>
  <c r="K87" i="11"/>
  <c r="L87" i="11"/>
  <c r="J89" i="11"/>
  <c r="K89" i="11"/>
  <c r="L89" i="11"/>
  <c r="J189" i="11"/>
  <c r="K189" i="11"/>
  <c r="L189" i="11"/>
  <c r="K190" i="11"/>
  <c r="L190" i="11"/>
  <c r="L191" i="11"/>
  <c r="J194" i="11"/>
  <c r="K194" i="11"/>
  <c r="L194" i="11"/>
  <c r="J20" i="12"/>
  <c r="K20" i="12"/>
  <c r="L20" i="12"/>
  <c r="J22" i="12"/>
  <c r="K22" i="12"/>
  <c r="L22" i="12"/>
  <c r="J31" i="12"/>
  <c r="K31" i="12"/>
  <c r="L31" i="12"/>
  <c r="J32" i="12"/>
  <c r="K32" i="12"/>
  <c r="L32" i="12"/>
  <c r="J33" i="12"/>
  <c r="K33" i="12"/>
  <c r="L33" i="12"/>
  <c r="J34" i="12"/>
  <c r="K34" i="12"/>
  <c r="L34" i="12"/>
  <c r="J60" i="12"/>
  <c r="K60" i="12"/>
  <c r="L60" i="12"/>
  <c r="J64" i="12"/>
  <c r="K64" i="12"/>
  <c r="L64" i="12"/>
  <c r="J66" i="12"/>
  <c r="K66" i="12"/>
  <c r="L66" i="12"/>
  <c r="J67" i="12"/>
  <c r="K67" i="12"/>
  <c r="L67" i="12"/>
  <c r="J70" i="12"/>
  <c r="K70" i="12"/>
  <c r="L70" i="12"/>
  <c r="J86" i="12"/>
  <c r="K86" i="12"/>
  <c r="L86" i="12"/>
  <c r="J87" i="12"/>
  <c r="K87" i="12"/>
  <c r="L87" i="12"/>
  <c r="J89" i="12"/>
  <c r="K89" i="12"/>
  <c r="L89" i="12"/>
  <c r="J100" i="12"/>
  <c r="K100" i="12"/>
  <c r="L100" i="12"/>
  <c r="J101" i="12"/>
  <c r="K101" i="12"/>
  <c r="L101" i="12"/>
  <c r="J103" i="12"/>
  <c r="K103" i="12"/>
  <c r="L103" i="12"/>
  <c r="J105" i="12"/>
  <c r="K105" i="12"/>
  <c r="L105" i="12"/>
  <c r="J119" i="12"/>
  <c r="K119" i="12"/>
  <c r="L119" i="12"/>
  <c r="J189" i="12"/>
  <c r="K189" i="12"/>
  <c r="L189" i="12"/>
  <c r="K190" i="12"/>
  <c r="L190" i="12"/>
  <c r="L191" i="12"/>
  <c r="J194" i="12"/>
  <c r="K194" i="12"/>
  <c r="L194" i="12"/>
  <c r="J20" i="13"/>
  <c r="K20" i="13"/>
  <c r="L20" i="13"/>
  <c r="J22" i="13"/>
  <c r="K22" i="13"/>
  <c r="L22" i="13"/>
  <c r="J31" i="13"/>
  <c r="K31" i="13"/>
  <c r="L31" i="13"/>
  <c r="J32" i="13"/>
  <c r="K32" i="13"/>
  <c r="L32" i="13"/>
  <c r="J33" i="13"/>
  <c r="K33" i="13"/>
  <c r="L33" i="13"/>
  <c r="J34" i="13"/>
  <c r="K34" i="13"/>
  <c r="L34" i="13"/>
  <c r="J60" i="13"/>
  <c r="K60" i="13"/>
  <c r="L60" i="13"/>
  <c r="J64" i="13"/>
  <c r="K64" i="13"/>
  <c r="L64" i="13"/>
  <c r="J66" i="13"/>
  <c r="K66" i="13"/>
  <c r="L66" i="13"/>
  <c r="J67" i="13"/>
  <c r="K67" i="13"/>
  <c r="L67" i="13"/>
  <c r="J70" i="13"/>
  <c r="K70" i="13"/>
  <c r="L70" i="13"/>
  <c r="J86" i="13"/>
  <c r="K86" i="13"/>
  <c r="L86" i="13"/>
  <c r="J87" i="13"/>
  <c r="K87" i="13"/>
  <c r="L87" i="13"/>
  <c r="J89" i="13"/>
  <c r="K89" i="13"/>
  <c r="L89" i="13"/>
  <c r="J100" i="13"/>
  <c r="K100" i="13"/>
  <c r="L100" i="13"/>
  <c r="J101" i="13"/>
  <c r="K101" i="13"/>
  <c r="L101" i="13"/>
  <c r="J103" i="13"/>
  <c r="K103" i="13"/>
  <c r="L103" i="13"/>
  <c r="J105" i="13"/>
  <c r="K105" i="13"/>
  <c r="L105" i="13"/>
  <c r="J119" i="13"/>
  <c r="K119" i="13"/>
  <c r="L119" i="13"/>
  <c r="J189" i="13"/>
  <c r="K189" i="13"/>
  <c r="L189" i="13"/>
  <c r="K190" i="13"/>
  <c r="L190" i="13"/>
  <c r="L191" i="13"/>
  <c r="J194" i="13"/>
  <c r="K194" i="13"/>
  <c r="L194" i="13"/>
  <c r="J20" i="14"/>
  <c r="K20" i="14"/>
  <c r="L20" i="14"/>
  <c r="J22" i="14"/>
  <c r="K22" i="14"/>
  <c r="L22" i="14"/>
  <c r="J31" i="14"/>
  <c r="K31" i="14"/>
  <c r="L31" i="14"/>
  <c r="J32" i="14"/>
  <c r="K32" i="14"/>
  <c r="L32" i="14"/>
  <c r="J33" i="14"/>
  <c r="K33" i="14"/>
  <c r="L33" i="14"/>
  <c r="J34" i="14"/>
  <c r="K34" i="14"/>
  <c r="L34" i="14"/>
  <c r="J60" i="14"/>
  <c r="K60" i="14"/>
  <c r="L60" i="14"/>
  <c r="J64" i="14"/>
  <c r="K64" i="14"/>
  <c r="L64" i="14"/>
  <c r="J66" i="14"/>
  <c r="K66" i="14"/>
  <c r="L66" i="14"/>
  <c r="J67" i="14"/>
  <c r="K67" i="14"/>
  <c r="L67" i="14"/>
  <c r="J70" i="14"/>
  <c r="K70" i="14"/>
  <c r="L70" i="14"/>
  <c r="J86" i="14"/>
  <c r="K86" i="14"/>
  <c r="L86" i="14"/>
  <c r="J87" i="14"/>
  <c r="K87" i="14"/>
  <c r="L87" i="14"/>
  <c r="J89" i="14"/>
  <c r="K89" i="14"/>
  <c r="L89" i="14"/>
  <c r="J100" i="14"/>
  <c r="K100" i="14"/>
  <c r="L100" i="14"/>
  <c r="J101" i="14"/>
  <c r="K101" i="14"/>
  <c r="L101" i="14"/>
  <c r="J103" i="14"/>
  <c r="K103" i="14"/>
  <c r="L103" i="14"/>
  <c r="J105" i="14"/>
  <c r="K105" i="14"/>
  <c r="L105" i="14"/>
  <c r="J119" i="14"/>
  <c r="K119" i="14"/>
  <c r="L119" i="14"/>
  <c r="J189" i="14"/>
  <c r="K189" i="14"/>
  <c r="L189" i="14"/>
  <c r="K190" i="14"/>
  <c r="L190" i="14"/>
  <c r="L191" i="14"/>
  <c r="J194" i="14"/>
  <c r="K194" i="14"/>
  <c r="L194" i="14"/>
  <c r="J20" i="15"/>
  <c r="K20" i="15"/>
  <c r="L20" i="15"/>
  <c r="J22" i="15"/>
  <c r="K22" i="15"/>
  <c r="L22" i="15"/>
  <c r="J31" i="15"/>
  <c r="K31" i="15"/>
  <c r="L31" i="15"/>
  <c r="J32" i="15"/>
  <c r="K32" i="15"/>
  <c r="L32" i="15"/>
  <c r="J33" i="15"/>
  <c r="K33" i="15"/>
  <c r="L33" i="15"/>
  <c r="J34" i="15"/>
  <c r="K34" i="15"/>
  <c r="L34" i="15"/>
  <c r="J60" i="15"/>
  <c r="K60" i="15"/>
  <c r="L60" i="15"/>
  <c r="J64" i="15"/>
  <c r="K64" i="15"/>
  <c r="L64" i="15"/>
  <c r="J66" i="15"/>
  <c r="K66" i="15"/>
  <c r="L66" i="15"/>
  <c r="J67" i="15"/>
  <c r="K67" i="15"/>
  <c r="L67" i="15"/>
  <c r="J70" i="15"/>
  <c r="K70" i="15"/>
  <c r="L70" i="15"/>
  <c r="J86" i="15"/>
  <c r="K86" i="15"/>
  <c r="L86" i="15"/>
  <c r="J87" i="15"/>
  <c r="K87" i="15"/>
  <c r="L87" i="15"/>
  <c r="J89" i="15"/>
  <c r="K89" i="15"/>
  <c r="L89" i="15"/>
  <c r="J100" i="15"/>
  <c r="K100" i="15"/>
  <c r="L100" i="15"/>
  <c r="J101" i="15"/>
  <c r="K101" i="15"/>
  <c r="L101" i="15"/>
  <c r="J103" i="15"/>
  <c r="K103" i="15"/>
  <c r="L103" i="15"/>
  <c r="J105" i="15"/>
  <c r="K105" i="15"/>
  <c r="L105" i="15"/>
  <c r="J119" i="15"/>
  <c r="K119" i="15"/>
  <c r="L119" i="15"/>
  <c r="J189" i="15"/>
  <c r="K189" i="15"/>
  <c r="L189" i="15"/>
  <c r="K190" i="15"/>
  <c r="L190" i="15"/>
  <c r="L191" i="15"/>
  <c r="J194" i="15"/>
  <c r="K194" i="15"/>
  <c r="L194" i="15"/>
  <c r="J20" i="16"/>
  <c r="K20" i="16"/>
  <c r="L20" i="16"/>
  <c r="J22" i="16"/>
  <c r="K22" i="16"/>
  <c r="L22" i="16"/>
  <c r="J31" i="16"/>
  <c r="K31" i="16"/>
  <c r="L31" i="16"/>
  <c r="J32" i="16"/>
  <c r="K32" i="16"/>
  <c r="L32" i="16"/>
  <c r="J33" i="16"/>
  <c r="K33" i="16"/>
  <c r="L33" i="16"/>
  <c r="J34" i="16"/>
  <c r="K34" i="16"/>
  <c r="L34" i="16"/>
  <c r="H60" i="16"/>
  <c r="I60" i="16"/>
  <c r="J60" i="16"/>
  <c r="K60" i="16"/>
  <c r="L60" i="16"/>
  <c r="H64" i="16"/>
  <c r="I64" i="16"/>
  <c r="J64" i="16"/>
  <c r="K64" i="16"/>
  <c r="L64" i="16"/>
  <c r="J66" i="16"/>
  <c r="K66" i="16"/>
  <c r="L66" i="16"/>
  <c r="J67" i="16"/>
  <c r="K67" i="16"/>
  <c r="L67" i="16"/>
  <c r="H70" i="16"/>
  <c r="I70" i="16"/>
  <c r="J70" i="16"/>
  <c r="K70" i="16"/>
  <c r="L70" i="16"/>
  <c r="H78" i="16"/>
  <c r="I78" i="16"/>
  <c r="J78" i="16"/>
  <c r="K78" i="16"/>
  <c r="L78" i="16"/>
  <c r="H79" i="16"/>
  <c r="I79" i="16"/>
  <c r="J79" i="16"/>
  <c r="K79" i="16"/>
  <c r="L79" i="16"/>
  <c r="H80" i="16"/>
  <c r="I80" i="16"/>
  <c r="J80" i="16"/>
  <c r="K80" i="16"/>
  <c r="L80" i="16"/>
  <c r="H81" i="16"/>
  <c r="I81" i="16"/>
  <c r="J81" i="16"/>
  <c r="K81" i="16"/>
  <c r="L81" i="16"/>
  <c r="H82" i="16"/>
  <c r="I82" i="16"/>
  <c r="J82" i="16"/>
  <c r="K82" i="16"/>
  <c r="L82" i="16"/>
  <c r="H84" i="16"/>
  <c r="I84" i="16"/>
  <c r="J84" i="16"/>
  <c r="K84" i="16"/>
  <c r="L84" i="16"/>
  <c r="J86" i="16"/>
  <c r="K86" i="16"/>
  <c r="L86" i="16"/>
  <c r="H87" i="16"/>
  <c r="I87" i="16"/>
  <c r="J87" i="16"/>
  <c r="K87" i="16"/>
  <c r="L87" i="16"/>
  <c r="H89" i="16"/>
  <c r="I89" i="16"/>
  <c r="J89" i="16"/>
  <c r="K89" i="16"/>
  <c r="L89" i="16"/>
  <c r="J100" i="16"/>
  <c r="K100" i="16"/>
  <c r="L100" i="16"/>
  <c r="J101" i="16"/>
  <c r="K101" i="16"/>
  <c r="L101" i="16"/>
  <c r="J103" i="16"/>
  <c r="K103" i="16"/>
  <c r="L103" i="16"/>
  <c r="J105" i="16"/>
  <c r="K105" i="16"/>
  <c r="L105" i="16"/>
  <c r="H113" i="16"/>
  <c r="I113" i="16"/>
  <c r="J113" i="16"/>
  <c r="K113" i="16"/>
  <c r="L113" i="16"/>
  <c r="H114" i="16"/>
  <c r="I114" i="16"/>
  <c r="J114" i="16"/>
  <c r="K114" i="16"/>
  <c r="L114" i="16"/>
  <c r="H115" i="16"/>
  <c r="I115" i="16"/>
  <c r="J115" i="16"/>
  <c r="K115" i="16"/>
  <c r="L115" i="16"/>
  <c r="H116" i="16"/>
  <c r="I116" i="16"/>
  <c r="J116" i="16"/>
  <c r="K116" i="16"/>
  <c r="L116" i="16"/>
  <c r="H117" i="16"/>
  <c r="I117" i="16"/>
  <c r="J117" i="16"/>
  <c r="K117" i="16"/>
  <c r="L117" i="16"/>
  <c r="H119" i="16"/>
  <c r="I119" i="16"/>
  <c r="J119" i="16"/>
  <c r="K119" i="16"/>
  <c r="L119" i="16"/>
  <c r="J189" i="16"/>
  <c r="K189" i="16"/>
  <c r="L189" i="16"/>
  <c r="K190" i="16"/>
  <c r="L190" i="16"/>
  <c r="L191" i="16"/>
  <c r="J194" i="16"/>
  <c r="K194" i="16"/>
  <c r="L194" i="16"/>
  <c r="I203" i="16"/>
  <c r="J203" i="16"/>
  <c r="K203" i="16"/>
  <c r="L203" i="16"/>
  <c r="I205" i="16"/>
  <c r="J205" i="16"/>
  <c r="K205" i="16"/>
  <c r="L205" i="16"/>
  <c r="J206" i="16"/>
  <c r="K206" i="16"/>
  <c r="L206" i="16"/>
  <c r="I207" i="16"/>
  <c r="J207" i="16"/>
  <c r="K207" i="16"/>
  <c r="L207" i="16"/>
  <c r="I210" i="16"/>
  <c r="J210" i="16"/>
  <c r="K210" i="16"/>
  <c r="L210" i="16"/>
  <c r="I211" i="16"/>
  <c r="J211" i="16"/>
  <c r="K211" i="16"/>
  <c r="L211" i="16"/>
  <c r="I212" i="16"/>
  <c r="J212" i="16"/>
  <c r="K212" i="16"/>
  <c r="L212" i="16"/>
  <c r="I213" i="16"/>
  <c r="J213" i="16"/>
  <c r="K213" i="16"/>
  <c r="L213" i="16"/>
  <c r="I214" i="16"/>
  <c r="J214" i="16"/>
  <c r="K214" i="16"/>
  <c r="L214" i="16"/>
  <c r="H216" i="16"/>
  <c r="I216" i="16"/>
  <c r="J216" i="16"/>
  <c r="K216" i="16"/>
  <c r="L216" i="16"/>
  <c r="H219" i="16"/>
  <c r="I219" i="16"/>
  <c r="J219" i="16"/>
  <c r="K219" i="16"/>
  <c r="L219" i="16"/>
  <c r="H220" i="16"/>
  <c r="I220" i="16"/>
  <c r="J220" i="16"/>
  <c r="K220" i="16"/>
  <c r="L220" i="16"/>
  <c r="H221" i="16"/>
  <c r="I221" i="16"/>
  <c r="J221" i="16"/>
  <c r="K221" i="16"/>
  <c r="L221" i="16"/>
  <c r="H222" i="16"/>
  <c r="I222" i="16"/>
  <c r="J222" i="16"/>
  <c r="K222" i="16"/>
  <c r="L222" i="16"/>
  <c r="H223" i="16"/>
  <c r="I223" i="16"/>
  <c r="J223" i="16"/>
  <c r="K223" i="16"/>
  <c r="L223" i="16"/>
  <c r="I229" i="16"/>
  <c r="J229" i="16"/>
  <c r="K229" i="16"/>
  <c r="L229" i="16"/>
  <c r="H230" i="16"/>
  <c r="I230" i="16"/>
  <c r="J230" i="16"/>
  <c r="K230" i="16"/>
  <c r="L230" i="16"/>
  <c r="H231" i="16"/>
  <c r="I231" i="16"/>
  <c r="J231" i="16"/>
  <c r="K231" i="16"/>
  <c r="L231" i="16"/>
  <c r="H232" i="16"/>
  <c r="I232" i="16"/>
  <c r="J232" i="16"/>
  <c r="K232" i="16"/>
  <c r="L232" i="16"/>
  <c r="H235" i="16"/>
  <c r="I235" i="16"/>
  <c r="J235" i="16"/>
  <c r="K235" i="16"/>
  <c r="L235" i="16"/>
  <c r="I238" i="16"/>
  <c r="J238" i="16"/>
  <c r="K238" i="16"/>
  <c r="L238" i="16"/>
  <c r="I239" i="16"/>
  <c r="J239" i="16"/>
  <c r="K239" i="16"/>
  <c r="L239" i="16"/>
  <c r="H240" i="16"/>
  <c r="I240" i="16"/>
  <c r="J240" i="16"/>
  <c r="K240" i="16"/>
  <c r="L240" i="16"/>
  <c r="H241" i="16"/>
  <c r="I241" i="16"/>
  <c r="J241" i="16"/>
  <c r="K241" i="16"/>
  <c r="L241" i="16"/>
  <c r="I244" i="16"/>
  <c r="J244" i="16"/>
  <c r="K244" i="16"/>
  <c r="L244" i="16"/>
  <c r="I245" i="16"/>
  <c r="J245" i="16"/>
  <c r="K245" i="16"/>
  <c r="L245" i="16"/>
  <c r="H246" i="16"/>
  <c r="I246" i="16"/>
  <c r="J246" i="16"/>
  <c r="K246" i="16"/>
  <c r="L246" i="16"/>
  <c r="H247" i="16"/>
  <c r="I247" i="16"/>
  <c r="J247" i="16"/>
  <c r="K247" i="16"/>
  <c r="L247" i="16"/>
  <c r="I250" i="16"/>
  <c r="J250" i="16"/>
  <c r="K250" i="16"/>
  <c r="L250" i="16"/>
  <c r="I251" i="16"/>
  <c r="J251" i="16"/>
  <c r="K251" i="16"/>
  <c r="L251" i="16"/>
  <c r="H252" i="16"/>
  <c r="I252" i="16"/>
  <c r="J252" i="16"/>
  <c r="K252" i="16"/>
  <c r="L252" i="16"/>
  <c r="H253" i="16"/>
  <c r="I253" i="16"/>
  <c r="J253" i="16"/>
  <c r="K253" i="16"/>
  <c r="L253" i="16"/>
  <c r="J20" i="17"/>
  <c r="K20" i="17"/>
  <c r="L20" i="17"/>
  <c r="J22" i="17"/>
  <c r="K22" i="17"/>
  <c r="L22" i="17"/>
  <c r="J31" i="17"/>
  <c r="K31" i="17"/>
  <c r="L31" i="17"/>
  <c r="J32" i="17"/>
  <c r="K32" i="17"/>
  <c r="L32" i="17"/>
  <c r="J33" i="17"/>
  <c r="K33" i="17"/>
  <c r="L33" i="17"/>
  <c r="J34" i="17"/>
  <c r="K34" i="17"/>
  <c r="L34" i="17"/>
  <c r="H60" i="17"/>
  <c r="I60" i="17"/>
  <c r="J60" i="17"/>
  <c r="K60" i="17"/>
  <c r="L60" i="17"/>
  <c r="H64" i="17"/>
  <c r="I64" i="17"/>
  <c r="J64" i="17"/>
  <c r="K64" i="17"/>
  <c r="L64" i="17"/>
  <c r="J66" i="17"/>
  <c r="K66" i="17"/>
  <c r="L66" i="17"/>
  <c r="J67" i="17"/>
  <c r="K67" i="17"/>
  <c r="L67" i="17"/>
  <c r="H70" i="17"/>
  <c r="I70" i="17"/>
  <c r="J70" i="17"/>
  <c r="K70" i="17"/>
  <c r="L70" i="17"/>
  <c r="H78" i="17"/>
  <c r="I78" i="17"/>
  <c r="J78" i="17"/>
  <c r="K78" i="17"/>
  <c r="L78" i="17"/>
  <c r="H79" i="17"/>
  <c r="I79" i="17"/>
  <c r="J79" i="17"/>
  <c r="K79" i="17"/>
  <c r="L79" i="17"/>
  <c r="H80" i="17"/>
  <c r="I80" i="17"/>
  <c r="J80" i="17"/>
  <c r="K80" i="17"/>
  <c r="L80" i="17"/>
  <c r="H81" i="17"/>
  <c r="I81" i="17"/>
  <c r="J81" i="17"/>
  <c r="K81" i="17"/>
  <c r="L81" i="17"/>
  <c r="H82" i="17"/>
  <c r="I82" i="17"/>
  <c r="J82" i="17"/>
  <c r="K82" i="17"/>
  <c r="L82" i="17"/>
  <c r="H84" i="17"/>
  <c r="I84" i="17"/>
  <c r="J84" i="17"/>
  <c r="K84" i="17"/>
  <c r="L84" i="17"/>
  <c r="J86" i="17"/>
  <c r="K86" i="17"/>
  <c r="L86" i="17"/>
  <c r="H87" i="17"/>
  <c r="I87" i="17"/>
  <c r="J87" i="17"/>
  <c r="K87" i="17"/>
  <c r="L87" i="17"/>
  <c r="H89" i="17"/>
  <c r="I89" i="17"/>
  <c r="J89" i="17"/>
  <c r="K89" i="17"/>
  <c r="L89" i="17"/>
  <c r="J100" i="17"/>
  <c r="K100" i="17"/>
  <c r="L100" i="17"/>
  <c r="J101" i="17"/>
  <c r="K101" i="17"/>
  <c r="L101" i="17"/>
  <c r="J103" i="17"/>
  <c r="K103" i="17"/>
  <c r="L103" i="17"/>
  <c r="J105" i="17"/>
  <c r="K105" i="17"/>
  <c r="L105" i="17"/>
  <c r="H113" i="17"/>
  <c r="I113" i="17"/>
  <c r="J113" i="17"/>
  <c r="K113" i="17"/>
  <c r="L113" i="17"/>
  <c r="H114" i="17"/>
  <c r="I114" i="17"/>
  <c r="J114" i="17"/>
  <c r="K114" i="17"/>
  <c r="L114" i="17"/>
  <c r="H115" i="17"/>
  <c r="I115" i="17"/>
  <c r="J115" i="17"/>
  <c r="K115" i="17"/>
  <c r="L115" i="17"/>
  <c r="H116" i="17"/>
  <c r="I116" i="17"/>
  <c r="J116" i="17"/>
  <c r="K116" i="17"/>
  <c r="L116" i="17"/>
  <c r="H117" i="17"/>
  <c r="I117" i="17"/>
  <c r="J117" i="17"/>
  <c r="K117" i="17"/>
  <c r="L117" i="17"/>
  <c r="H119" i="17"/>
  <c r="I119" i="17"/>
  <c r="J119" i="17"/>
  <c r="K119" i="17"/>
  <c r="L119" i="17"/>
  <c r="J189" i="17"/>
  <c r="K189" i="17"/>
  <c r="L189" i="17"/>
  <c r="K190" i="17"/>
  <c r="L190" i="17"/>
  <c r="L191" i="17"/>
  <c r="J194" i="17"/>
  <c r="K194" i="17"/>
  <c r="L194" i="17"/>
  <c r="I203" i="17"/>
  <c r="J203" i="17"/>
  <c r="K203" i="17"/>
  <c r="L203" i="17"/>
  <c r="I205" i="17"/>
  <c r="J205" i="17"/>
  <c r="K205" i="17"/>
  <c r="L205" i="17"/>
  <c r="J206" i="17"/>
  <c r="K206" i="17"/>
  <c r="L206" i="17"/>
  <c r="I207" i="17"/>
  <c r="J207" i="17"/>
  <c r="K207" i="17"/>
  <c r="L207" i="17"/>
  <c r="I210" i="17"/>
  <c r="J210" i="17"/>
  <c r="K210" i="17"/>
  <c r="L210" i="17"/>
  <c r="I211" i="17"/>
  <c r="J211" i="17"/>
  <c r="K211" i="17"/>
  <c r="L211" i="17"/>
  <c r="I212" i="17"/>
  <c r="J212" i="17"/>
  <c r="K212" i="17"/>
  <c r="L212" i="17"/>
  <c r="I213" i="17"/>
  <c r="J213" i="17"/>
  <c r="K213" i="17"/>
  <c r="L213" i="17"/>
  <c r="I214" i="17"/>
  <c r="J214" i="17"/>
  <c r="K214" i="17"/>
  <c r="L214" i="17"/>
  <c r="H216" i="17"/>
  <c r="I216" i="17"/>
  <c r="J216" i="17"/>
  <c r="K216" i="17"/>
  <c r="L216" i="17"/>
  <c r="H219" i="17"/>
  <c r="I219" i="17"/>
  <c r="J219" i="17"/>
  <c r="K219" i="17"/>
  <c r="L219" i="17"/>
  <c r="H220" i="17"/>
  <c r="I220" i="17"/>
  <c r="J220" i="17"/>
  <c r="K220" i="17"/>
  <c r="L220" i="17"/>
  <c r="H221" i="17"/>
  <c r="I221" i="17"/>
  <c r="J221" i="17"/>
  <c r="K221" i="17"/>
  <c r="L221" i="17"/>
  <c r="H222" i="17"/>
  <c r="I222" i="17"/>
  <c r="J222" i="17"/>
  <c r="K222" i="17"/>
  <c r="L222" i="17"/>
  <c r="H223" i="17"/>
  <c r="I223" i="17"/>
  <c r="J223" i="17"/>
  <c r="K223" i="17"/>
  <c r="L223" i="17"/>
  <c r="I229" i="17"/>
  <c r="J229" i="17"/>
  <c r="K229" i="17"/>
  <c r="L229" i="17"/>
  <c r="H230" i="17"/>
  <c r="I230" i="17"/>
  <c r="J230" i="17"/>
  <c r="K230" i="17"/>
  <c r="L230" i="17"/>
  <c r="H231" i="17"/>
  <c r="I231" i="17"/>
  <c r="J231" i="17"/>
  <c r="K231" i="17"/>
  <c r="L231" i="17"/>
  <c r="H232" i="17"/>
  <c r="I232" i="17"/>
  <c r="J232" i="17"/>
  <c r="K232" i="17"/>
  <c r="L232" i="17"/>
  <c r="H235" i="17"/>
  <c r="I235" i="17"/>
  <c r="J235" i="17"/>
  <c r="K235" i="17"/>
  <c r="L235" i="17"/>
  <c r="I238" i="17"/>
  <c r="J238" i="17"/>
  <c r="K238" i="17"/>
  <c r="L238" i="17"/>
  <c r="I239" i="17"/>
  <c r="J239" i="17"/>
  <c r="K239" i="17"/>
  <c r="L239" i="17"/>
  <c r="H240" i="17"/>
  <c r="I240" i="17"/>
  <c r="J240" i="17"/>
  <c r="K240" i="17"/>
  <c r="L240" i="17"/>
  <c r="H241" i="17"/>
  <c r="I241" i="17"/>
  <c r="J241" i="17"/>
  <c r="K241" i="17"/>
  <c r="L241" i="17"/>
  <c r="I244" i="17"/>
  <c r="J244" i="17"/>
  <c r="K244" i="17"/>
  <c r="L244" i="17"/>
  <c r="I245" i="17"/>
  <c r="J245" i="17"/>
  <c r="K245" i="17"/>
  <c r="L245" i="17"/>
  <c r="H246" i="17"/>
  <c r="I246" i="17"/>
  <c r="J246" i="17"/>
  <c r="K246" i="17"/>
  <c r="L246" i="17"/>
  <c r="H247" i="17"/>
  <c r="I247" i="17"/>
  <c r="J247" i="17"/>
  <c r="K247" i="17"/>
  <c r="L247" i="17"/>
  <c r="I250" i="17"/>
  <c r="J250" i="17"/>
  <c r="K250" i="17"/>
  <c r="L250" i="17"/>
  <c r="I251" i="17"/>
  <c r="J251" i="17"/>
  <c r="K251" i="17"/>
  <c r="L251" i="17"/>
  <c r="H252" i="17"/>
  <c r="I252" i="17"/>
  <c r="J252" i="17"/>
  <c r="K252" i="17"/>
  <c r="L252" i="17"/>
  <c r="H253" i="17"/>
  <c r="I253" i="17"/>
  <c r="J253" i="17"/>
  <c r="K253" i="17"/>
  <c r="L253" i="17"/>
  <c r="J20" i="18"/>
  <c r="K20" i="18"/>
  <c r="L20" i="18"/>
  <c r="J22" i="18"/>
  <c r="K22" i="18"/>
  <c r="L22" i="18"/>
  <c r="H24" i="18"/>
  <c r="I24" i="18"/>
  <c r="J24" i="18"/>
  <c r="K24" i="18"/>
  <c r="L24" i="18"/>
  <c r="H25" i="18"/>
  <c r="I25" i="18"/>
  <c r="J25" i="18"/>
  <c r="K25" i="18"/>
  <c r="L25" i="18"/>
  <c r="H26" i="18"/>
  <c r="I26" i="18"/>
  <c r="J26" i="18"/>
  <c r="K26" i="18"/>
  <c r="L26" i="18"/>
  <c r="H27" i="18"/>
  <c r="I27" i="18"/>
  <c r="J27" i="18"/>
  <c r="K27" i="18"/>
  <c r="L27" i="18"/>
  <c r="H28" i="18"/>
  <c r="I28" i="18"/>
  <c r="J28" i="18"/>
  <c r="K28" i="18"/>
  <c r="L28" i="18"/>
  <c r="H29" i="18"/>
  <c r="I29" i="18"/>
  <c r="J29" i="18"/>
  <c r="K29" i="18"/>
  <c r="L29" i="18"/>
  <c r="H31" i="18"/>
  <c r="I31" i="18"/>
  <c r="J31" i="18"/>
  <c r="K31" i="18"/>
  <c r="L31" i="18"/>
  <c r="H32" i="18"/>
  <c r="I32" i="18"/>
  <c r="J32" i="18"/>
  <c r="K32" i="18"/>
  <c r="L32" i="18"/>
  <c r="H33" i="18"/>
  <c r="I33" i="18"/>
  <c r="J33" i="18"/>
  <c r="K33" i="18"/>
  <c r="L33" i="18"/>
  <c r="H34" i="18"/>
  <c r="I34" i="18"/>
  <c r="J34" i="18"/>
  <c r="K34" i="18"/>
  <c r="L34" i="18"/>
  <c r="H60" i="18"/>
  <c r="I60" i="18"/>
  <c r="J60" i="18"/>
  <c r="K60" i="18"/>
  <c r="L60" i="18"/>
  <c r="H64" i="18"/>
  <c r="I64" i="18"/>
  <c r="J64" i="18"/>
  <c r="K64" i="18"/>
  <c r="L64" i="18"/>
  <c r="J66" i="18"/>
  <c r="K66" i="18"/>
  <c r="L66" i="18"/>
  <c r="J67" i="18"/>
  <c r="K67" i="18"/>
  <c r="L67" i="18"/>
  <c r="H70" i="18"/>
  <c r="I70" i="18"/>
  <c r="J70" i="18"/>
  <c r="K70" i="18"/>
  <c r="L70" i="18"/>
  <c r="H78" i="18"/>
  <c r="I78" i="18"/>
  <c r="J78" i="18"/>
  <c r="K78" i="18"/>
  <c r="L78" i="18"/>
  <c r="H79" i="18"/>
  <c r="I79" i="18"/>
  <c r="J79" i="18"/>
  <c r="K79" i="18"/>
  <c r="L79" i="18"/>
  <c r="H80" i="18"/>
  <c r="I80" i="18"/>
  <c r="J80" i="18"/>
  <c r="K80" i="18"/>
  <c r="L80" i="18"/>
  <c r="H81" i="18"/>
  <c r="I81" i="18"/>
  <c r="J81" i="18"/>
  <c r="K81" i="18"/>
  <c r="L81" i="18"/>
  <c r="H82" i="18"/>
  <c r="I82" i="18"/>
  <c r="J82" i="18"/>
  <c r="K82" i="18"/>
  <c r="L82" i="18"/>
  <c r="H84" i="18"/>
  <c r="I84" i="18"/>
  <c r="J84" i="18"/>
  <c r="K84" i="18"/>
  <c r="L84" i="18"/>
  <c r="H86" i="18"/>
  <c r="I86" i="18"/>
  <c r="J86" i="18"/>
  <c r="K86" i="18"/>
  <c r="L86" i="18"/>
  <c r="H87" i="18"/>
  <c r="I87" i="18"/>
  <c r="J87" i="18"/>
  <c r="K87" i="18"/>
  <c r="L87" i="18"/>
  <c r="H89" i="18"/>
  <c r="I89" i="18"/>
  <c r="J89" i="18"/>
  <c r="K89" i="18"/>
  <c r="L89" i="18"/>
  <c r="H100" i="18"/>
  <c r="I100" i="18"/>
  <c r="J100" i="18"/>
  <c r="K100" i="18"/>
  <c r="L100" i="18"/>
  <c r="J101" i="18"/>
  <c r="K101" i="18"/>
  <c r="L101" i="18"/>
  <c r="H103" i="18"/>
  <c r="I103" i="18"/>
  <c r="J103" i="18"/>
  <c r="K103" i="18"/>
  <c r="L103" i="18"/>
  <c r="H105" i="18"/>
  <c r="I105" i="18"/>
  <c r="J105" i="18"/>
  <c r="K105" i="18"/>
  <c r="L105" i="18"/>
  <c r="H113" i="18"/>
  <c r="I113" i="18"/>
  <c r="J113" i="18"/>
  <c r="K113" i="18"/>
  <c r="L113" i="18"/>
  <c r="H114" i="18"/>
  <c r="I114" i="18"/>
  <c r="J114" i="18"/>
  <c r="K114" i="18"/>
  <c r="L114" i="18"/>
  <c r="H115" i="18"/>
  <c r="I115" i="18"/>
  <c r="J115" i="18"/>
  <c r="K115" i="18"/>
  <c r="L115" i="18"/>
  <c r="H116" i="18"/>
  <c r="I116" i="18"/>
  <c r="J116" i="18"/>
  <c r="K116" i="18"/>
  <c r="L116" i="18"/>
  <c r="H117" i="18"/>
  <c r="I117" i="18"/>
  <c r="J117" i="18"/>
  <c r="K117" i="18"/>
  <c r="L117" i="18"/>
  <c r="H119" i="18"/>
  <c r="I119" i="18"/>
  <c r="J119" i="18"/>
  <c r="K119" i="18"/>
  <c r="L119" i="18"/>
  <c r="J189" i="18"/>
  <c r="K189" i="18"/>
  <c r="L189" i="18"/>
  <c r="K190" i="18"/>
  <c r="L190" i="18"/>
  <c r="L191" i="18"/>
  <c r="J194" i="18"/>
  <c r="K194" i="18"/>
  <c r="L194" i="18"/>
  <c r="I203" i="18"/>
  <c r="J203" i="18"/>
  <c r="K203" i="18"/>
  <c r="L203" i="18"/>
  <c r="I205" i="18"/>
  <c r="J205" i="18"/>
  <c r="K205" i="18"/>
  <c r="L205" i="18"/>
  <c r="H206" i="18"/>
  <c r="I206" i="18"/>
  <c r="J206" i="18"/>
  <c r="K206" i="18"/>
  <c r="L206" i="18"/>
  <c r="H207" i="18"/>
  <c r="I207" i="18"/>
  <c r="J207" i="18"/>
  <c r="K207" i="18"/>
  <c r="L207" i="18"/>
  <c r="I210" i="18"/>
  <c r="J210" i="18"/>
  <c r="K210" i="18"/>
  <c r="L210" i="18"/>
  <c r="I211" i="18"/>
  <c r="J211" i="18"/>
  <c r="K211" i="18"/>
  <c r="L211" i="18"/>
  <c r="I212" i="18"/>
  <c r="J212" i="18"/>
  <c r="K212" i="18"/>
  <c r="L212" i="18"/>
  <c r="I213" i="18"/>
  <c r="J213" i="18"/>
  <c r="K213" i="18"/>
  <c r="L213" i="18"/>
  <c r="H214" i="18"/>
  <c r="I214" i="18"/>
  <c r="J214" i="18"/>
  <c r="K214" i="18"/>
  <c r="L214" i="18"/>
  <c r="H216" i="18"/>
  <c r="I216" i="18"/>
  <c r="J216" i="18"/>
  <c r="K216" i="18"/>
  <c r="L216" i="18"/>
  <c r="H219" i="18"/>
  <c r="I219" i="18"/>
  <c r="J219" i="18"/>
  <c r="K219" i="18"/>
  <c r="L219" i="18"/>
  <c r="H220" i="18"/>
  <c r="I220" i="18"/>
  <c r="J220" i="18"/>
  <c r="K220" i="18"/>
  <c r="L220" i="18"/>
  <c r="H221" i="18"/>
  <c r="I221" i="18"/>
  <c r="J221" i="18"/>
  <c r="K221" i="18"/>
  <c r="L221" i="18"/>
  <c r="H222" i="18"/>
  <c r="I222" i="18"/>
  <c r="J222" i="18"/>
  <c r="K222" i="18"/>
  <c r="L222" i="18"/>
  <c r="H223" i="18"/>
  <c r="I223" i="18"/>
  <c r="J223" i="18"/>
  <c r="K223" i="18"/>
  <c r="L223" i="18"/>
  <c r="I229" i="18"/>
  <c r="J229" i="18"/>
  <c r="K229" i="18"/>
  <c r="L229" i="18"/>
  <c r="H230" i="18"/>
  <c r="I230" i="18"/>
  <c r="J230" i="18"/>
  <c r="K230" i="18"/>
  <c r="L230" i="18"/>
  <c r="H231" i="18"/>
  <c r="I231" i="18"/>
  <c r="J231" i="18"/>
  <c r="K231" i="18"/>
  <c r="L231" i="18"/>
  <c r="H232" i="18"/>
  <c r="I232" i="18"/>
  <c r="J232" i="18"/>
  <c r="K232" i="18"/>
  <c r="L232" i="18"/>
  <c r="H235" i="18"/>
  <c r="I235" i="18"/>
  <c r="J235" i="18"/>
  <c r="K235" i="18"/>
  <c r="L235" i="18"/>
  <c r="I238" i="18"/>
  <c r="J238" i="18"/>
  <c r="K238" i="18"/>
  <c r="L238" i="18"/>
  <c r="I239" i="18"/>
  <c r="J239" i="18"/>
  <c r="K239" i="18"/>
  <c r="L239" i="18"/>
  <c r="H240" i="18"/>
  <c r="I240" i="18"/>
  <c r="J240" i="18"/>
  <c r="K240" i="18"/>
  <c r="L240" i="18"/>
  <c r="H241" i="18"/>
  <c r="I241" i="18"/>
  <c r="J241" i="18"/>
  <c r="K241" i="18"/>
  <c r="L241" i="18"/>
  <c r="I244" i="18"/>
  <c r="J244" i="18"/>
  <c r="K244" i="18"/>
  <c r="L244" i="18"/>
  <c r="I245" i="18"/>
  <c r="J245" i="18"/>
  <c r="K245" i="18"/>
  <c r="L245" i="18"/>
  <c r="H246" i="18"/>
  <c r="I246" i="18"/>
  <c r="J246" i="18"/>
  <c r="K246" i="18"/>
  <c r="L246" i="18"/>
  <c r="H247" i="18"/>
  <c r="I247" i="18"/>
  <c r="J247" i="18"/>
  <c r="K247" i="18"/>
  <c r="L247" i="18"/>
  <c r="I250" i="18"/>
  <c r="J250" i="18"/>
  <c r="K250" i="18"/>
  <c r="L250" i="18"/>
  <c r="I251" i="18"/>
  <c r="J251" i="18"/>
  <c r="K251" i="18"/>
  <c r="L251" i="18"/>
  <c r="H252" i="18"/>
  <c r="I252" i="18"/>
  <c r="J252" i="18"/>
  <c r="K252" i="18"/>
  <c r="L252" i="18"/>
  <c r="H253" i="18"/>
  <c r="I253" i="18"/>
  <c r="J253" i="18"/>
  <c r="K253" i="18"/>
  <c r="L253" i="18"/>
  <c r="H285" i="18"/>
  <c r="I285" i="18"/>
  <c r="J285" i="18"/>
  <c r="K285" i="18"/>
  <c r="L285" i="18"/>
  <c r="H287" i="18"/>
  <c r="I287" i="18"/>
  <c r="J287" i="18"/>
  <c r="K287" i="18"/>
  <c r="L287" i="18"/>
  <c r="H288" i="18"/>
  <c r="I288" i="18"/>
  <c r="J288" i="18"/>
  <c r="K288" i="18"/>
  <c r="L288" i="18"/>
  <c r="H289" i="18"/>
  <c r="I289" i="18"/>
  <c r="J289" i="18"/>
  <c r="K289" i="18"/>
  <c r="L289" i="18"/>
  <c r="H290" i="18"/>
  <c r="I290" i="18"/>
  <c r="J290" i="18"/>
  <c r="K290" i="18"/>
  <c r="L290" i="18"/>
  <c r="H292" i="18"/>
  <c r="I292" i="18"/>
  <c r="J292" i="18"/>
  <c r="K292" i="18"/>
  <c r="L292" i="18"/>
  <c r="J20" i="19"/>
  <c r="K20" i="19"/>
  <c r="L20" i="19"/>
  <c r="J22" i="19"/>
  <c r="K22" i="19"/>
  <c r="L22" i="19"/>
  <c r="H24" i="19"/>
  <c r="I24" i="19"/>
  <c r="J24" i="19"/>
  <c r="K24" i="19"/>
  <c r="L24" i="19"/>
  <c r="H25" i="19"/>
  <c r="I25" i="19"/>
  <c r="J25" i="19"/>
  <c r="K25" i="19"/>
  <c r="L25" i="19"/>
  <c r="H26" i="19"/>
  <c r="I26" i="19"/>
  <c r="J26" i="19"/>
  <c r="K26" i="19"/>
  <c r="L26" i="19"/>
  <c r="H27" i="19"/>
  <c r="I27" i="19"/>
  <c r="J27" i="19"/>
  <c r="K27" i="19"/>
  <c r="L27" i="19"/>
  <c r="H28" i="19"/>
  <c r="I28" i="19"/>
  <c r="J28" i="19"/>
  <c r="K28" i="19"/>
  <c r="L28" i="19"/>
  <c r="H29" i="19"/>
  <c r="I29" i="19"/>
  <c r="J29" i="19"/>
  <c r="K29" i="19"/>
  <c r="L29" i="19"/>
  <c r="H31" i="19"/>
  <c r="I31" i="19"/>
  <c r="J31" i="19"/>
  <c r="K31" i="19"/>
  <c r="L31" i="19"/>
  <c r="H32" i="19"/>
  <c r="I32" i="19"/>
  <c r="J32" i="19"/>
  <c r="K32" i="19"/>
  <c r="L32" i="19"/>
  <c r="H33" i="19"/>
  <c r="I33" i="19"/>
  <c r="J33" i="19"/>
  <c r="K33" i="19"/>
  <c r="L33" i="19"/>
  <c r="H34" i="19"/>
  <c r="I34" i="19"/>
  <c r="J34" i="19"/>
  <c r="K34" i="19"/>
  <c r="L34" i="19"/>
  <c r="H60" i="19"/>
  <c r="I60" i="19"/>
  <c r="J60" i="19"/>
  <c r="K60" i="19"/>
  <c r="L60" i="19"/>
  <c r="H64" i="19"/>
  <c r="I64" i="19"/>
  <c r="J64" i="19"/>
  <c r="K64" i="19"/>
  <c r="L64" i="19"/>
  <c r="J66" i="19"/>
  <c r="K66" i="19"/>
  <c r="L66" i="19"/>
  <c r="J67" i="19"/>
  <c r="K67" i="19"/>
  <c r="L67" i="19"/>
  <c r="H70" i="19"/>
  <c r="I70" i="19"/>
  <c r="J70" i="19"/>
  <c r="K70" i="19"/>
  <c r="L70" i="19"/>
  <c r="H78" i="19"/>
  <c r="I78" i="19"/>
  <c r="J78" i="19"/>
  <c r="K78" i="19"/>
  <c r="L78" i="19"/>
  <c r="H79" i="19"/>
  <c r="I79" i="19"/>
  <c r="J79" i="19"/>
  <c r="K79" i="19"/>
  <c r="L79" i="19"/>
  <c r="H80" i="19"/>
  <c r="I80" i="19"/>
  <c r="J80" i="19"/>
  <c r="K80" i="19"/>
  <c r="L80" i="19"/>
  <c r="H81" i="19"/>
  <c r="I81" i="19"/>
  <c r="J81" i="19"/>
  <c r="K81" i="19"/>
  <c r="L81" i="19"/>
  <c r="H82" i="19"/>
  <c r="I82" i="19"/>
  <c r="J82" i="19"/>
  <c r="K82" i="19"/>
  <c r="L82" i="19"/>
  <c r="H84" i="19"/>
  <c r="I84" i="19"/>
  <c r="J84" i="19"/>
  <c r="K84" i="19"/>
  <c r="L84" i="19"/>
  <c r="H86" i="19"/>
  <c r="I86" i="19"/>
  <c r="J86" i="19"/>
  <c r="K86" i="19"/>
  <c r="L86" i="19"/>
  <c r="H87" i="19"/>
  <c r="I87" i="19"/>
  <c r="J87" i="19"/>
  <c r="K87" i="19"/>
  <c r="L87" i="19"/>
  <c r="H89" i="19"/>
  <c r="I89" i="19"/>
  <c r="J89" i="19"/>
  <c r="K89" i="19"/>
  <c r="L89" i="19"/>
  <c r="H100" i="19"/>
  <c r="I100" i="19"/>
  <c r="J100" i="19"/>
  <c r="K100" i="19"/>
  <c r="L100" i="19"/>
  <c r="J101" i="19"/>
  <c r="K101" i="19"/>
  <c r="L101" i="19"/>
  <c r="H103" i="19"/>
  <c r="I103" i="19"/>
  <c r="J103" i="19"/>
  <c r="K103" i="19"/>
  <c r="L103" i="19"/>
  <c r="H105" i="19"/>
  <c r="I105" i="19"/>
  <c r="J105" i="19"/>
  <c r="K105" i="19"/>
  <c r="L105" i="19"/>
  <c r="H113" i="19"/>
  <c r="I113" i="19"/>
  <c r="J113" i="19"/>
  <c r="K113" i="19"/>
  <c r="L113" i="19"/>
  <c r="H114" i="19"/>
  <c r="I114" i="19"/>
  <c r="J114" i="19"/>
  <c r="K114" i="19"/>
  <c r="L114" i="19"/>
  <c r="H115" i="19"/>
  <c r="I115" i="19"/>
  <c r="J115" i="19"/>
  <c r="K115" i="19"/>
  <c r="L115" i="19"/>
  <c r="H116" i="19"/>
  <c r="I116" i="19"/>
  <c r="J116" i="19"/>
  <c r="K116" i="19"/>
  <c r="L116" i="19"/>
  <c r="H117" i="19"/>
  <c r="I117" i="19"/>
  <c r="J117" i="19"/>
  <c r="K117" i="19"/>
  <c r="L117" i="19"/>
  <c r="H119" i="19"/>
  <c r="I119" i="19"/>
  <c r="J119" i="19"/>
  <c r="K119" i="19"/>
  <c r="L119" i="19"/>
  <c r="J189" i="19"/>
  <c r="K189" i="19"/>
  <c r="L189" i="19"/>
  <c r="K190" i="19"/>
  <c r="L190" i="19"/>
  <c r="L191" i="19"/>
  <c r="J194" i="19"/>
  <c r="K194" i="19"/>
  <c r="L194" i="19"/>
  <c r="I203" i="19"/>
  <c r="J203" i="19"/>
  <c r="K203" i="19"/>
  <c r="L203" i="19"/>
  <c r="I205" i="19"/>
  <c r="J205" i="19"/>
  <c r="K205" i="19"/>
  <c r="L205" i="19"/>
  <c r="H206" i="19"/>
  <c r="I206" i="19"/>
  <c r="J206" i="19"/>
  <c r="K206" i="19"/>
  <c r="L206" i="19"/>
  <c r="H207" i="19"/>
  <c r="I207" i="19"/>
  <c r="J207" i="19"/>
  <c r="K207" i="19"/>
  <c r="L207" i="19"/>
  <c r="I210" i="19"/>
  <c r="J210" i="19"/>
  <c r="K210" i="19"/>
  <c r="L210" i="19"/>
  <c r="I211" i="19"/>
  <c r="J211" i="19"/>
  <c r="K211" i="19"/>
  <c r="L211" i="19"/>
  <c r="I212" i="19"/>
  <c r="J212" i="19"/>
  <c r="K212" i="19"/>
  <c r="L212" i="19"/>
  <c r="I213" i="19"/>
  <c r="J213" i="19"/>
  <c r="K213" i="19"/>
  <c r="L213" i="19"/>
  <c r="H214" i="19"/>
  <c r="I214" i="19"/>
  <c r="J214" i="19"/>
  <c r="K214" i="19"/>
  <c r="L214" i="19"/>
  <c r="H216" i="19"/>
  <c r="I216" i="19"/>
  <c r="J216" i="19"/>
  <c r="K216" i="19"/>
  <c r="L216" i="19"/>
  <c r="H219" i="19"/>
  <c r="I219" i="19"/>
  <c r="J219" i="19"/>
  <c r="K219" i="19"/>
  <c r="L219" i="19"/>
  <c r="H220" i="19"/>
  <c r="I220" i="19"/>
  <c r="J220" i="19"/>
  <c r="K220" i="19"/>
  <c r="L220" i="19"/>
  <c r="H221" i="19"/>
  <c r="I221" i="19"/>
  <c r="J221" i="19"/>
  <c r="K221" i="19"/>
  <c r="L221" i="19"/>
  <c r="H222" i="19"/>
  <c r="I222" i="19"/>
  <c r="J222" i="19"/>
  <c r="K222" i="19"/>
  <c r="L222" i="19"/>
  <c r="H223" i="19"/>
  <c r="I223" i="19"/>
  <c r="J223" i="19"/>
  <c r="K223" i="19"/>
  <c r="L223" i="19"/>
  <c r="I229" i="19"/>
  <c r="J229" i="19"/>
  <c r="K229" i="19"/>
  <c r="L229" i="19"/>
  <c r="H230" i="19"/>
  <c r="I230" i="19"/>
  <c r="J230" i="19"/>
  <c r="K230" i="19"/>
  <c r="L230" i="19"/>
  <c r="H231" i="19"/>
  <c r="I231" i="19"/>
  <c r="J231" i="19"/>
  <c r="K231" i="19"/>
  <c r="L231" i="19"/>
  <c r="H232" i="19"/>
  <c r="I232" i="19"/>
  <c r="J232" i="19"/>
  <c r="K232" i="19"/>
  <c r="L232" i="19"/>
  <c r="H235" i="19"/>
  <c r="I235" i="19"/>
  <c r="J235" i="19"/>
  <c r="K235" i="19"/>
  <c r="L235" i="19"/>
  <c r="I238" i="19"/>
  <c r="J238" i="19"/>
  <c r="K238" i="19"/>
  <c r="L238" i="19"/>
  <c r="I239" i="19"/>
  <c r="J239" i="19"/>
  <c r="K239" i="19"/>
  <c r="L239" i="19"/>
  <c r="H240" i="19"/>
  <c r="I240" i="19"/>
  <c r="J240" i="19"/>
  <c r="K240" i="19"/>
  <c r="L240" i="19"/>
  <c r="H241" i="19"/>
  <c r="I241" i="19"/>
  <c r="J241" i="19"/>
  <c r="K241" i="19"/>
  <c r="L241" i="19"/>
  <c r="I244" i="19"/>
  <c r="J244" i="19"/>
  <c r="K244" i="19"/>
  <c r="L244" i="19"/>
  <c r="I245" i="19"/>
  <c r="J245" i="19"/>
  <c r="K245" i="19"/>
  <c r="L245" i="19"/>
  <c r="H246" i="19"/>
  <c r="I246" i="19"/>
  <c r="J246" i="19"/>
  <c r="K246" i="19"/>
  <c r="L246" i="19"/>
  <c r="H247" i="19"/>
  <c r="I247" i="19"/>
  <c r="J247" i="19"/>
  <c r="K247" i="19"/>
  <c r="L247" i="19"/>
  <c r="I250" i="19"/>
  <c r="J250" i="19"/>
  <c r="K250" i="19"/>
  <c r="L250" i="19"/>
  <c r="I251" i="19"/>
  <c r="J251" i="19"/>
  <c r="K251" i="19"/>
  <c r="L251" i="19"/>
  <c r="H252" i="19"/>
  <c r="I252" i="19"/>
  <c r="J252" i="19"/>
  <c r="K252" i="19"/>
  <c r="L252" i="19"/>
  <c r="H253" i="19"/>
  <c r="I253" i="19"/>
  <c r="J253" i="19"/>
  <c r="K253" i="19"/>
  <c r="L253" i="19"/>
  <c r="H285" i="19"/>
  <c r="I285" i="19"/>
  <c r="J285" i="19"/>
  <c r="K285" i="19"/>
  <c r="L285" i="19"/>
  <c r="H287" i="19"/>
  <c r="I287" i="19"/>
  <c r="J287" i="19"/>
  <c r="K287" i="19"/>
  <c r="L287" i="19"/>
  <c r="H288" i="19"/>
  <c r="I288" i="19"/>
  <c r="J288" i="19"/>
  <c r="K288" i="19"/>
  <c r="L288" i="19"/>
  <c r="H289" i="19"/>
  <c r="I289" i="19"/>
  <c r="J289" i="19"/>
  <c r="K289" i="19"/>
  <c r="L289" i="19"/>
  <c r="H290" i="19"/>
  <c r="I290" i="19"/>
  <c r="J290" i="19"/>
  <c r="K290" i="19"/>
  <c r="L290" i="19"/>
  <c r="H292" i="19"/>
  <c r="I292" i="19"/>
  <c r="J292" i="19"/>
  <c r="K292" i="19"/>
  <c r="L292" i="19"/>
</calcChain>
</file>

<file path=xl/sharedStrings.xml><?xml version="1.0" encoding="utf-8"?>
<sst xmlns="http://schemas.openxmlformats.org/spreadsheetml/2006/main" count="2838" uniqueCount="339">
  <si>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</si>
  <si>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</si>
  <si>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</si>
  <si>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</si>
  <si>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</si>
  <si>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</si>
  <si>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</si>
  <si>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</si>
  <si>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</si>
  <si>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</si>
  <si>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</si>
  <si>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</si>
  <si>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</si>
  <si>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</si>
  <si>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</si>
  <si>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</si>
  <si>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</si>
  <si>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</si>
  <si>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</si>
  <si>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</si>
  <si>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</si>
  <si>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</si>
  <si>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</si>
  <si>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</si>
  <si>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</si>
  <si>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</si>
  <si>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</si>
  <si>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</si>
  <si>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</si>
  <si>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</si>
  <si>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</si>
  <si>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</si>
  <si>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</si>
  <si>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</si>
  <si>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</si>
  <si>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</si>
  <si>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</si>
  <si>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</si>
  <si>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</si>
  <si>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</si>
  <si>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</si>
  <si>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</si>
  <si>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</si>
  <si>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</si>
  <si>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</si>
  <si>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</si>
  <si>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</si>
  <si>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</si>
  <si>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</si>
  <si>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</si>
  <si>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</si>
  <si>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</si>
  <si>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</si>
  <si>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</si>
  <si>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</si>
  <si>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</si>
  <si>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</si>
  <si>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</si>
  <si>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</si>
  <si>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</si>
  <si>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</si>
  <si>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</si>
  <si>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</si>
  <si>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</si>
  <si>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</si>
  <si>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</si>
  <si>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</si>
  <si>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</si>
  <si>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</si>
  <si>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</si>
  <si>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</si>
  <si>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</si>
  <si>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</si>
  <si>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</si>
  <si>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</si>
  <si>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</si>
  <si>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</si>
  <si>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</si>
  <si>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</si>
  <si>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</si>
  <si>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</si>
  <si>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</si>
  <si>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</si>
  <si>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</si>
  <si>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</si>
  <si>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</si>
  <si>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</si>
  <si>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</si>
  <si>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</si>
  <si>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</si>
  <si>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</si>
  <si>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</si>
  <si>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</si>
  <si>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</si>
  <si>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</si>
  <si>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</si>
  <si>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</si>
  <si>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</si>
  <si>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</si>
  <si>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</si>
  <si>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</si>
  <si>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</si>
  <si>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</si>
  <si>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</si>
  <si>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</si>
  <si>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</si>
  <si>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</si>
  <si>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</si>
  <si>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</si>
  <si>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</si>
  <si>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</si>
  <si>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</si>
  <si>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</si>
  <si>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</si>
  <si>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</si>
  <si>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</si>
  <si>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</si>
  <si>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</si>
  <si>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</si>
  <si>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</si>
  <si>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</si>
  <si>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</si>
  <si>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</si>
  <si>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</si>
  <si>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</si>
  <si>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</si>
  <si>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</si>
  <si>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</si>
  <si>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</si>
  <si>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</si>
  <si>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</si>
  <si>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</si>
  <si>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</si>
  <si>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</si>
  <si>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</si>
  <si>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</si>
  <si>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</si>
  <si>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</si>
  <si>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</si>
  <si>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</si>
  <si>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</si>
  <si>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</si>
  <si>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</si>
  <si>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</si>
  <si>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</si>
  <si>
    <t>Step 4 - More Balance Sheet - Net Working Capital</t>
  </si>
  <si>
    <t>Accounts Receivable, Net</t>
  </si>
  <si>
    <t>Link to Working Capital section, below</t>
  </si>
  <si>
    <t>Working Capital</t>
  </si>
  <si>
    <t>Accounts Receivable is the amount of money that people owe you for goods and services. It tends to correlate with Revenue - if Revenue goes up, it is likely that more people will owe you money. As such, this item follows Revenue, variably, through a ratio called Days Sales Outstanding, or DSO. See more on DSO, below. We use DSOs to inform us what our Accounts Receivable will be at the Revenue we are projecting. The formula is (Sales/# of Days in the Period)*DSO Ratio</t>
  </si>
  <si>
    <t>Inventory is the stuff that you sell. As such, it tends to correlate with CoGS. The higher my Sales, will mean that my CoGS go up too (see above) so I may want to keep more inventory around to keep up. As such, this item follows CoGS, variably, through a ratio called DIOH. See more on DIOH, below. We use DIOH to project how much inventory we will keep around to keep up with our Sales momentum. The formula to use is (CoGS/# of Days in the Period)*DIOH Ratio</t>
  </si>
  <si>
    <t>What's in Other Assets? I don't know either. We know that it is some Prepaid Costs, such as Insurance, but what else? It could be Supplies. Because we don't know, we use SG&amp;A as a Driver, assuming that things we typically Prepay (Rent and Insurance) would be SG&amp;A. The formula to use here is the % we calculated, below * SG&amp;A. I will make this driver variable because SG&amp;A was variable</t>
  </si>
  <si>
    <t>Non-Cash Current Assets</t>
  </si>
  <si>
    <t>Accounts Payable is the amount of money that you owe your vendors for the goods and services that go into your CoGS. It tends to correlate with CoGS - if CoGS go up, it is likely that you will buy more things and your bills will be higher. As such, this item follows CoGS, variably, through a ratio called Days Payable Outstanding, or DPO. See more on DPO, below. We use DPOs to inform us what our Accounts Payable will be at the Revenue we are projecting. The formula is (CoGS/# of Days in the Period)*DPO Ratio</t>
  </si>
  <si>
    <t>Wages Payable is for money we owe to our employees but have not paid yet. This is common in business practice. When you first start a job, it is common for you to start getting paid a few weeks after you start - because people are paid behind when they earn it, called "Arrears." If you leave a job, you are paid what you owe up to that day. The formula to use here is the % we calculated, below *SG&amp;A because that is where the costs of Payroll and Wages are captured</t>
  </si>
  <si>
    <t>Accrued Expenses are just like Accounts Payable except it is for other money we owe. See the explanation below. The formula to use here is the % we calculated, below *SG&amp;A</t>
  </si>
  <si>
    <t>Non-Debt Current Liabilities</t>
  </si>
  <si>
    <t>Net Working Capital, without Cash</t>
  </si>
  <si>
    <t>Change in Net Working Capital</t>
  </si>
  <si>
    <t>Given this is important for the Cash Flow Statement, let's make sure we calculate this here now. It is equal to this period's Net Working Capital minus last period's Net Working Capital</t>
  </si>
  <si>
    <t>Working Capital Drivers</t>
  </si>
  <si>
    <t>Sales</t>
  </si>
  <si>
    <t>Link to Sales in P&amp;L (this just makes life a little easier for the ratios we will build, below)</t>
  </si>
  <si>
    <t>DSO - Accounts Receivable Days Outstanding</t>
  </si>
  <si>
    <t>DSO stands for "Days Sales Outstanding." It tells you how long it takes you to collect from customers, on average, by giving you the number of days of individual sales that are outstanding (aka, have not been collected yet). It is calculated as: Accounts Receivable Balance / (Total Sales / # Days in the Period)</t>
  </si>
  <si>
    <t>DIOH - Day of Inventory on Hand</t>
  </si>
  <si>
    <t>DIOH stands for "Days of Inventory On Hand." It tells you how much inventory you carry at your location, on average, by giving you the number of days of individual CoGS that you have in inventory (aka, how much inventory do I have now)</t>
  </si>
  <si>
    <t>Prepaids &amp; Other Current Assets / SG&amp;A (%)</t>
  </si>
  <si>
    <t>We don't really have a good driver for this, so let's choose SG&amp;A, given that's where the costs are most likely captured. It will fluctuate as SG&amp;A moves around</t>
  </si>
  <si>
    <t>DPO - Accounts Payable Days Outstanding</t>
  </si>
  <si>
    <t>DPO stands for "Days Payable Outstanding." It tells you how long it takes you to pay your vendors (usually related to CoGS only), on average, by giving you the number of days of individual CoGS that are outstanding (aka, have you have not paid yet).  It is calculated as: Accounts Payable Balance / (Total CoGS / # Days in the Period)</t>
  </si>
  <si>
    <t>Wages Payable / SG&amp;A (%)</t>
  </si>
  <si>
    <t>We don't really have a good driver for this, so let's choose SG&amp;A, given that's where the costs are captured. It will fluctuate as SG&amp;A moves around</t>
  </si>
  <si>
    <t>Accrued Expenses &amp; Other / SG&amp;A (%)</t>
  </si>
  <si>
    <t>Accrued Expenses is how much money you owe your vendors that are not CoGS (think like your utility bill, etc). We can also make this one a % but it will most closely follow SG&amp;A. Let's choose that as our driver</t>
  </si>
  <si>
    <t>Step 5 - Watch. Cash. Flow</t>
  </si>
  <si>
    <t>Quote the Banker, “Watch Cash Flow” ~ Herbert S Bailey Jr, © 1975</t>
  </si>
  <si>
    <t>Cash will move based on the Net Income you made and how your business ran (Operating Activities), the cash you invested (Investing Activities) and the cash you had come in or out from Financing (Financing Activites, which we will do in a later step). The Cash balance on this line is the Cash resulting at the END of each period. So it is equal to the Cash from last period + the change in cash this period. As such, Cash in 2025 is equal to Cash Balance from last year (G60) plus the change in cash this year (H119).</t>
  </si>
  <si>
    <t>Cash Flow Statement</t>
  </si>
  <si>
    <t>Operating Activities</t>
  </si>
  <si>
    <r>
      <t xml:space="preserve">Now it is time to tie everything together with cash flow. Let's map the change in Cash (WHERE did Cash go) using </t>
    </r>
    <r>
      <rPr>
        <b/>
        <u/>
        <sz val="10"/>
        <color rgb="FF416D89"/>
        <rFont val="Open Sans"/>
        <family val="2"/>
      </rPr>
      <t xml:space="preserve">WHAT </t>
    </r>
    <r>
      <rPr>
        <b/>
        <sz val="10"/>
        <color rgb="FF416D89"/>
        <rFont val="Open Sans"/>
        <family val="2"/>
      </rPr>
      <t xml:space="preserve">happened in the Income Statement and </t>
    </r>
    <r>
      <rPr>
        <b/>
        <u/>
        <sz val="10"/>
        <color rgb="FF416D89"/>
        <rFont val="Open Sans"/>
        <family val="2"/>
      </rPr>
      <t xml:space="preserve">HOW </t>
    </r>
    <r>
      <rPr>
        <b/>
        <sz val="10"/>
        <color rgb="FF416D89"/>
        <rFont val="Open Sans"/>
        <family val="2"/>
      </rPr>
      <t>it affected the business on the Balance Sheet</t>
    </r>
  </si>
  <si>
    <t>Start with Net Income - this is the result of ALL Revenue and Expenses (including ones that do not affect cash). Starting here, we will next add the non-cash expenses from the P&amp;L. Link this to the P&amp;L as a POSITIVE to INCREASE the effect on cash - Net income removed it, we add it back to CASH flow</t>
  </si>
  <si>
    <r>
      <t xml:space="preserve">Depreciation is an expense that reflects the decrease in value of long-term, physical (tangible) assets. It </t>
    </r>
    <r>
      <rPr>
        <b/>
        <u/>
        <sz val="10"/>
        <color rgb="FF416D89"/>
        <rFont val="Open Sans"/>
        <family val="2"/>
      </rPr>
      <t>does not</t>
    </r>
    <r>
      <rPr>
        <b/>
        <sz val="10"/>
        <color rgb="FF416D89"/>
        <rFont val="Open Sans"/>
        <family val="2"/>
      </rPr>
      <t xml:space="preserve"> affect Cash - it is a non-Cash expense that is meant to reflect the "wear and tear" of Long-term Assets that you are using to produce Revenue over time. However, Deprecistion does affect the value of Long-term Assets directly - it is a reduction to our Assets for the loss in value of the Assets related to "wear and tear" and aging. So because we are "losing" the value of these Assets because we are using them, and because they are getting older - and presumably "less useful to us", it is a reduction in our ownership value of those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Depreciation Expense is in it... so we add it back to CASH Flow to REMOVE the effect that Depreciation has on Net Income to show actual Cash Flow</t>
    </r>
  </si>
  <si>
    <t>Amortization of Intangibles</t>
  </si>
  <si>
    <r>
      <t xml:space="preserve">Amortization is an expense that reflects the decrease in value of long-term, non-physical (intangible) assets. It also </t>
    </r>
    <r>
      <rPr>
        <b/>
        <u/>
        <sz val="10"/>
        <color rgb="FF416D89"/>
        <rFont val="Open Sans"/>
        <family val="2"/>
      </rPr>
      <t>does not</t>
    </r>
    <r>
      <rPr>
        <b/>
        <sz val="10"/>
        <color rgb="FF416D89"/>
        <rFont val="Open Sans"/>
        <family val="2"/>
      </rPr>
      <t xml:space="preserve"> affect Cash - it is a non-Cash expense that is meant to reflect the "use" of Long-term Intangible Assets that you are using to produce Revenue over time. However, Amortization does affect the value of Long-term Intangible Assets directly - it is a reduction to our Assets for the loss in value of the Intangible Assets related to use and aging. So because we are "losing" the value of these Assets because we are using them, and because they are getting older - and presumably "less useful to us", it is a reduction in our ownership value of those Intangible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Amortization Expense is in it... so we add it back to CASH Flow to REMOVE the effect that Amortization has on Net Income to show actual Cash Flow</t>
    </r>
  </si>
  <si>
    <t>Net Income + Non-Cash Expense Adjustments</t>
  </si>
  <si>
    <t>These are the total adjustments added to Net Income to get a "cash basis" of Net Income. However, these adjustments are only the first step in calculating our changes in Cash related to Operating activities. HOW fast the business collected money, paid money, etc also needs to be considered for the change in CASH. As such, we look at the change in Current Assets and Current Liabilities that are not Debt to see the effect they have on cash as well</t>
  </si>
  <si>
    <t>(Increase) / Decrease in Working Capital</t>
  </si>
  <si>
    <r>
      <t xml:space="preserve">Working Capital can be tricky to think through and counter intuitive but think of it this way: If Working Capital goes up, it means that we have an </t>
    </r>
    <r>
      <rPr>
        <b/>
        <u/>
        <sz val="10"/>
        <color rgb="FF416D89"/>
        <rFont val="Open Sans"/>
        <family val="2"/>
      </rPr>
      <t>INCREASE</t>
    </r>
    <r>
      <rPr>
        <b/>
        <sz val="10"/>
        <color rgb="FF416D89"/>
        <rFont val="Open Sans"/>
        <family val="2"/>
      </rPr>
      <t xml:space="preserve"> in Assets compared with the change in Liabilities. This means that Assets either went up or Liabilities went down period over period. If Assets go up, it means that we either did not collect money, or used money, for our Assets to increase. Althernatively, if Liabilities went down we </t>
    </r>
    <r>
      <rPr>
        <b/>
        <u/>
        <sz val="10"/>
        <color rgb="FF416D89"/>
        <rFont val="Open Sans"/>
        <family val="2"/>
      </rPr>
      <t>USED</t>
    </r>
    <r>
      <rPr>
        <b/>
        <sz val="10"/>
        <color rgb="FF416D89"/>
        <rFont val="Open Sans"/>
        <family val="2"/>
      </rPr>
      <t xml:space="preserve"> money to pay off some money we owe. Either way, an INCREASE in Working Capital is a DECREASE in cash - we have less cash in our pocket. We link to the Working Capital section, below</t>
    </r>
  </si>
  <si>
    <t>Cash flow from Operating Activities</t>
  </si>
  <si>
    <t>Investing Activities</t>
  </si>
  <si>
    <t>Cash flow from Investment Activities - CapEx</t>
  </si>
  <si>
    <r>
      <t xml:space="preserve">Cash flow from investing activities is the cash paid for Long-term Assets (physical and non-physical. Is is a </t>
    </r>
    <r>
      <rPr>
        <b/>
        <u/>
        <sz val="10"/>
        <color rgb="FF416D89"/>
        <rFont val="Open Sans"/>
        <family val="2"/>
      </rPr>
      <t>USE</t>
    </r>
    <r>
      <rPr>
        <b/>
        <sz val="10"/>
        <color rgb="FF416D89"/>
        <rFont val="Open Sans"/>
        <family val="2"/>
      </rPr>
      <t xml:space="preserve"> of Cash when Assets go up (we bought something) so it DECREASES the Cash balance. If our value went down, it would most likely meant we sold something (net of Depreciation). We link it to CapEx and remove it to </t>
    </r>
    <r>
      <rPr>
        <b/>
        <u/>
        <sz val="10"/>
        <color rgb="FF416D89"/>
        <rFont val="Open Sans"/>
        <family val="2"/>
      </rPr>
      <t>DECREASE</t>
    </r>
    <r>
      <rPr>
        <b/>
        <sz val="10"/>
        <color rgb="FF416D89"/>
        <rFont val="Open Sans"/>
        <family val="2"/>
      </rPr>
      <t xml:space="preserve"> the cash balance, here</t>
    </r>
  </si>
  <si>
    <t>Financing Activities</t>
  </si>
  <si>
    <t>Cash flow from Financing Activities</t>
  </si>
  <si>
    <t>Change in Cash</t>
  </si>
  <si>
    <t>Sum up the Cash Effects from the Operating Activites, Investing Activities and Financing Activities sections</t>
  </si>
  <si>
    <t>Step 6 - Debt - Getting Started</t>
  </si>
  <si>
    <t>We are calculating the ENDING balance of the debt in each period, below. Link these lines to the ending balance for each type of debt, respectively, below</t>
  </si>
  <si>
    <t>Debt Schedule</t>
  </si>
  <si>
    <t>Time for the trickiest part of our model - the Debt. We are going to take this in steps to fully explain what is happening with our model. Let's start with looking above - we see that we have 4 different types of Debt that we have been taken over the years in this business - a Revolver (or Line of Credit), a Term Loan A, a Subordinated - Note 1 and a Subordinated - Note 2. Let's use the schedule below to model out each of these</t>
  </si>
  <si>
    <t>Debt Balance Schedule</t>
  </si>
  <si>
    <t>Beginning Balance</t>
  </si>
  <si>
    <t>Debt has a "rolling effect". Today's beginning starts with yesterday's end. As such, we set the beginning balance in these cells equal to the prior periods' ending balance. In this line, cell H206 is equal to cell G209, I206 is equal to cell H209, and so forth</t>
  </si>
  <si>
    <t>( + ) Revolver Draw-down</t>
  </si>
  <si>
    <t>Revolvers are unique in that you can "draw" from the line to get Cash in the business when you need it (subject to certain restrictions) or you can pay it down using Cash to reduce the outstanding balance. Other types of Debt will only have repayments (something you MUST pay or something you OPT IN to pay). We will skip this for now but come back to this later</t>
  </si>
  <si>
    <t>( – ) Revolver Pay-down</t>
  </si>
  <si>
    <t>Ending Balance</t>
  </si>
  <si>
    <t>The Balance Sheet reflects the ENDING balance in any period. As such, cell G209 is equal to cell G78 in this example as a start but then the ending balance will be equal to the sum of the Beginning period plus the repayments and drawdowns in each period thereafter. For instance, cell H209 will be equal to the sum of H206 to H208. Carry that formula across for future periods</t>
  </si>
  <si>
    <t>Bank Revolver Commitment</t>
  </si>
  <si>
    <t>When you see a Revolver or a Line of Credit, think of it acting like a sophisticated credit card. There is a maximum amount that you are allowed to borrow, called a commitment, that depends on the rules set forth in a Debt agreement and what the bank deems you worthy to borrow. The maximum amount you are allowed to borrow on a Revolver can vary. However, for simplicity sake, let's set the maximum equal to 30 for each period in this case and type in those numbers on this line</t>
  </si>
  <si>
    <t>Undrawn Revolver Balance</t>
  </si>
  <si>
    <t>The amount you have remaining to borrow is the difference between what you have already borrowed, or drawn, on the Revolver (line 209) and what the maximum that you are allowed to borrow (the commitment) on the Revolver (line 211). Set this cell to be equal to the commitment less the ending balance in each period and carry it forward</t>
  </si>
  <si>
    <t>Debt has a "rolling effect". Today's beginning starts with yesterday's end. As such, we set the beginning balance in these cells equal to the prior periods' ending balance. Follow the pattern as described above in the Revolver, line 206</t>
  </si>
  <si>
    <t>( – ) Mandatory Repayment</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</si>
  <si>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H235 * G218, I235 *G218, and so on. Remember that this is a REPAYMENT decreasing the balance of our debt so you have to make it a NEGATIVE to decrease the balance. WATCH YOUR SIGNS!</t>
  </si>
  <si>
    <t>( – ) Optional Repayment</t>
  </si>
  <si>
    <t>The Balance Sheet reflects the ENDING balance in any period. As such, cell G218 is equal to cell G79 in this example as a start but then the ending balance will be equal to the sum of the Beginning period plus the repayments in each period thereafter. For instance, cell H218 will be equal to the sum of H215 to H217. Carry that formula across for future periods</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</si>
  <si>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H236 * G224, I236 *G224, and so on. Remember that this is a REPAYMENT decreasing the balance of our debt so you have to make it a NEGATIVE to decrease the balance. WATCH YOUR SIGNS!</t>
  </si>
  <si>
    <t>The Balance Sheet reflects the ENDING balance in any period. As such, the ending balance will be equal to the sum of the Beginning period plus the repayments in each period thereafter. Follow the pattern and calculations as described above, in the Term Loan A calculation</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</si>
  <si>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H237 * G230, I237 *G230, and so on. Remember that this is a REPAYMENT decreasing the balance of our debt so you have to make it a NEGATIVE to decrease the balance. WATCH YOUR SIGNS!</t>
  </si>
  <si>
    <t>Scheduled Debt Amortization (%)</t>
  </si>
  <si>
    <t>Original Balance</t>
  </si>
  <si>
    <t>Debt Amortization per Period</t>
  </si>
  <si>
    <r>
      <t xml:space="preserve">Debt amortization (or principal repayment) is the amount that the Debt </t>
    </r>
    <r>
      <rPr>
        <b/>
        <u/>
        <sz val="10"/>
        <color rgb="FF416D89"/>
        <rFont val="Open Sans"/>
        <family val="2"/>
      </rPr>
      <t>MUST</t>
    </r>
    <r>
      <rPr>
        <b/>
        <sz val="10"/>
        <color rgb="FF416D89"/>
        <rFont val="Open Sans"/>
        <family val="2"/>
      </rPr>
      <t xml:space="preserve"> be repaid in each period (aka, the "mandatory repayment"). It is set forth and agreed in the Debt agreement when you borrow money. The balance of your Debt </t>
    </r>
    <r>
      <rPr>
        <b/>
        <u/>
        <sz val="10"/>
        <color rgb="FF416D89"/>
        <rFont val="Open Sans"/>
        <family val="2"/>
      </rPr>
      <t>MUST</t>
    </r>
    <r>
      <rPr>
        <b/>
        <sz val="10"/>
        <color rgb="FF416D89"/>
        <rFont val="Open Sans"/>
        <family val="2"/>
      </rPr>
      <t xml:space="preserve"> be repaid by this amount each period and taken out of the outstanding balance, and your cash. It dictates the cash repaid in each period to pay off the Debt over time. In this line, set the repayment to be 20% per period. This means that the debt will be paid off in equal installments over 5 years (5 * 20% = 100%).</t>
    </r>
  </si>
  <si>
    <t>Similar to the above, set this line to be 20% each period as well</t>
  </si>
  <si>
    <t>Debt can be repaid in different patterns. It there are equal payments each period, it is called "straight-line" amortization. If the amortization slowly increased, for instance 10% in period 1, 15% in period 2, 25% in period 3, etc it is called a balloon amortization (slowly inflating like a balloon). If the amortization is small and then a large sum at the end, it is called "bullet" amortization. Let's set this line to be a bullet: 5% for the first 4 periods, then 80% in the 5th period.</t>
  </si>
  <si>
    <t>Debt Characteristics</t>
  </si>
  <si>
    <t>Spread to</t>
  </si>
  <si>
    <t>Floating</t>
  </si>
  <si>
    <t>Fixed Rate /</t>
  </si>
  <si>
    <t>Float or Fixed?</t>
  </si>
  <si>
    <t>SOFR</t>
  </si>
  <si>
    <t>Coupon</t>
  </si>
  <si>
    <t>Sweep</t>
  </si>
  <si>
    <r>
      <t xml:space="preserve">Debt carries different characteristics - most notably the interest rate that must be paid and the contractual ability to repay it back early. Interest rates come in two different forms: Fixed (a % set in the debt agreement and will not change) or Variable (a % set relative to another rate controlled by banks and/or the federal reserve, usually SOFR, which stands for the Standard Overnight Financing Rate). If an interest rate is variable, it is also called "Floating" and quoted as a spread to SOFR, quoted as "SOFR +" a %. If your Debt agreements allows you to repay Debt early, it is called a "Cash Sweep" option. The Sweep option is set as a % of the original balance - dictating the ability to optionally repay debt in </t>
    </r>
    <r>
      <rPr>
        <b/>
        <u/>
        <sz val="10"/>
        <color rgb="FF416D89"/>
        <rFont val="Open Sans"/>
        <family val="2"/>
      </rPr>
      <t>ADDITION</t>
    </r>
    <r>
      <rPr>
        <b/>
        <sz val="10"/>
        <color rgb="FF416D89"/>
        <rFont val="Open Sans"/>
        <family val="2"/>
      </rPr>
      <t xml:space="preserve"> to the mandatory repayment that you </t>
    </r>
    <r>
      <rPr>
        <b/>
        <u/>
        <sz val="10"/>
        <color rgb="FF416D89"/>
        <rFont val="Open Sans"/>
        <family val="2"/>
      </rPr>
      <t>MUST</t>
    </r>
    <r>
      <rPr>
        <b/>
        <sz val="10"/>
        <color rgb="FF416D89"/>
        <rFont val="Open Sans"/>
        <family val="2"/>
      </rPr>
      <t xml:space="preserve"> pay, calculated above. For instance, a 100% cash sweep means that you can repay 100% of what you originally borrowed at any time that you like. If it were 50%, you would only be allowed to pay up to 50% of the original balance that you borrowed at any time. Debt can be very nuanced here... so be sure, when you are a situation like this, that you are modeling the Debt appropriately based on what you MUST pay (and when) and what you are OPTIONALLY ALLOWED TO PAY ON TOP OF THAT (and when)</t>
    </r>
  </si>
  <si>
    <t>Let's assume the Revolver has an interest rate that floats. As such, to start, let's look up SOFR in a search (as of today it is 3.71%) and place it in cell H244 and set the spread to be 4.25% in cell I244. This means that the rate will be 7.96%. Let's also assume the "cash sweep", or the ability to optionally pay down debt is 100% and place 100% in line L244. Revolvers are unique in that, like a credit card, their "sweep" or option to repay it when we please, is ALWAYS 100%.</t>
  </si>
  <si>
    <t xml:space="preserve">Let's assume the Term Loan A also has an interest rate that floats. As such, to start, let's look up SOFR in a search and place it in line G245 and set the spread to be 4.75% in cell I245. This means that the rate will be 8.46% - we put that in column J. Let's also assume the "cash sweep", or the ability to optionally pay down debt is 100% and place 100% in line L45. </t>
  </si>
  <si>
    <r>
      <t xml:space="preserve">Let's assume Subordinated - Note 1 has a rate that is Fixed. It does NOT fluctuate with SOFR and stays the same, no matter what. As such, </t>
    </r>
    <r>
      <rPr>
        <b/>
        <u/>
        <sz val="10"/>
        <color rgb="FF416D89"/>
        <rFont val="Open Sans"/>
        <family val="2"/>
      </rPr>
      <t>we do not need SOFR and instead just set the rate we will be charged</t>
    </r>
    <r>
      <rPr>
        <b/>
        <sz val="10"/>
        <color rgb="FF416D89"/>
        <rFont val="Open Sans"/>
        <family val="2"/>
      </rPr>
      <t xml:space="preserve"> in cell K246. Let's assume the fixed rate is 12% in this example. Let's also assume the "cash sweep", or the ability to optionally pay down debt is 100% and place 100% in line L246. </t>
    </r>
  </si>
  <si>
    <t>Let's assume Subordinated - Note 2 also has a rate that is Fixed. It does NOT fluctuate with SOFR and stays the same, regardless of where interest rates in the market are moving (up or down). As such, we do not need SOFR and instead just set the rate we will be charged in cell K247. Let's assume the fixed rate is 14.5% in this example. Let's also assume the "cash sweep", or the ability to optionally pay down debt is 50% and place 50% in line L247. This means that we cannot pay more than 50% of the original debt balance in addition to what we MUST pay each period.</t>
  </si>
  <si>
    <t>Float</t>
  </si>
  <si>
    <t>N/A</t>
  </si>
  <si>
    <t>Fixed</t>
  </si>
  <si>
    <t>Step 7- The Cash Effect with Debt and Optional Debt Repayments</t>
  </si>
  <si>
    <t>Now we can finish our cashflow! (Almost). Did Debt go up or down during the period? Let's look at the difference on the Balance Sheet to determine if it is cash up or cash down.  For this line, in column H, the formula will be H78-G78, I78-H78 and so on</t>
  </si>
  <si>
    <t>Repeat the pattern for each type of debt - for instance, in this line, in column H, the formula will be H79-G79, I79-H79 and so on</t>
  </si>
  <si>
    <t>Repeat the pattern for each type of debt per the above</t>
  </si>
  <si>
    <t>Beginning Cash Balance</t>
  </si>
  <si>
    <t>Let's start with the Beginning Cash balance in each period. Link this to the ending cash from the prior period in the Balance Sheet to start. So H203 is equal to G60, I203 is equal to H60 and so forth.</t>
  </si>
  <si>
    <t>( – ) Minimum Cash Balance</t>
  </si>
  <si>
    <t>Before you start calculating how much cash you will use to pay off debt, you first have to determine an amount of cash that you want to keep around for Operations and "just in case." This is called a Minimum Cash Balance. For purposes of this exercise, let's assume 10 in each period. Put those values as a NEGATIVE here - if this is meant to calculate the total amount of Cash we COULD use to pay down Debt, then the minimum we want to keep around "just in case" should not be included</t>
  </si>
  <si>
    <t>Excess Cash / (Cash Deficit)</t>
  </si>
  <si>
    <r>
      <t xml:space="preserve">This is the sum of the Cash and the beginning of the period less the Cash we want to keep around. Sum the two lines to show "Cash Available for Use </t>
    </r>
    <r>
      <rPr>
        <b/>
        <u/>
        <sz val="10"/>
        <color rgb="FF416D89"/>
        <rFont val="Open Sans"/>
        <family val="2"/>
      </rPr>
      <t>before</t>
    </r>
    <r>
      <rPr>
        <b/>
        <sz val="10"/>
        <color rgb="FF416D89"/>
        <rFont val="Open Sans"/>
        <family val="2"/>
      </rPr>
      <t xml:space="preserve"> we add in our Operating Cash Flow and Cash Flow from Investing" during the current period</t>
    </r>
  </si>
  <si>
    <t>( + ) Cash Flow Available for from Ops and Investing</t>
  </si>
  <si>
    <r>
      <t xml:space="preserve">Now we add in the cash from Operations (line 105) and Investing (line 109). Add those lines together for each period, here to show the cashflow we made during the period from our Operations and from our purchase/sale of Long-term Assets </t>
    </r>
    <r>
      <rPr>
        <b/>
        <u/>
        <sz val="10"/>
        <color rgb="FF416D89"/>
        <rFont val="Open Sans"/>
        <family val="2"/>
      </rPr>
      <t>BEFORE</t>
    </r>
    <r>
      <rPr>
        <b/>
        <sz val="10"/>
        <color rgb="FF416D89"/>
        <rFont val="Open Sans"/>
        <family val="2"/>
      </rPr>
      <t xml:space="preserve"> we start paying down Debt</t>
    </r>
  </si>
  <si>
    <t>Total Cash Available for Debt Service</t>
  </si>
  <si>
    <t>Now adding the cash flow from Operations and Investing to the "Cash Available for Use before we add in our Operating Cash Flow and Cash Flow from Investing" shows the Cash available to pay down Debt. Sum lines 205 and 206 for each period to show this</t>
  </si>
  <si>
    <t>Mandatory Debt Repayment</t>
  </si>
  <si>
    <t>Next, we consider the cash we MUST pay for each period. We link these to the cash we MUST pay for each type of debt, as we calculated below. For instance, this line is equal to line 239</t>
  </si>
  <si>
    <t xml:space="preserve">Repeat this link for each type of debt with mandatory debt repayments. This links to line 245 </t>
  </si>
  <si>
    <t>Repeat this link for each type of debt with mandatory debt repayments. This links to line 251</t>
  </si>
  <si>
    <t>( – ) MANDATORY Scheduled Debt Repayments</t>
  </si>
  <si>
    <r>
      <t xml:space="preserve">Sum up lines 210 to 212 to show the total we </t>
    </r>
    <r>
      <rPr>
        <b/>
        <u/>
        <sz val="10"/>
        <color rgb="FF416D89"/>
        <rFont val="Open Sans"/>
        <family val="2"/>
      </rPr>
      <t>MUST pay (mandatory repayments)</t>
    </r>
  </si>
  <si>
    <t>Excess Cash Available for Sweep / (Revolver Draw-down)</t>
  </si>
  <si>
    <r>
      <t xml:space="preserve">Add lines 207 and 213. This shows the Cash we have available to pay down Debt </t>
    </r>
    <r>
      <rPr>
        <b/>
        <u/>
        <sz val="10"/>
        <color rgb="FF416D89"/>
        <rFont val="Open Sans"/>
        <family val="2"/>
      </rPr>
      <t>if we choose (aka, OPTIONAL repayments)</t>
    </r>
  </si>
  <si>
    <t>Revolver Drawdown</t>
  </si>
  <si>
    <t>First, let's determine if we need Cash from the amount we have available from the Revolver to help support the business. In order to determine whether we draw on the Revolver, we first must determine how much we need and then compare it to how much we are allowed to borrow. If we need more than we are allowed to draw (or borrow), we are in trouble (aka, bankruptcy)! There are several ways to do this but use this formula (which is a little counterintuitive but hey, it works): =MIN(MAX(0,oppostie of the cash we need to draw down),max amount allowed to borrow - beginning balance of the revolver, aka what we have already borrowed) or =MIN(MAX(0,-H214),H235-H229) in column H to start in this example. What this math says is "give me the lesser of the cash I need or the cash I am allowed to borrow" and that is how much I will "draw" on the line</t>
  </si>
  <si>
    <t>Optional Debt Repayment</t>
  </si>
  <si>
    <t>Revolver Repayment</t>
  </si>
  <si>
    <t>Next, assuming we have cash left over because we did NOT need to draw on the line, we move on to what we CAN pay or OPT IN to pay. Debt follows rules that typically say the Revolver must be paid first and then the most senior debt can be OPTIONALLY paid after that based on seniority. It generally cascades down from there. There are several ways to do this but use this formula: =-MAX(0,MIN(the balance of the debt AT THE BEGINNING OF THE PERIOD * cash sweep %)) or =-MAX(0,MIN(H229,SUM(H$214:H218),H229*$L267)) in Column H in this example. What this math says is "I will elect to pay the lesser of either: the beginning amount of the Debt, the amount of Cash I still have remaining to pay the Debt or the beginning balance of the Debt * the cash sweep % that the rules of the Debt allow me to pay"</t>
  </si>
  <si>
    <t>See above the explanation. Carry this logic downward so that it creates a cascading effect. For instance, in column H of this line, the formula is =-MAX(0,MIN(SUM(H238:H239),SUM(H$214:H219),$G241*$L268)) or "give me the lesser of: the amount of the beginning balance of the loan - the amount I must pay, the remaining Cash I have available to pay after I pay down the Revolver, or the amount of the original loan * the cash sweep %</t>
  </si>
  <si>
    <t>See above the explanation. Carry this logic downward so that it creates a cascading effect. For instance, in column H of this line, the formula is =-MAX(0,MIN(SUM(H244:H245),SUM(H$214:H220),$G247*$L269))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</si>
  <si>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See above the explanation. Carry this logic downward so that it creates a cascading effect. For instance, in column H of this line, the formula is =-MAX(0,MIN(SUM(H250:H251),SUM(H$214:H221),$G253*$L270))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</si>
  <si>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Total Optional Debt Repayment</t>
  </si>
  <si>
    <t>Total lines 218 to lines 222 to show the total amount we will OPTIONALLY pay on the Debt as a result of the above rules</t>
  </si>
  <si>
    <t>Link to line 216, above</t>
  </si>
  <si>
    <t>Link to line 219, above</t>
  </si>
  <si>
    <t>Link to line 220, above</t>
  </si>
  <si>
    <t>Link to line 221, above</t>
  </si>
  <si>
    <t>Link to line 222, above</t>
  </si>
  <si>
    <t>Step 8 - Interest and Commitment Fees</t>
  </si>
  <si>
    <t>Interest (income) / expense</t>
  </si>
  <si>
    <t>Link these to your new Interest schedule, below. Make sure they are positive values. For instance, in column H, link the value to H287, link to I287 in column I and so forth</t>
  </si>
  <si>
    <t>Repeat the pattern for the other types of debt and undrawn commitment fee, below</t>
  </si>
  <si>
    <t>Interest Rate Calculations</t>
  </si>
  <si>
    <t>BUT WAIT! There's more… yes, that pesky little thing called interest. We got to pay Interest. Let's figure out our Interest Expense by using the below</t>
  </si>
  <si>
    <t>Let's start with SOFR. Use the rate you looked up before and carry it forward and type them on this line</t>
  </si>
  <si>
    <t>Undrawn Commitment Fee</t>
  </si>
  <si>
    <t>Next, let's determine the undrawn commitment fee. What's that you say? Why the heck do I have to pay on money I am not even borrowing? Well, you don't think that banks are going to give you the privilege of being able to borrow money without wanting to get paid for privilege do you??? Of course not, banks take fees where they can - just like an "annual fee" for a credit card. Let's assume 0.25% for each period on this line and type that in next</t>
  </si>
  <si>
    <t>Next, let's link our rates to the above so we can easily see them below. For instance, the revolver will link to cell J267</t>
  </si>
  <si>
    <t>Continue this for each type of debt and link as you did, above - some will be Floating, others will be Fixed</t>
  </si>
  <si>
    <t>Interest Expense</t>
  </si>
  <si>
    <t>Now let's calculate our actual Interest Expense for each period. Multiply the rate for each type of Debt (or the undrawn commitment fee) by the balance of each. For this line, in column H, the calculation is H276 * H235</t>
  </si>
  <si>
    <t>Continue the same calculation downward for debt. The Revolver interest is equal to the rate (in column H, this is taken from H272) multiplied by the AVERAGE of the beginning and ending balance of the Revolver balance. The reason you use an average is because you will be paying interest during the period but are not sure when. So you take the average for the beginning and ending period to calculate the interest paid - it will give you an ACCURATE answer, albeit not PRECISE. And that's OK. For this line, starting with column H, the calculation will be =H278*AVERAGE(H229,H232), column I will be =I278*AVERAGE(I229,I232) and so on</t>
  </si>
  <si>
    <t>Continue the same calculation downward for debt. For this line, starting with column H, the calculation will be =H279*AVERAGE(H238,H241), column I will be =I279*AVERAGE(I238,I241) and so on. We use the AVERAGE balance because we pay down debt during the period. As our Debt balances go down, so does in the Interest we owe on them</t>
  </si>
  <si>
    <t>Repeat the pattern, above, for Subordinated Note 1</t>
  </si>
  <si>
    <t>Repeat the pattern, above, for Subordinated Note 2</t>
  </si>
  <si>
    <t>Total Interest Expense</t>
  </si>
  <si>
    <t>Total lines 285 to 290 here</t>
  </si>
  <si>
    <t>Step 9 - Covenants</t>
  </si>
  <si>
    <t>Summary Credit Statistics</t>
  </si>
  <si>
    <r>
      <t xml:space="preserve">AND HOLD ON! WE'RE STIL NOT DONE WITH DEBT! But the good news is that this </t>
    </r>
    <r>
      <rPr>
        <b/>
        <u/>
        <sz val="10"/>
        <color rgb="FF416D89"/>
        <rFont val="Open Sans"/>
        <family val="2"/>
      </rPr>
      <t>IS</t>
    </r>
    <r>
      <rPr>
        <b/>
        <sz val="10"/>
        <color rgb="FF416D89"/>
        <rFont val="Open Sans"/>
        <family val="2"/>
      </rPr>
      <t xml:space="preserve"> the last part. As a part of borrowing debt, the Debt agreement will also impose something on the borrower called "covenants" in the Debt agreement. Covenants are restrictions put on the business to make sure you are staying solvent and not mismanaging your business. Let's go through these covenants one by one, below</t>
    </r>
  </si>
  <si>
    <t>Capitalization</t>
  </si>
  <si>
    <t>Capitalization is equal to Debt + Equity</t>
  </si>
  <si>
    <r>
      <t xml:space="preserve">The first covenant they will put on is called the Debt to Equity ratio. Namely, debt holders want to make sure that you are not overly levered or otherwise too debt heavy. They will negotiate a ratio that you must maintain as long as you hold the debt - meaning that the ratio </t>
    </r>
    <r>
      <rPr>
        <b/>
        <u/>
        <sz val="10"/>
        <color rgb="FF416D89"/>
        <rFont val="Open Sans"/>
        <family val="2"/>
      </rPr>
      <t>can not go over a certain amount.</t>
    </r>
    <r>
      <rPr>
        <b/>
        <sz val="10"/>
        <color rgb="FF416D89"/>
        <rFont val="Open Sans"/>
        <family val="2"/>
      </rPr>
      <t xml:space="preserve"> To calculate this, let's start by linking this line to the total Debt line in the Balance Sheet, line 82</t>
    </r>
  </si>
  <si>
    <t>When calculating the Debt/Equity Ratio, sometimes they will let you take a "Net Debt" calculation, which is Total Debt - Cash. Connect this line to the Cash on the Balance Sheet, line 60</t>
  </si>
  <si>
    <t>Net Debt</t>
  </si>
  <si>
    <t>Now we can calculate Net Debt as Total Debt less Cash. Subtract line 299 from line 298</t>
  </si>
  <si>
    <t>Next, connect the total Equity line to the sum of lines 85 and 86 on the Balance Sheet</t>
  </si>
  <si>
    <t>Total Capitalization</t>
  </si>
  <si>
    <t>Total Capitalization is equal to Total Cquity plus Net Debt. Add lines 300 and 302, here</t>
  </si>
  <si>
    <t>Net Debt/Equity Ratio</t>
  </si>
  <si>
    <t>Next we calculate the ratio of Net Debt to Equity. If it becomes too high, debt will become concerned that we are "over levered" and potentially not solvent</t>
  </si>
  <si>
    <t>Covenant</t>
  </si>
  <si>
    <t>After we calculate the Net Debt to Equity ratio, we need to compare it to the covenant that debt will want us to maintain. For purposes of this example, assume that the Debt to Equity ratio that debt wants us to maintain is 1.0x, or debt to not be larger than equity. Type 1.0 in each cell on line 307</t>
  </si>
  <si>
    <t>Test</t>
  </si>
  <si>
    <t>Now we can test - if the ratio is BELOW the covenant, it is OK (because we will have more equity than debt). If not, we will have a problem and change our assumptions so that we stay compliant with the covenant set forth in the debt agreement. The formula to use for this test is if the covenant is greater than the Net Debt/Equity ratio, it is "OK", if not, it is an "ISSUE." We type this using a formula. Starting in column H, the formula is: =IF(H307&gt;=H305,"OK","ISSUE"), column is =IF(I307&gt;=I305,"OK","ISSUE"), and so on</t>
  </si>
  <si>
    <t>Interest Covenant Items</t>
  </si>
  <si>
    <t>The next set of covenants have to do with Interest compared with EBITDA and other uses of cash. To start, let's link this line to the Total Interest line in the Income Statement, line 29</t>
  </si>
  <si>
    <t>Total Mandatory Debt Repayments</t>
  </si>
  <si>
    <t>Other items we will need for our calculations are the mandatory debt repayments. Let's link those here. Add up lines 233, 239 and 245, here but take the OPPOSITE of those so they show as a positive number. The calculation to use, starting in column H, is: =-(H239+H245+H251) and so on</t>
  </si>
  <si>
    <t>Other items we will need for our calculations are EBITDA, Taxes and CapEx. Let's link those here, starting with EBITDA on this line. Link it to line 18 from the Income Statement</t>
  </si>
  <si>
    <t>Taxes</t>
  </si>
  <si>
    <t>Link Taxes on this line by linking it to line 32 from the Income Statement</t>
  </si>
  <si>
    <t>CapEx</t>
  </si>
  <si>
    <t>Link CapEx on this line by linking it to line 36 from the Income Statement</t>
  </si>
  <si>
    <t>Interest Coverage</t>
  </si>
  <si>
    <t>EBITDA/Interest Coverage</t>
  </si>
  <si>
    <t>This covenant will measure how well our EBITDA can cover our Interest Expense. We need to compare EBITDA to Interest and compare it to a threshold, or covenant, set forth in the Debt agreement</t>
  </si>
  <si>
    <t>EBITDA / Total Interest Expense</t>
  </si>
  <si>
    <t>Let's do the math: Line 316 divided by Line 313</t>
  </si>
  <si>
    <t>After we calculate EBITDA to Interest ratio, we need to compare it to the covenant that Debt will want us to maintain. For purposes of this example, assume that the EBITDA to Interest ratio that Debt wants us to maintain is 2.0x, or the Debt will be concerned that we may not be able to pay our Interest with enough room to maintain cash for operations. Type 2.0 in each cell on line 325</t>
  </si>
  <si>
    <t>Now we can test - if the ratio is BELOW the covenant, it is an ISSUE (because we will not have enough EBITDA to cover match the Interest at the ratio that debt wants us to maintain). If the ratio is below, we will have a problem and change our assumptions so that we stay compliant with the covenant set forth in the debt agreement. The formula to use for this test is if the EBITDA to Interest ratio is greater than the covenant ratio, it is "OK", if not, it is an "ISSUE." We type this using a formula. Starting in column H, the formula is: =IF(H323&gt;=H325,"OK","ISSUE"), column is =IF(I323&gt;=I325,"OK","ISSUE"), and so on</t>
  </si>
  <si>
    <t>FCCR</t>
  </si>
  <si>
    <t>The most common covenant that debt requires is called FCCR, which stands for Fixed Charge Coverage Ratio. This covenant will measure how well our EBITDA less our CapEx and less our Taxes can cover our Mandatory Debt Payments and Interest. We need to compare EBITDA minus CapEx minus Taxes to Mandatory Debt Payments plus Interest and compare it to a threshold, or covenant, set forth in the debt agreement</t>
  </si>
  <si>
    <t>(EBITDA – CapEx - Taxes) / Interest + Mandatory Debt Repayment</t>
  </si>
  <si>
    <t>Let's do the math: (Line 316 minus Line 318 minus Line 317) divided by (Line 313 plus Line 314)</t>
  </si>
  <si>
    <t>After we calculate FCCR ratio, we need to compare it to the covenant that the Debt will want us to maintain. For purposes of this example, assume that the FCCR ratio that the Debt wants us to maintain is 1.0x, or the Debt will be concerned that we may not be able to pay our Interest and Mandatory charges with enough room to maintain cash for operations. Type 1.0 in each cell on line 332</t>
  </si>
  <si>
    <t>Now we can test - if the ratio is BELOW the covenant, it is an ISSUE (because we will not have enough EBITDA, less CapEx, less Taxes to "cover" the Interest plus the Mandatory Debt Payments at the ratio that debt wants us to maintain). If the ratio is below, we will have a problem and need to change our assumptions so that we stay compliant with the covenant set forth in the debt agreement. The formula to use for this test is if the FCCR ratio is greater than the covenant ratio, it is "OK", if not, it is an "ISSUE." We type this using a formula. Starting in column H, the formula is: =IF(H330&gt;=H332,"OK","ISSUE"), column is =IF(I330&gt;=I332,"OK","ISSUE"), and so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</si>
</sst>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 numFmtId="184" formatCode="0.0\x"/>
    <numFmt numFmtId="185" formatCode="_(0.00%_);\(0.00%\);_(&quot;–&quot;_)_%;@_(_%"/>
    <numFmt numFmtId="186" formatCode="&quot;Yes&quot;_)_%;&quot;ERROR&quot;_)_%;&quot;No&quot;_)_%;&quot;ERROR&quot;_)_%"/>
    <numFmt numFmtId="187" formatCode="_(0.0\x_)_)_';_(\(0.0\x\)_'_';_(&quot;–&quot;_)_%;@_(_%"/>
  </numFmts>
  <fonts count="64">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
      <b/>
      <sz val="14"/>
      <color rgb="FF535456"/>
      <name val="Open Sans"/>
      <family val="2"/>
    </font>
    <font>
      <b/>
      <u/>
      <sz val="10"/>
      <color rgb="FF416D89"/>
      <name val="Open Sans"/>
      <family val="2"/>
    </font>
    <font>
      <sz val="10"/>
      <color indexed="16"/>
      <name val="Calibri"/>
      <family val="2"/>
      <scheme val="minor"/>
    </font>
    <font>
      <b/>
      <i/>
      <sz val="10"/>
      <name val="Open Sans"/>
      <family val="2"/>
    </font>
    <font>
      <b/>
      <u/>
      <sz val="10"/>
      <name val="Open Sans"/>
      <family val="2"/>
    </font>
    <font>
      <b/>
      <sz val="10"/>
      <color rgb="FF1F497D"/>
      <name val="Open Sans"/>
      <family val="2"/>
    </font>
    <font>
      <b/>
      <sz val="10"/>
      <name val="Calibri"/>
      <family val="2"/>
      <scheme val="minor"/>
    </font>
    <font>
      <sz val="10"/>
      <name val="Calibri"/>
      <family val="2"/>
      <scheme val="minor"/>
    </font>
    <font>
      <u/>
      <sz val="10"/>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2">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
      <left/>
      <right/>
      <top style="thin">
        <color rgb="FF000000"/>
      </top>
      <bottom/>
      <diagonal/>
    </border>
    <border>
      <left/>
      <right/>
      <top/>
      <bottom style="thin">
        <color rgb="FF000000"/>
      </bottom>
      <diagonal/>
    </border>
  </borders>
  <cellStyleXfs count="3">
    <xf numFmtId="0" fontId="0" fillId="0" borderId="0"/>
    <xf numFmtId="0" fontId="4" fillId="0" borderId="0"/>
    <xf numFmtId="0" fontId="6" fillId="0" borderId="0"/>
  </cellStyleXfs>
  <cellXfs count="286">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xf numFmtId="177" fontId="39" fillId="0" borderId="0" xfId="0" applyNumberFormat="1" applyFont="1" applyAlignment="1">
      <alignment vertical="center"/>
    </xf>
    <xf numFmtId="166" fontId="38" fillId="0" borderId="0" xfId="0" applyNumberFormat="1" applyFont="1" applyAlignment="1">
      <alignment horizontal="center" vertical="center"/>
    </xf>
    <xf numFmtId="166" fontId="38" fillId="0" borderId="0" xfId="0" applyNumberFormat="1" applyFont="1" applyAlignment="1">
      <alignment horizontal="right" vertical="center"/>
    </xf>
    <xf numFmtId="183" fontId="41" fillId="0" borderId="0" xfId="0" applyNumberFormat="1" applyFont="1" applyAlignment="1">
      <alignment horizontal="right" vertical="center"/>
    </xf>
    <xf numFmtId="166" fontId="38" fillId="0" borderId="4" xfId="0" applyNumberFormat="1" applyFont="1" applyBorder="1" applyAlignment="1">
      <alignment vertical="center"/>
    </xf>
    <xf numFmtId="0" fontId="21" fillId="0" borderId="10" xfId="0" applyFont="1" applyBorder="1" applyAlignment="1">
      <alignment vertical="center"/>
    </xf>
    <xf numFmtId="166" fontId="21" fillId="0" borderId="10" xfId="0" applyNumberFormat="1" applyFont="1" applyBorder="1" applyAlignment="1">
      <alignment vertical="center"/>
    </xf>
    <xf numFmtId="166" fontId="21" fillId="0" borderId="0" xfId="0" applyNumberFormat="1" applyFont="1" applyAlignment="1">
      <alignment vertical="center"/>
    </xf>
    <xf numFmtId="166" fontId="21" fillId="4" borderId="0" xfId="0" applyNumberFormat="1" applyFont="1" applyFill="1" applyAlignment="1">
      <alignment vertical="center"/>
    </xf>
    <xf numFmtId="179" fontId="38" fillId="4" borderId="0" xfId="0" applyNumberFormat="1" applyFont="1" applyFill="1" applyAlignment="1">
      <alignment horizontal="right" vertical="center"/>
    </xf>
    <xf numFmtId="184" fontId="38" fillId="4" borderId="0" xfId="0" applyNumberFormat="1" applyFont="1" applyFill="1" applyAlignment="1">
      <alignment horizontal="right" vertical="center"/>
    </xf>
    <xf numFmtId="184" fontId="45" fillId="4" borderId="0" xfId="0" applyNumberFormat="1" applyFont="1" applyFill="1" applyAlignment="1">
      <alignment horizontal="right" vertical="center"/>
    </xf>
    <xf numFmtId="167" fontId="41" fillId="4" borderId="0" xfId="0" applyNumberFormat="1" applyFont="1" applyFill="1" applyAlignment="1">
      <alignment horizontal="right" vertical="center"/>
    </xf>
    <xf numFmtId="170" fontId="14" fillId="4" borderId="0" xfId="0" applyNumberFormat="1" applyFont="1" applyFill="1" applyAlignment="1">
      <alignment horizontal="right" vertical="center"/>
    </xf>
    <xf numFmtId="170" fontId="45" fillId="4" borderId="0" xfId="0" applyNumberFormat="1" applyFont="1" applyFill="1" applyAlignment="1">
      <alignment horizontal="right" vertical="center"/>
    </xf>
    <xf numFmtId="179" fontId="14" fillId="0" borderId="0" xfId="0" applyNumberFormat="1" applyFont="1" applyAlignment="1">
      <alignment vertical="center"/>
    </xf>
    <xf numFmtId="185" fontId="49" fillId="0" borderId="0" xfId="0" applyNumberFormat="1" applyFont="1" applyAlignment="1">
      <alignment horizontal="right" vertical="center"/>
    </xf>
    <xf numFmtId="185" fontId="42" fillId="0" borderId="0" xfId="0" applyNumberFormat="1" applyFont="1" applyAlignment="1">
      <alignment horizontal="right" vertical="center"/>
    </xf>
    <xf numFmtId="170" fontId="12" fillId="0" borderId="0" xfId="0" applyNumberFormat="1" applyFont="1" applyAlignment="1">
      <alignment vertical="center"/>
    </xf>
    <xf numFmtId="0" fontId="12" fillId="0" borderId="0" xfId="0" applyFont="1" applyAlignment="1">
      <alignment vertical="center"/>
    </xf>
    <xf numFmtId="0" fontId="55" fillId="0" borderId="0" xfId="0" applyFont="1" applyAlignment="1">
      <alignment horizontal="left" vertical="center" indent="2" readingOrder="1"/>
    </xf>
    <xf numFmtId="179" fontId="21" fillId="4" borderId="0" xfId="0" applyNumberFormat="1" applyFont="1" applyFill="1" applyAlignment="1">
      <alignment vertical="center"/>
    </xf>
    <xf numFmtId="170" fontId="38" fillId="0" borderId="4" xfId="0" applyNumberFormat="1" applyFont="1" applyBorder="1" applyAlignment="1">
      <alignment vertical="center"/>
    </xf>
    <xf numFmtId="179" fontId="21" fillId="0" borderId="4" xfId="0" applyNumberFormat="1" applyFont="1" applyBorder="1" applyAlignment="1">
      <alignment vertical="center"/>
    </xf>
    <xf numFmtId="177" fontId="25" fillId="0" borderId="10" xfId="0" applyNumberFormat="1" applyFont="1" applyBorder="1" applyAlignment="1">
      <alignment vertical="center"/>
    </xf>
    <xf numFmtId="179" fontId="21" fillId="0" borderId="10" xfId="0" applyNumberFormat="1" applyFont="1" applyBorder="1" applyAlignment="1">
      <alignment vertical="center"/>
    </xf>
    <xf numFmtId="0" fontId="21" fillId="2" borderId="7" xfId="0" applyFont="1" applyFill="1" applyBorder="1" applyAlignment="1">
      <alignment horizontal="left" vertical="center"/>
    </xf>
    <xf numFmtId="0" fontId="21" fillId="2" borderId="8" xfId="0" applyFont="1" applyFill="1" applyBorder="1" applyAlignment="1">
      <alignment horizontal="left" vertical="center"/>
    </xf>
    <xf numFmtId="177" fontId="21" fillId="4" borderId="0" xfId="0" applyNumberFormat="1" applyFont="1" applyFill="1" applyAlignment="1">
      <alignment vertical="center"/>
    </xf>
    <xf numFmtId="0" fontId="57" fillId="7" borderId="0" xfId="0" applyFont="1" applyFill="1" applyAlignment="1">
      <alignment vertical="center"/>
    </xf>
    <xf numFmtId="0" fontId="57" fillId="0" borderId="0" xfId="0" applyFont="1" applyAlignment="1">
      <alignment vertical="center"/>
    </xf>
    <xf numFmtId="166" fontId="38" fillId="5" borderId="0" xfId="0" applyNumberFormat="1" applyFont="1" applyFill="1" applyAlignment="1">
      <alignment vertical="center"/>
    </xf>
    <xf numFmtId="170" fontId="40" fillId="0" borderId="0" xfId="0" applyNumberFormat="1" applyFont="1" applyAlignment="1">
      <alignment vertical="center"/>
    </xf>
    <xf numFmtId="177" fontId="25" fillId="0" borderId="0" xfId="0" applyNumberFormat="1" applyFont="1" applyAlignment="1">
      <alignment vertical="center"/>
    </xf>
    <xf numFmtId="179" fontId="38" fillId="0" borderId="0" xfId="0" applyNumberFormat="1" applyFont="1" applyAlignment="1">
      <alignment horizontal="right" vertical="center"/>
    </xf>
    <xf numFmtId="184" fontId="38" fillId="0" borderId="0" xfId="0" applyNumberFormat="1" applyFont="1" applyAlignment="1">
      <alignment horizontal="right" vertical="center"/>
    </xf>
    <xf numFmtId="184" fontId="45" fillId="0" borderId="0" xfId="0" applyNumberFormat="1" applyFont="1" applyAlignment="1">
      <alignment horizontal="right" vertical="center"/>
    </xf>
    <xf numFmtId="167" fontId="41" fillId="0" borderId="0" xfId="0" applyNumberFormat="1" applyFont="1" applyAlignment="1">
      <alignment horizontal="right" vertical="center"/>
    </xf>
    <xf numFmtId="170" fontId="45" fillId="0" borderId="0" xfId="0" applyNumberFormat="1" applyFont="1" applyAlignment="1">
      <alignment horizontal="right" vertical="center"/>
    </xf>
    <xf numFmtId="179" fontId="21" fillId="0" borderId="0" xfId="0" applyNumberFormat="1" applyFont="1" applyAlignment="1">
      <alignment vertical="center"/>
    </xf>
    <xf numFmtId="177" fontId="21" fillId="0" borderId="0" xfId="0" applyNumberFormat="1" applyFont="1" applyAlignment="1">
      <alignment vertical="center"/>
    </xf>
    <xf numFmtId="0" fontId="58" fillId="0" borderId="11" xfId="0" applyFont="1" applyBorder="1" applyAlignment="1">
      <alignment horizontal="left" vertical="center"/>
    </xf>
    <xf numFmtId="0" fontId="37" fillId="0" borderId="11" xfId="0" applyFont="1" applyBorder="1" applyAlignment="1">
      <alignment vertical="center"/>
    </xf>
    <xf numFmtId="0" fontId="14" fillId="0" borderId="11" xfId="0" applyFont="1" applyBorder="1" applyAlignment="1">
      <alignment vertical="center"/>
    </xf>
    <xf numFmtId="0" fontId="38" fillId="0" borderId="11" xfId="0" applyFont="1" applyBorder="1" applyAlignment="1">
      <alignment vertical="center"/>
    </xf>
    <xf numFmtId="176" fontId="38" fillId="0" borderId="11" xfId="0" applyNumberFormat="1" applyFont="1" applyBorder="1" applyAlignment="1">
      <alignment vertical="center"/>
    </xf>
    <xf numFmtId="179" fontId="38" fillId="4" borderId="0" xfId="0" applyNumberFormat="1" applyFont="1" applyFill="1" applyAlignment="1">
      <alignment vertical="center"/>
    </xf>
    <xf numFmtId="179" fontId="38" fillId="4" borderId="4" xfId="0" applyNumberFormat="1" applyFont="1" applyFill="1" applyBorder="1" applyAlignment="1">
      <alignment vertical="center"/>
    </xf>
    <xf numFmtId="0" fontId="40" fillId="0" borderId="0" xfId="0" applyFont="1" applyAlignment="1">
      <alignment horizontal="left" vertical="center"/>
    </xf>
    <xf numFmtId="176" fontId="38" fillId="0" borderId="11" xfId="0" applyNumberFormat="1" applyFont="1" applyBorder="1" applyAlignment="1">
      <alignment horizontal="right" vertical="center"/>
    </xf>
    <xf numFmtId="0" fontId="38" fillId="0" borderId="11" xfId="0" applyFont="1" applyBorder="1" applyAlignment="1">
      <alignment horizontal="right" vertical="center"/>
    </xf>
    <xf numFmtId="166" fontId="38" fillId="5" borderId="0" xfId="0" applyNumberFormat="1" applyFont="1" applyFill="1" applyAlignment="1">
      <alignment horizontal="right" vertical="center"/>
    </xf>
    <xf numFmtId="179" fontId="38" fillId="4" borderId="4" xfId="0" applyNumberFormat="1" applyFont="1" applyFill="1" applyBorder="1" applyAlignment="1">
      <alignment horizontal="right" vertical="center"/>
    </xf>
    <xf numFmtId="178" fontId="38" fillId="0" borderId="0" xfId="0" applyNumberFormat="1" applyFont="1" applyAlignment="1">
      <alignment vertical="center"/>
    </xf>
    <xf numFmtId="178" fontId="38" fillId="4" borderId="0" xfId="0" applyNumberFormat="1" applyFont="1" applyFill="1" applyAlignment="1">
      <alignment vertical="center"/>
    </xf>
    <xf numFmtId="170" fontId="38" fillId="4" borderId="0" xfId="0" applyNumberFormat="1" applyFont="1" applyFill="1" applyAlignment="1">
      <alignment horizontal="right" vertical="center"/>
    </xf>
    <xf numFmtId="170" fontId="38" fillId="5" borderId="0" xfId="0" applyNumberFormat="1" applyFont="1" applyFill="1" applyAlignment="1">
      <alignment horizontal="right" vertical="center"/>
    </xf>
    <xf numFmtId="177" fontId="38" fillId="4" borderId="4" xfId="0" applyNumberFormat="1" applyFont="1" applyFill="1" applyBorder="1" applyAlignment="1">
      <alignment vertical="center"/>
    </xf>
    <xf numFmtId="177" fontId="38" fillId="4" borderId="4" xfId="0" applyNumberFormat="1" applyFont="1" applyFill="1" applyBorder="1" applyAlignment="1">
      <alignment horizontal="right" vertical="center"/>
    </xf>
    <xf numFmtId="0" fontId="20" fillId="2" borderId="7" xfId="0" applyFont="1" applyFill="1" applyBorder="1" applyAlignment="1">
      <alignment horizontal="right" vertical="center"/>
    </xf>
    <xf numFmtId="0" fontId="59" fillId="0" borderId="0" xfId="0" applyFont="1" applyAlignment="1">
      <alignment horizontal="right" vertical="center"/>
    </xf>
    <xf numFmtId="0" fontId="59" fillId="0" borderId="0" xfId="0" applyFont="1" applyAlignment="1">
      <alignment horizontal="centerContinuous" vertical="center"/>
    </xf>
    <xf numFmtId="0" fontId="14" fillId="0" borderId="0" xfId="0" applyFont="1" applyAlignment="1">
      <alignment horizontal="centerContinuous" vertical="center"/>
    </xf>
    <xf numFmtId="181" fontId="54" fillId="4" borderId="0" xfId="0" applyNumberFormat="1" applyFont="1" applyFill="1" applyAlignment="1">
      <alignment vertical="center"/>
    </xf>
    <xf numFmtId="0" fontId="21" fillId="0" borderId="0" xfId="0" applyFont="1" applyAlignment="1">
      <alignment horizontal="center" vertical="center"/>
    </xf>
    <xf numFmtId="0" fontId="60" fillId="0" borderId="0" xfId="0" applyFont="1" applyAlignment="1">
      <alignment horizontal="center" vertical="center"/>
    </xf>
    <xf numFmtId="0" fontId="21" fillId="0" borderId="3" xfId="0" applyFont="1" applyBorder="1" applyAlignment="1">
      <alignment horizontal="center" vertical="center"/>
    </xf>
    <xf numFmtId="0" fontId="60" fillId="0" borderId="3" xfId="0" applyFont="1" applyBorder="1" applyAlignment="1">
      <alignment horizontal="center" vertical="center"/>
    </xf>
    <xf numFmtId="0" fontId="34" fillId="0" borderId="3" xfId="0" applyFont="1" applyBorder="1" applyAlignment="1">
      <alignment horizontal="center" vertical="center"/>
    </xf>
    <xf numFmtId="0" fontId="34" fillId="0" borderId="3" xfId="0" applyFont="1" applyBorder="1" applyAlignment="1">
      <alignment horizontal="right" vertical="center"/>
    </xf>
    <xf numFmtId="176" fontId="14" fillId="0" borderId="0" xfId="0" applyNumberFormat="1" applyFont="1" applyAlignment="1">
      <alignment vertical="center"/>
    </xf>
    <xf numFmtId="186" fontId="45" fillId="4" borderId="0" xfId="0" applyNumberFormat="1" applyFont="1" applyFill="1" applyAlignment="1">
      <alignment horizontal="right" vertical="center"/>
    </xf>
    <xf numFmtId="185" fontId="54" fillId="4" borderId="0" xfId="0" applyNumberFormat="1" applyFont="1" applyFill="1" applyAlignment="1">
      <alignment horizontal="right" vertical="center"/>
    </xf>
    <xf numFmtId="185" fontId="41" fillId="4" borderId="0" xfId="0" applyNumberFormat="1" applyFont="1" applyFill="1" applyAlignment="1">
      <alignment horizontal="right" vertical="center"/>
    </xf>
    <xf numFmtId="181" fontId="54" fillId="4" borderId="0" xfId="0" applyNumberFormat="1" applyFont="1" applyFill="1" applyAlignment="1">
      <alignment horizontal="right" vertical="center"/>
    </xf>
    <xf numFmtId="170" fontId="14" fillId="0" borderId="0" xfId="0" applyNumberFormat="1" applyFont="1" applyAlignment="1">
      <alignment vertical="center"/>
    </xf>
    <xf numFmtId="166" fontId="38" fillId="4" borderId="4" xfId="0" applyNumberFormat="1" applyFont="1" applyFill="1" applyBorder="1" applyAlignment="1">
      <alignment vertical="center"/>
    </xf>
    <xf numFmtId="170" fontId="21" fillId="0" borderId="4" xfId="0" applyNumberFormat="1" applyFont="1" applyBorder="1" applyAlignment="1">
      <alignment vertical="center"/>
    </xf>
    <xf numFmtId="179" fontId="21" fillId="4" borderId="4" xfId="0" applyNumberFormat="1" applyFont="1" applyFill="1" applyBorder="1" applyAlignment="1">
      <alignment vertical="center"/>
    </xf>
    <xf numFmtId="179" fontId="21" fillId="4" borderId="10" xfId="0" applyNumberFormat="1" applyFont="1" applyFill="1" applyBorder="1" applyAlignment="1">
      <alignment vertical="center"/>
    </xf>
    <xf numFmtId="172" fontId="21" fillId="4" borderId="0" xfId="0" applyNumberFormat="1" applyFont="1" applyFill="1" applyAlignment="1">
      <alignment horizontal="center" vertical="center"/>
    </xf>
    <xf numFmtId="0" fontId="38" fillId="4" borderId="0" xfId="0" applyFont="1" applyFill="1" applyAlignment="1">
      <alignment vertical="center"/>
    </xf>
    <xf numFmtId="177" fontId="38" fillId="0" borderId="4" xfId="0" applyNumberFormat="1" applyFont="1" applyBorder="1" applyAlignment="1">
      <alignment vertical="center"/>
    </xf>
    <xf numFmtId="0" fontId="36" fillId="0" borderId="0" xfId="0" applyFont="1" applyAlignment="1">
      <alignment horizontal="left" vertical="center"/>
    </xf>
    <xf numFmtId="171" fontId="34" fillId="0" borderId="0" xfId="0" applyNumberFormat="1" applyFont="1" applyAlignment="1">
      <alignment horizontal="center" vertical="center"/>
    </xf>
    <xf numFmtId="179" fontId="38" fillId="0" borderId="4" xfId="0" applyNumberFormat="1" applyFont="1" applyBorder="1" applyAlignment="1">
      <alignment vertical="center"/>
    </xf>
    <xf numFmtId="179" fontId="38" fillId="0" borderId="4" xfId="0" applyNumberFormat="1" applyFont="1" applyBorder="1" applyAlignment="1">
      <alignment horizontal="right" vertical="center"/>
    </xf>
    <xf numFmtId="177" fontId="38" fillId="0" borderId="4" xfId="0" applyNumberFormat="1" applyFont="1" applyBorder="1" applyAlignment="1">
      <alignment horizontal="right" vertical="center"/>
    </xf>
    <xf numFmtId="181" fontId="54" fillId="0" borderId="0" xfId="0" applyNumberFormat="1" applyFont="1" applyAlignment="1">
      <alignment vertical="center"/>
    </xf>
    <xf numFmtId="186" fontId="45" fillId="0" borderId="0" xfId="0" applyNumberFormat="1" applyFont="1" applyAlignment="1">
      <alignment horizontal="right" vertical="center"/>
    </xf>
    <xf numFmtId="185" fontId="54" fillId="0" borderId="0" xfId="0" applyNumberFormat="1" applyFont="1" applyAlignment="1">
      <alignment horizontal="right" vertical="center"/>
    </xf>
    <xf numFmtId="185" fontId="41" fillId="0" borderId="0" xfId="0" applyNumberFormat="1" applyFont="1" applyAlignment="1">
      <alignment horizontal="right" vertical="center"/>
    </xf>
    <xf numFmtId="181" fontId="54" fillId="0" borderId="0" xfId="0" applyNumberFormat="1" applyFont="1" applyAlignment="1">
      <alignment horizontal="right" vertical="center"/>
    </xf>
    <xf numFmtId="172" fontId="21" fillId="0" borderId="0" xfId="0" applyNumberFormat="1" applyFont="1" applyAlignment="1">
      <alignment horizontal="center" vertical="center"/>
    </xf>
    <xf numFmtId="10" fontId="41" fillId="4" borderId="0" xfId="0" applyNumberFormat="1" applyFont="1" applyFill="1" applyAlignment="1">
      <alignment vertical="center"/>
    </xf>
    <xf numFmtId="10" fontId="54" fillId="4" borderId="0" xfId="0" applyNumberFormat="1" applyFont="1" applyFill="1" applyAlignment="1">
      <alignment vertical="center"/>
    </xf>
    <xf numFmtId="10" fontId="41" fillId="0" borderId="0" xfId="0" applyNumberFormat="1" applyFont="1" applyAlignment="1">
      <alignment vertical="center"/>
    </xf>
    <xf numFmtId="10" fontId="54" fillId="0" borderId="0" xfId="0" applyNumberFormat="1" applyFont="1" applyAlignment="1">
      <alignment vertical="center"/>
    </xf>
    <xf numFmtId="0" fontId="21" fillId="3" borderId="0" xfId="0" applyFont="1" applyFill="1" applyAlignment="1">
      <alignment horizontal="left" vertical="center"/>
    </xf>
    <xf numFmtId="0" fontId="61" fillId="3" borderId="0" xfId="0" applyFont="1" applyFill="1" applyAlignment="1">
      <alignment horizontal="left" vertical="center" indent="1"/>
    </xf>
    <xf numFmtId="0" fontId="61" fillId="3" borderId="0" xfId="0" applyFont="1" applyFill="1" applyAlignment="1">
      <alignment horizontal="left" vertical="center"/>
    </xf>
    <xf numFmtId="0" fontId="62" fillId="0" borderId="0" xfId="0" applyFont="1" applyAlignment="1">
      <alignment vertical="center"/>
    </xf>
    <xf numFmtId="178" fontId="62" fillId="0" borderId="0" xfId="0" applyNumberFormat="1" applyFont="1" applyAlignment="1">
      <alignment vertical="center"/>
    </xf>
    <xf numFmtId="0" fontId="62" fillId="0" borderId="4" xfId="0" applyFont="1" applyBorder="1" applyAlignment="1">
      <alignment vertical="center"/>
    </xf>
    <xf numFmtId="170" fontId="62" fillId="0" borderId="4" xfId="0" applyNumberFormat="1" applyFont="1" applyBorder="1" applyAlignment="1">
      <alignment vertical="center"/>
    </xf>
    <xf numFmtId="170" fontId="62" fillId="0" borderId="0" xfId="0" applyNumberFormat="1" applyFont="1" applyAlignment="1">
      <alignment vertical="center"/>
    </xf>
    <xf numFmtId="0" fontId="21" fillId="4" borderId="0" xfId="0" applyFont="1" applyFill="1" applyAlignment="1">
      <alignment horizontal="center" vertical="center"/>
    </xf>
    <xf numFmtId="0" fontId="63" fillId="0" borderId="0" xfId="0" applyFont="1" applyAlignment="1">
      <alignment vertical="center"/>
    </xf>
    <xf numFmtId="187" fontId="38" fillId="4" borderId="0" xfId="0" applyNumberFormat="1" applyFont="1" applyFill="1" applyAlignment="1">
      <alignment horizontal="right" vertical="center"/>
    </xf>
    <xf numFmtId="187" fontId="62" fillId="0" borderId="0" xfId="0" applyNumberFormat="1" applyFont="1" applyAlignment="1">
      <alignment horizontal="right" vertical="center"/>
    </xf>
    <xf numFmtId="0" fontId="62" fillId="0" borderId="5" xfId="0" applyFont="1" applyBorder="1" applyAlignment="1">
      <alignment vertical="center"/>
    </xf>
  </cellXfs>
  <cellStyles count="3">
    <cellStyle name="Normal" xfId="0" builtinId="0"/>
    <cellStyle name="Normal 10 2" xfId="1" xr:uid="{72F8DEEC-2B71-4EE8-BD43-13F79DC7B708}"/>
    <cellStyle name="Normal 5 2" xfId="2" xr:uid="{0E6D6010-9EC5-49A6-AAD7-94F09F30B2AE}"/>
  </cellStyles>
  <dxfs count="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887A9F52-D4C3-450B-9DE3-B1F7A5A3384F}"/>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715A4A47-6B7B-40C2-964F-3BB85F444AC1}"/>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72275CDA-812A-4277-BCD7-39275D38FA08}"/>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D0845A86-247F-4775-B6A8-0290980DCCE9}"/>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0DF1E998-8E61-4777-8294-61B4A443EE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D78374A3-172D-4A36-97B6-D60782E566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D315886D-8E62-432E-9658-D0025F247F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E83E8E1F-2B57-474A-820A-89E82BA4D31A}"/>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C9455443-BDE4-4191-9083-1BB4B994ACE7}"/>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BCDAC16A-E8DC-4E0B-B1B5-45B0AECBFA25}"/>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40EAC733-F73D-49FF-BA1F-9A8647780187}"/>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33F46D55-9EDB-4274-A0E2-CB24EA8CFE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02BF79D0-5ABE-46EA-9A10-9EFE8F842B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6E8DC76D-B89E-48DA-8F12-8CFF2F7159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109AF180-6C0A-43FF-858E-EBE381E738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2E3E76AB-1834-4D7B-ACAD-A52AE8E345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720B53E0-1548-49D2-B5DA-CC6E052176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2355F946-D288-4CB9-973B-8A49634D5E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C2B3D1A3-C580-4D6C-AF25-B1215A38C3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67BD5259-08AF-4D9D-8DC1-680B5CBD11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69609FA5-8618-45F8-A571-1896312629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9C112EC7-0D82-4104-B8E5-8AAD20FE7D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C0535C31-54FB-442C-8654-A213BD0681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2229B430-BA6A-41F2-ABAB-1390F47819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BBE938AF-E9BF-49E4-9B36-A4D942EE30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14D712EC-54BE-4A4F-9454-8EA52D894A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330AD1C6-CD06-461E-92D6-B6D787AD1E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345CAF11-6AA5-4386-BF29-2FA7959397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77859</xdr:rowOff>
    </xdr:to>
    <xdr:pic>
      <xdr:nvPicPr>
        <xdr:cNvPr id="4" name="Graphic 20" descr="Badge 3 outline">
          <a:extLst>
            <a:ext uri="{FF2B5EF4-FFF2-40B4-BE49-F238E27FC236}">
              <a16:creationId xmlns:a16="http://schemas.microsoft.com/office/drawing/2014/main" id="{DA62790C-C444-4181-AC56-8F15081AE3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44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CFE1D017-C05C-4677-BE23-850096AD33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5E82757C-CC6B-4341-964B-94072DF373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77859</xdr:rowOff>
    </xdr:to>
    <xdr:pic>
      <xdr:nvPicPr>
        <xdr:cNvPr id="4" name="Graphic 20" descr="Badge 3 outline">
          <a:extLst>
            <a:ext uri="{FF2B5EF4-FFF2-40B4-BE49-F238E27FC236}">
              <a16:creationId xmlns:a16="http://schemas.microsoft.com/office/drawing/2014/main" id="{0E766F1D-3C13-4105-BEDD-19AA4867C1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44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B9C29241-667C-411B-9D5D-E9B2B92E1D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3EB9864C-0A28-485D-AFFA-40431EF57B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77859</xdr:rowOff>
    </xdr:to>
    <xdr:pic>
      <xdr:nvPicPr>
        <xdr:cNvPr id="4" name="Graphic 20" descr="Badge 3 outline">
          <a:extLst>
            <a:ext uri="{FF2B5EF4-FFF2-40B4-BE49-F238E27FC236}">
              <a16:creationId xmlns:a16="http://schemas.microsoft.com/office/drawing/2014/main" id="{F277FB84-CEEA-496B-989D-F8C41B96A4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44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_WIP/Module%204%20-%20Model%20Building%20Steps/Step%208%20-%20Template.xlsx" TargetMode="External"/><Relationship Id="rId1" Type="http://schemas.openxmlformats.org/officeDocument/2006/relationships/externalLinkPath" Target="Step%208%20-%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8" priority="1" operator="equal">
      <formula>0</formula>
    </cfRule>
    <cfRule type="cellIs" dxfId="7" priority="2" operator="lessThan">
      <formula>0</formula>
    </cfRule>
    <cfRule type="cellIs" dxfId="6"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2BEE-D175-4ED3-8E90-5136B9793DD8}">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5.829392560625954</v>
      </c>
      <c r="I20" s="149">
        <f t="shared" ref="I20:L20" si="6">I126</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f>('Financials from CIP'!E53-'Financials from CIP'!D53+'Financials from CIP'!E25)/1000</f>
        <v>2.2620482799999997</v>
      </c>
      <c r="H36" s="162">
        <f>H48*H13</f>
        <v>2.6089416062595356</v>
      </c>
      <c r="I36" s="162">
        <f>I48*I13</f>
        <v>3.0090322850545372</v>
      </c>
      <c r="J36" s="162">
        <f>J48*J13</f>
        <v>3.3802073552164953</v>
      </c>
      <c r="K36" s="162">
        <f>K48*K13</f>
        <v>3.6957619988438841</v>
      </c>
      <c r="L36" s="162">
        <f>L48*L13</f>
        <v>3.9299019555263603</v>
      </c>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f>G36/G13</f>
        <v>2.4963560600917242E-2</v>
      </c>
      <c r="H48" s="135">
        <f>G48</f>
        <v>2.4963560600917242E-2</v>
      </c>
      <c r="I48" s="135">
        <f>H48</f>
        <v>2.4963560600917242E-2</v>
      </c>
      <c r="J48" s="135">
        <f>I48</f>
        <v>2.4963560600917242E-2</v>
      </c>
      <c r="K48" s="135">
        <f>J48</f>
        <v>2.4963560600917242E-2</v>
      </c>
      <c r="L48" s="135">
        <f>K48</f>
        <v>2.4963560600917242E-2</v>
      </c>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f>G67+H36</f>
        <v>58.293925606259535</v>
      </c>
      <c r="I65" s="165">
        <f>H65+I36</f>
        <v>61.302957891314072</v>
      </c>
      <c r="J65" s="165">
        <f>I65+J36</f>
        <v>64.683165246530564</v>
      </c>
      <c r="K65" s="165">
        <f>J65+K36</f>
        <v>68.378927245374442</v>
      </c>
      <c r="L65" s="165">
        <f>K65+L36</f>
        <v>72.308829200900803</v>
      </c>
      <c r="M65" s="50" t="s">
        <v>135</v>
      </c>
    </row>
    <row r="66" spans="1:13" ht="13.5" customHeight="1" outlineLevel="1">
      <c r="A66" s="164"/>
      <c r="C66" s="91" t="s">
        <v>86</v>
      </c>
      <c r="D66" s="95"/>
      <c r="E66" s="95"/>
      <c r="F66" s="96"/>
      <c r="G66" s="96"/>
      <c r="H66" s="165">
        <f>G66-H20</f>
        <v>-5.829392560625954</v>
      </c>
      <c r="I66" s="165">
        <f>H66-I20</f>
        <v>-11.959688349757361</v>
      </c>
      <c r="J66" s="165">
        <f ca="1">I66-J20</f>
        <v>-18.428004874410419</v>
      </c>
      <c r="K66" s="165">
        <f ca="1">J66-K20</f>
        <v>-25.265897598947866</v>
      </c>
      <c r="L66" s="165">
        <f ca="1">K66-L20</f>
        <v>-32.496780519037948</v>
      </c>
      <c r="M66" s="50" t="s">
        <v>136</v>
      </c>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164"/>
      <c r="C68" s="98" t="s">
        <v>87</v>
      </c>
      <c r="D68" s="95"/>
      <c r="E68" s="95"/>
      <c r="F68" s="99">
        <v>0</v>
      </c>
      <c r="G68" s="99">
        <v>0</v>
      </c>
      <c r="H68" s="166">
        <v>0</v>
      </c>
      <c r="I68" s="166">
        <v>0</v>
      </c>
      <c r="J68" s="166">
        <v>0</v>
      </c>
      <c r="K68" s="166">
        <v>0</v>
      </c>
      <c r="L68" s="166">
        <v>0</v>
      </c>
      <c r="M68" s="50" t="s">
        <v>137</v>
      </c>
    </row>
    <row r="69" spans="1:13" ht="13.5" customHeight="1" outlineLevel="1">
      <c r="A69" s="164"/>
      <c r="C69" s="98" t="s">
        <v>88</v>
      </c>
      <c r="D69" s="95"/>
      <c r="E69" s="95"/>
      <c r="F69" s="96">
        <f>'Financials from CIP'!D54/1000</f>
        <v>4.378482</v>
      </c>
      <c r="G69" s="96">
        <f>'Financials from CIP'!E54/1000</f>
        <v>4.5043699999999998</v>
      </c>
      <c r="H69" s="165">
        <f>G69-H21</f>
        <v>4.2664179999999998</v>
      </c>
      <c r="I69" s="165">
        <f>H69-I21</f>
        <v>4.0284659999999999</v>
      </c>
      <c r="J69" s="165">
        <f>I69-J21</f>
        <v>3.7905139999999999</v>
      </c>
      <c r="K69" s="165">
        <f>J69-K21</f>
        <v>3.552562</v>
      </c>
      <c r="L69" s="165">
        <f>K69-L21</f>
        <v>3.3146100000000001</v>
      </c>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f>G83</f>
        <v>0.42988799999999999</v>
      </c>
      <c r="I83" s="129">
        <f>H83</f>
        <v>0.42988799999999999</v>
      </c>
      <c r="J83" s="129">
        <f>I83</f>
        <v>0.42988799999999999</v>
      </c>
      <c r="K83" s="129">
        <f>J83</f>
        <v>0.42988799999999999</v>
      </c>
      <c r="L83" s="129">
        <f>K83</f>
        <v>0.42988799999999999</v>
      </c>
      <c r="M83" s="50" t="s">
        <v>139</v>
      </c>
    </row>
    <row r="84" spans="1:19"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9" ht="13.5" customHeight="1" outlineLevel="1">
      <c r="A85" s="164"/>
      <c r="C85" s="98" t="s">
        <v>47</v>
      </c>
      <c r="F85" s="96">
        <f>'Financials from CIP'!D71/1000</f>
        <v>7.7836338279007267</v>
      </c>
      <c r="G85" s="96">
        <f>'Financials from CIP'!E71/1000</f>
        <v>8.9161157153081838</v>
      </c>
      <c r="H85" s="129">
        <f>G85</f>
        <v>8.9161157153081838</v>
      </c>
      <c r="I85" s="129">
        <f>H85</f>
        <v>8.9161157153081838</v>
      </c>
      <c r="J85" s="129">
        <f>I85</f>
        <v>8.9161157153081838</v>
      </c>
      <c r="K85" s="129">
        <f>J85</f>
        <v>8.9161157153081838</v>
      </c>
      <c r="L85" s="129">
        <f>K85</f>
        <v>8.9161157153081838</v>
      </c>
      <c r="M85" s="50" t="s">
        <v>140</v>
      </c>
    </row>
    <row r="86" spans="1:19" ht="13.5" customHeight="1" outlineLevel="1">
      <c r="A86" s="164"/>
      <c r="C86" s="98" t="s">
        <v>48</v>
      </c>
      <c r="F86" s="96">
        <f>'Financials from CIP'!D72/1000</f>
        <v>48.248887000000003</v>
      </c>
      <c r="G86" s="96">
        <f>'Financials from CIP'!E72/1000</f>
        <v>55.852504780500006</v>
      </c>
      <c r="H86" s="129">
        <f>G86+H33</f>
        <v>62.930877268329802</v>
      </c>
      <c r="I86" s="129">
        <f>H86+I33</f>
        <v>71.528192076037556</v>
      </c>
      <c r="J86" s="129">
        <f ca="1">I86+J33</f>
        <v>81.494142444464075</v>
      </c>
      <c r="K86" s="129">
        <f ca="1">J86+K33</f>
        <v>92.567038155451343</v>
      </c>
      <c r="L86" s="129">
        <f ca="1">K86+L33</f>
        <v>104.37950992102668</v>
      </c>
      <c r="M86" s="50" t="s">
        <v>141</v>
      </c>
    </row>
    <row r="87" spans="1:19"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f t="shared" ref="F89:L89" si="23">F87-F70</f>
        <v>8.2790072042371321E-7</v>
      </c>
      <c r="G89" s="168">
        <f t="shared" si="23"/>
        <v>-5.0419180297467392E-7</v>
      </c>
      <c r="H89" s="168">
        <f t="shared" si="23"/>
        <v>15.545929938004399</v>
      </c>
      <c r="I89" s="168">
        <f t="shared" si="23"/>
        <v>27.502460249789031</v>
      </c>
      <c r="J89" s="168">
        <f t="shared" ca="1" si="23"/>
        <v>40.794471787652114</v>
      </c>
      <c r="K89" s="168">
        <f t="shared" ca="1" si="23"/>
        <v>55.247450224332951</v>
      </c>
      <c r="L89" s="168">
        <f t="shared" ca="1" si="23"/>
        <v>70.598854954472017</v>
      </c>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 Answer Key'!F13</f>
        <v>0</v>
      </c>
      <c r="G94" s="122">
        <f>'Financials from CIP'!E13/1000-'Step 3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 Answer Key'!F15</f>
        <v>0</v>
      </c>
      <c r="G95" s="122">
        <f>'Financials from CIP'!E19/1000-'Step 3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 Answer Key'!F18</f>
        <v>0</v>
      </c>
      <c r="G96" s="122">
        <f>'Financials from CIP'!E36/1000-'Step 3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 Answer Key'!F33</f>
        <v>0</v>
      </c>
      <c r="G97" s="122">
        <f>'Financials from CIP'!E34/1000-'Step 3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 Answer Key'!F60</f>
        <v>0</v>
      </c>
      <c r="G100" s="122">
        <f>'Financials from CIP'!E46/1000-'Step 3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 Answer Key'!F64</f>
        <v>0</v>
      </c>
      <c r="G101" s="122">
        <f>'Financials from CIP'!E51/1000-'Step 3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 Answer Key'!F70</f>
        <v>0</v>
      </c>
      <c r="G102" s="122">
        <f>'Financials from CIP'!E56/1000-'Step 3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 Answer Key'!F77</f>
        <v>0</v>
      </c>
      <c r="G103" s="122">
        <f>'Financials from CIP'!E61/1000-'Step 3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 Answer Key'!F84</f>
        <v>0</v>
      </c>
      <c r="G104" s="122">
        <f>'Financials from CIP'!E69/1000-'Step 3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 Answer Key'!F85:F86)</f>
        <v>0</v>
      </c>
      <c r="G105" s="122">
        <f>'Financials from CIP'!E73/1000-SUM('Step 3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4">H$11</f>
        <v>46022</v>
      </c>
      <c r="I117" s="58">
        <f t="shared" si="24"/>
        <v>46387</v>
      </c>
      <c r="J117" s="58">
        <f t="shared" si="24"/>
        <v>46752</v>
      </c>
      <c r="K117" s="58">
        <f t="shared" si="24"/>
        <v>47118</v>
      </c>
      <c r="L117" s="58">
        <f t="shared" si="24"/>
        <v>47483</v>
      </c>
      <c r="M117" s="50"/>
    </row>
    <row r="118" spans="1:13" ht="13.5" customHeight="1">
      <c r="M118" s="50"/>
    </row>
    <row r="119" spans="1:13" ht="13.5" customHeight="1">
      <c r="A119" s="125"/>
      <c r="C119" s="146">
        <f>G11</f>
        <v>45657</v>
      </c>
      <c r="D119" s="169">
        <f>G67</f>
        <v>55.684984</v>
      </c>
      <c r="E119" s="170">
        <v>10</v>
      </c>
      <c r="F119" s="149">
        <f>-G20</f>
        <v>-1.1617642799999999</v>
      </c>
      <c r="G119" s="150">
        <f t="shared" ref="G119:G124" si="25">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f>H36</f>
        <v>2.6089416062595356</v>
      </c>
      <c r="E120" s="148">
        <v>10</v>
      </c>
      <c r="F120" s="68"/>
      <c r="G120" s="150">
        <f t="shared" si="25"/>
        <v>-0.26089416062595355</v>
      </c>
      <c r="H120" s="151">
        <f>-MIN(-$G120,$D120)</f>
        <v>-0.26089416062595355</v>
      </c>
      <c r="I120" s="173">
        <f>-MIN(-$H120,SUM($H120:H120,$D120))</f>
        <v>-0.26089416062595355</v>
      </c>
      <c r="J120" s="173">
        <f>-MIN(-$H120,SUM($H120:I120,$D120))</f>
        <v>-0.26089416062595355</v>
      </c>
      <c r="K120" s="173">
        <f>-MIN(-$H120,SUM($H120:J120,$D120))</f>
        <v>-0.26089416062595355</v>
      </c>
      <c r="L120" s="173">
        <f>-MIN(-$H120,SUM($H120:K120,$D120))</f>
        <v>-0.26089416062595355</v>
      </c>
      <c r="M120" s="50" t="s">
        <v>144</v>
      </c>
    </row>
    <row r="121" spans="1:13" ht="13.5" customHeight="1">
      <c r="A121" s="125"/>
      <c r="C121" s="146">
        <f>I117</f>
        <v>46387</v>
      </c>
      <c r="D121" s="171">
        <f>I36</f>
        <v>3.0090322850545372</v>
      </c>
      <c r="E121" s="148">
        <v>10</v>
      </c>
      <c r="F121" s="68"/>
      <c r="G121" s="150">
        <f t="shared" si="25"/>
        <v>-0.3009032285054537</v>
      </c>
      <c r="H121" s="174"/>
      <c r="I121" s="151">
        <f>-MIN(-$G121,$D121)</f>
        <v>-0.3009032285054537</v>
      </c>
      <c r="J121" s="173">
        <f ca="1">-MIN(-$I121,SUM($I121:J121,$D121))</f>
        <v>-0.3009032285054537</v>
      </c>
      <c r="K121" s="173">
        <f ca="1">-MIN(-$I121,SUM($I121:K121,$D121))</f>
        <v>-0.3009032285054537</v>
      </c>
      <c r="L121" s="173">
        <f ca="1">-MIN(-$I121,SUM($I121:L121,$D121))</f>
        <v>-0.3009032285054537</v>
      </c>
      <c r="M121" s="50" t="s">
        <v>144</v>
      </c>
    </row>
    <row r="122" spans="1:13" ht="13.5" customHeight="1">
      <c r="A122" s="125"/>
      <c r="C122" s="146">
        <f>J117</f>
        <v>46752</v>
      </c>
      <c r="D122" s="171">
        <f>J36</f>
        <v>3.3802073552164953</v>
      </c>
      <c r="E122" s="148">
        <v>10</v>
      </c>
      <c r="F122" s="68"/>
      <c r="G122" s="150">
        <f t="shared" si="25"/>
        <v>-0.33802073552164952</v>
      </c>
      <c r="H122" s="174"/>
      <c r="I122" s="174"/>
      <c r="J122" s="151">
        <f>-MIN(-$G122,$D122)</f>
        <v>-0.33802073552164952</v>
      </c>
      <c r="K122" s="173">
        <f ca="1">-MIN(-$J122,SUM($J122:L122,$D122))</f>
        <v>-0.33802073552164952</v>
      </c>
      <c r="L122" s="173">
        <f ca="1">-MIN(-$J122,SUM($J122:M122,$D122))</f>
        <v>-0.33802073552164952</v>
      </c>
      <c r="M122" s="50" t="s">
        <v>144</v>
      </c>
    </row>
    <row r="123" spans="1:13" ht="13.5" customHeight="1">
      <c r="A123" s="125"/>
      <c r="C123" s="146">
        <f>K117</f>
        <v>47118</v>
      </c>
      <c r="D123" s="171">
        <f>K36</f>
        <v>3.6957619988438841</v>
      </c>
      <c r="E123" s="148">
        <v>10</v>
      </c>
      <c r="F123" s="68"/>
      <c r="G123" s="150">
        <f t="shared" si="25"/>
        <v>-0.36957619988438839</v>
      </c>
      <c r="H123" s="174"/>
      <c r="I123" s="174"/>
      <c r="J123" s="174"/>
      <c r="K123" s="151">
        <f>-MIN(-$G123,$D123)</f>
        <v>-0.36957619988438839</v>
      </c>
      <c r="L123" s="173">
        <f ca="1">-MIN(-$K123,SUM($K123:N123,$D123))</f>
        <v>-0.36957619988438839</v>
      </c>
      <c r="M123" s="50" t="s">
        <v>144</v>
      </c>
    </row>
    <row r="124" spans="1:13" ht="13.5" customHeight="1">
      <c r="A124" s="125"/>
      <c r="C124" s="146">
        <f>L117</f>
        <v>47483</v>
      </c>
      <c r="D124" s="171">
        <f>L36</f>
        <v>3.9299019555263603</v>
      </c>
      <c r="E124" s="148">
        <v>10</v>
      </c>
      <c r="F124" s="68"/>
      <c r="G124" s="150">
        <f t="shared" si="25"/>
        <v>-0.39299019555263603</v>
      </c>
      <c r="H124" s="174"/>
      <c r="I124" s="174"/>
      <c r="J124" s="174"/>
      <c r="K124" s="174"/>
      <c r="L124" s="151">
        <f>-MIN(-$G124,$D124)</f>
        <v>-0.39299019555263603</v>
      </c>
      <c r="M124" s="50" t="s">
        <v>144</v>
      </c>
    </row>
    <row r="125" spans="1:13" ht="13.5" customHeight="1">
      <c r="C125" s="68"/>
      <c r="D125" s="155"/>
    </row>
    <row r="126" spans="1:13" ht="13.5" customHeight="1">
      <c r="C126" s="39" t="s">
        <v>131</v>
      </c>
      <c r="H126" s="156">
        <f>-SUM(H119:H125)</f>
        <v>5.829392560625954</v>
      </c>
      <c r="I126" s="156">
        <f t="shared" ref="I126:L126" si="26">-SUM(I119:I125)</f>
        <v>6.1302957891314076</v>
      </c>
      <c r="J126" s="156">
        <f t="shared" ca="1" si="26"/>
        <v>6.4683165246530567</v>
      </c>
      <c r="K126" s="156">
        <f t="shared" ca="1" si="26"/>
        <v>6.8378927245374452</v>
      </c>
      <c r="L126" s="156">
        <f t="shared" ca="1" si="26"/>
        <v>7.2308829200900817</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6D6-1779-4001-9474-94007B1CD17A}">
  <sheetPr>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c r="I61" s="129"/>
      <c r="J61" s="129"/>
      <c r="K61" s="129"/>
      <c r="L61" s="129"/>
      <c r="M61" s="50" t="s">
        <v>147</v>
      </c>
    </row>
    <row r="62" spans="1:13" ht="13.5" customHeight="1" outlineLevel="1">
      <c r="A62" s="164"/>
      <c r="C62" s="91" t="s">
        <v>31</v>
      </c>
      <c r="F62" s="96">
        <f>'Financials from CIP'!D49/1000</f>
        <v>0.80490099999999998</v>
      </c>
      <c r="G62" s="96">
        <f>'Financials from CIP'!E49/1000</f>
        <v>1.161057</v>
      </c>
      <c r="H62" s="129"/>
      <c r="I62" s="129"/>
      <c r="J62" s="129"/>
      <c r="K62" s="129"/>
      <c r="L62" s="129"/>
      <c r="M62" s="50" t="s">
        <v>147</v>
      </c>
    </row>
    <row r="63" spans="1:13" ht="13.5" customHeight="1" outlineLevel="1">
      <c r="A63" s="164"/>
      <c r="C63" s="91" t="s">
        <v>84</v>
      </c>
      <c r="F63" s="96">
        <f>'Financials from CIP'!D50/1000</f>
        <v>0.26978399999999997</v>
      </c>
      <c r="G63" s="96">
        <f>'Financials from CIP'!E50/1000</f>
        <v>0.34491899999999998</v>
      </c>
      <c r="H63" s="129"/>
      <c r="I63" s="129"/>
      <c r="J63" s="129"/>
      <c r="K63" s="129"/>
      <c r="L63" s="129"/>
      <c r="M63" s="50" t="s">
        <v>147</v>
      </c>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c r="I74" s="129"/>
      <c r="J74" s="129"/>
      <c r="K74" s="129"/>
      <c r="L74" s="129"/>
      <c r="M74" s="50" t="s">
        <v>147</v>
      </c>
    </row>
    <row r="75" spans="1:13" ht="13.5" customHeight="1" outlineLevel="1">
      <c r="A75" s="164"/>
      <c r="C75" s="91" t="s">
        <v>38</v>
      </c>
      <c r="D75" s="95"/>
      <c r="E75" s="95"/>
      <c r="F75" s="96">
        <f>'Financials from CIP'!D59/1000</f>
        <v>2.3839329999999999</v>
      </c>
      <c r="G75" s="96">
        <f>'Financials from CIP'!E59/1000</f>
        <v>2.7880379999999998</v>
      </c>
      <c r="H75" s="129"/>
      <c r="I75" s="129"/>
      <c r="J75" s="129"/>
      <c r="K75" s="129"/>
      <c r="L75" s="129"/>
      <c r="M75" s="50" t="s">
        <v>147</v>
      </c>
    </row>
    <row r="76" spans="1:13" ht="13.5" customHeight="1" outlineLevel="1">
      <c r="A76" s="164"/>
      <c r="C76" s="91" t="s">
        <v>39</v>
      </c>
      <c r="D76" s="95"/>
      <c r="E76" s="95"/>
      <c r="F76" s="96">
        <f>'Financials from CIP'!D60/1000</f>
        <v>2.0579079999999998</v>
      </c>
      <c r="G76" s="96">
        <f>'Financials from CIP'!E60/1000</f>
        <v>3.2020309999999998</v>
      </c>
      <c r="H76" s="129"/>
      <c r="I76" s="129"/>
      <c r="J76" s="129"/>
      <c r="K76" s="129"/>
      <c r="L76" s="129"/>
      <c r="M76" s="50" t="s">
        <v>147</v>
      </c>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3">F87-F70</f>
        <v>8.2790072042371321E-7</v>
      </c>
      <c r="G89" s="178">
        <f t="shared" si="23"/>
        <v>-5.0419180297467392E-7</v>
      </c>
      <c r="H89" s="178">
        <f t="shared" si="23"/>
        <v>15.545929938004399</v>
      </c>
      <c r="I89" s="178">
        <f t="shared" si="23"/>
        <v>27.502460249789031</v>
      </c>
      <c r="J89" s="178">
        <f t="shared" ca="1" si="23"/>
        <v>40.794471787652114</v>
      </c>
      <c r="K89" s="178">
        <f t="shared" ca="1" si="23"/>
        <v>55.247450224332951</v>
      </c>
      <c r="L89" s="178">
        <f t="shared" ca="1" si="23"/>
        <v>70.598854954472017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4">H$11</f>
        <v>46022</v>
      </c>
      <c r="I96" s="58">
        <f t="shared" si="24"/>
        <v>46387</v>
      </c>
      <c r="J96" s="58">
        <f t="shared" si="24"/>
        <v>46752</v>
      </c>
      <c r="K96" s="58">
        <f t="shared" si="24"/>
        <v>47118</v>
      </c>
      <c r="L96" s="58">
        <f t="shared" si="24"/>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c r="G100" s="165"/>
      <c r="H100" s="165"/>
      <c r="I100" s="165"/>
      <c r="J100" s="165"/>
      <c r="K100" s="165"/>
      <c r="L100" s="165"/>
      <c r="M100" s="50" t="s">
        <v>149</v>
      </c>
    </row>
    <row r="101" spans="1:13" ht="13.5" customHeight="1" outlineLevel="1">
      <c r="A101" s="125"/>
      <c r="C101" s="91" t="str">
        <f>C62</f>
        <v>Inventory</v>
      </c>
      <c r="D101" s="68"/>
      <c r="E101" s="68"/>
      <c r="F101" s="165"/>
      <c r="G101" s="165"/>
      <c r="H101" s="165"/>
      <c r="I101" s="165"/>
      <c r="J101" s="165"/>
      <c r="K101" s="165"/>
      <c r="L101" s="165"/>
      <c r="M101" s="50" t="s">
        <v>150</v>
      </c>
    </row>
    <row r="102" spans="1:13" ht="13.5" customHeight="1" outlineLevel="1">
      <c r="A102" s="125"/>
      <c r="C102" s="91" t="str">
        <f>C63</f>
        <v>Prepaids and Other Current Assets</v>
      </c>
      <c r="D102" s="68"/>
      <c r="E102" s="68"/>
      <c r="F102" s="165"/>
      <c r="G102" s="165"/>
      <c r="H102" s="165"/>
      <c r="I102" s="165"/>
      <c r="J102" s="165"/>
      <c r="K102" s="165"/>
      <c r="L102" s="165"/>
      <c r="M102" s="50" t="s">
        <v>151</v>
      </c>
    </row>
    <row r="103" spans="1:13" ht="13.5" customHeight="1" outlineLevel="1">
      <c r="A103" s="125"/>
      <c r="C103" s="65" t="s">
        <v>152</v>
      </c>
      <c r="D103" s="65"/>
      <c r="E103" s="65"/>
      <c r="F103" s="179">
        <f t="shared" ref="F103:L103" si="25">SUM(F100:F102)</f>
        <v>0</v>
      </c>
      <c r="G103" s="179">
        <f t="shared" si="25"/>
        <v>0</v>
      </c>
      <c r="H103" s="179">
        <f t="shared" si="25"/>
        <v>0</v>
      </c>
      <c r="I103" s="179">
        <f t="shared" si="25"/>
        <v>0</v>
      </c>
      <c r="J103" s="179">
        <f t="shared" si="25"/>
        <v>0</v>
      </c>
      <c r="K103" s="179">
        <f t="shared" si="25"/>
        <v>0</v>
      </c>
      <c r="L103" s="179">
        <f t="shared" si="25"/>
        <v>0</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c r="G105" s="165"/>
      <c r="H105" s="165"/>
      <c r="I105" s="165"/>
      <c r="J105" s="165"/>
      <c r="K105" s="165"/>
      <c r="L105" s="165"/>
      <c r="M105" s="50" t="s">
        <v>153</v>
      </c>
    </row>
    <row r="106" spans="1:13" ht="13.5" customHeight="1" outlineLevel="1">
      <c r="A106" s="125"/>
      <c r="C106" s="91" t="str">
        <f>C75</f>
        <v>Wages Payable</v>
      </c>
      <c r="D106" s="68"/>
      <c r="E106" s="68"/>
      <c r="F106" s="165"/>
      <c r="G106" s="165"/>
      <c r="H106" s="165"/>
      <c r="I106" s="165"/>
      <c r="J106" s="165"/>
      <c r="K106" s="165"/>
      <c r="L106" s="165"/>
      <c r="M106" s="50" t="s">
        <v>154</v>
      </c>
    </row>
    <row r="107" spans="1:13" ht="13.5" customHeight="1" outlineLevel="1">
      <c r="A107" s="125"/>
      <c r="C107" s="91" t="str">
        <f>C76</f>
        <v>Accrued Expenses &amp; Other</v>
      </c>
      <c r="D107" s="68"/>
      <c r="E107" s="68"/>
      <c r="F107" s="165"/>
      <c r="G107" s="165"/>
      <c r="H107" s="165"/>
      <c r="I107" s="165"/>
      <c r="J107" s="165"/>
      <c r="K107" s="165"/>
      <c r="L107" s="165"/>
      <c r="M107" s="50" t="s">
        <v>155</v>
      </c>
    </row>
    <row r="108" spans="1:13" ht="13.5" customHeight="1" outlineLevel="1">
      <c r="A108" s="125"/>
      <c r="C108" s="65" t="s">
        <v>156</v>
      </c>
      <c r="D108" s="65"/>
      <c r="E108" s="65"/>
      <c r="F108" s="179">
        <f t="shared" ref="F108:L108" si="26">SUM(F105:F107)</f>
        <v>0</v>
      </c>
      <c r="G108" s="179">
        <f t="shared" si="26"/>
        <v>0</v>
      </c>
      <c r="H108" s="179">
        <f t="shared" si="26"/>
        <v>0</v>
      </c>
      <c r="I108" s="179">
        <f t="shared" si="26"/>
        <v>0</v>
      </c>
      <c r="J108" s="179">
        <f t="shared" si="26"/>
        <v>0</v>
      </c>
      <c r="K108" s="179">
        <f t="shared" si="26"/>
        <v>0</v>
      </c>
      <c r="L108" s="179">
        <f t="shared" si="26"/>
        <v>0</v>
      </c>
    </row>
    <row r="109" spans="1:13" ht="13.5" customHeight="1" outlineLevel="1">
      <c r="A109" s="125"/>
      <c r="C109" s="180" t="s">
        <v>157</v>
      </c>
      <c r="D109" s="180"/>
      <c r="E109" s="180"/>
      <c r="F109" s="181">
        <f t="shared" ref="F109:L109" si="27">F103-F108</f>
        <v>0</v>
      </c>
      <c r="G109" s="181">
        <f t="shared" si="27"/>
        <v>0</v>
      </c>
      <c r="H109" s="181">
        <f t="shared" si="27"/>
        <v>0</v>
      </c>
      <c r="I109" s="181">
        <f t="shared" si="27"/>
        <v>0</v>
      </c>
      <c r="J109" s="181">
        <f t="shared" si="27"/>
        <v>0</v>
      </c>
      <c r="K109" s="181">
        <f t="shared" si="27"/>
        <v>0</v>
      </c>
      <c r="L109" s="181">
        <f t="shared" si="27"/>
        <v>0</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c r="H111" s="183"/>
      <c r="I111" s="183"/>
      <c r="J111" s="183"/>
      <c r="K111" s="183"/>
      <c r="L111" s="183"/>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c r="G115" s="184"/>
      <c r="H115" s="184"/>
      <c r="I115" s="184"/>
      <c r="J115" s="184"/>
      <c r="K115" s="184"/>
      <c r="L115" s="184"/>
      <c r="M115" s="50" t="s">
        <v>162</v>
      </c>
    </row>
    <row r="116" spans="1:17" ht="13.5" customHeight="1" outlineLevel="1">
      <c r="A116" s="125"/>
      <c r="C116" s="68" t="s">
        <v>66</v>
      </c>
      <c r="D116" s="68"/>
      <c r="E116" s="68"/>
      <c r="F116" s="165"/>
      <c r="G116" s="165"/>
      <c r="H116" s="165"/>
      <c r="I116" s="165"/>
      <c r="J116" s="165"/>
      <c r="K116" s="165"/>
      <c r="L116" s="165"/>
      <c r="M116" s="50" t="s">
        <v>162</v>
      </c>
    </row>
    <row r="117" spans="1:17" ht="13.5" customHeight="1" outlineLevel="1">
      <c r="A117" s="125"/>
      <c r="C117" s="68" t="s">
        <v>69</v>
      </c>
      <c r="D117" s="68"/>
      <c r="E117" s="68"/>
      <c r="F117" s="165"/>
      <c r="G117" s="165"/>
      <c r="H117" s="165"/>
      <c r="I117" s="165"/>
      <c r="J117" s="165"/>
      <c r="K117" s="165"/>
      <c r="L117" s="165"/>
      <c r="M117" s="50" t="s">
        <v>162</v>
      </c>
    </row>
    <row r="118" spans="1:17" ht="13.5" customHeight="1" outlineLevel="1">
      <c r="A118" s="125"/>
      <c r="F118" s="82"/>
    </row>
    <row r="119" spans="1:17" ht="13.5" customHeight="1" outlineLevel="1">
      <c r="A119" s="125"/>
      <c r="C119" s="98" t="s">
        <v>163</v>
      </c>
      <c r="D119" s="68"/>
      <c r="F119" s="185"/>
      <c r="G119" s="185"/>
      <c r="H119" s="186"/>
      <c r="I119" s="186"/>
      <c r="J119" s="186"/>
      <c r="K119" s="186"/>
      <c r="L119" s="186"/>
      <c r="M119" s="50" t="s">
        <v>164</v>
      </c>
    </row>
    <row r="120" spans="1:17" ht="13.5" customHeight="1" outlineLevel="1">
      <c r="A120" s="125"/>
      <c r="C120" s="98" t="s">
        <v>165</v>
      </c>
      <c r="D120" s="68"/>
      <c r="F120" s="185"/>
      <c r="G120" s="185"/>
      <c r="H120" s="186"/>
      <c r="I120" s="186"/>
      <c r="J120" s="186"/>
      <c r="K120" s="186"/>
      <c r="L120" s="186"/>
      <c r="M120" s="50" t="s">
        <v>166</v>
      </c>
    </row>
    <row r="121" spans="1:17" ht="13.5" customHeight="1" outlineLevel="1">
      <c r="A121" s="125"/>
      <c r="C121" s="98" t="s">
        <v>167</v>
      </c>
      <c r="D121" s="68"/>
      <c r="F121" s="187"/>
      <c r="G121" s="187"/>
      <c r="H121" s="135"/>
      <c r="I121" s="135"/>
      <c r="J121" s="135"/>
      <c r="K121" s="135"/>
      <c r="L121" s="135"/>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c r="G123" s="185"/>
      <c r="H123" s="186"/>
      <c r="I123" s="186"/>
      <c r="J123" s="186"/>
      <c r="K123" s="186"/>
      <c r="L123" s="186"/>
      <c r="M123" s="50" t="s">
        <v>170</v>
      </c>
    </row>
    <row r="124" spans="1:17" ht="13.5" customHeight="1" outlineLevel="1">
      <c r="A124" s="125"/>
      <c r="C124" s="98" t="s">
        <v>171</v>
      </c>
      <c r="D124" s="68"/>
      <c r="F124" s="187"/>
      <c r="G124" s="187"/>
      <c r="H124" s="135"/>
      <c r="I124" s="135"/>
      <c r="J124" s="135"/>
      <c r="K124" s="135"/>
      <c r="L124" s="135"/>
      <c r="M124" s="50" t="s">
        <v>172</v>
      </c>
    </row>
    <row r="125" spans="1:17" ht="13.5" customHeight="1" outlineLevel="1">
      <c r="A125" s="125"/>
      <c r="C125" s="98" t="s">
        <v>173</v>
      </c>
      <c r="D125" s="68"/>
      <c r="F125" s="187"/>
      <c r="G125" s="187"/>
      <c r="H125" s="135"/>
      <c r="I125" s="135"/>
      <c r="J125" s="135"/>
      <c r="K125" s="135"/>
      <c r="L125" s="135"/>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4'!F13</f>
        <v>0</v>
      </c>
      <c r="G132" s="122">
        <f>'Financials from CIP'!E13/1000-'Step 4'!G13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4'!F15</f>
        <v>0</v>
      </c>
      <c r="G133" s="122">
        <f>'Financials from CIP'!E19/1000-'Step 4'!G15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4'!F18</f>
        <v>0</v>
      </c>
      <c r="G134" s="122">
        <f>'Financials from CIP'!E36/1000-'Step 4'!G18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4'!F33</f>
        <v>0</v>
      </c>
      <c r="G135" s="122">
        <f>'Financials from CIP'!E34/1000-'Step 4'!G33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4'!F60</f>
        <v>0</v>
      </c>
      <c r="G138" s="122">
        <f>'Financials from CIP'!E46/1000-'Step 4'!G60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4'!F64</f>
        <v>0</v>
      </c>
      <c r="G139" s="122">
        <f>'Financials from CIP'!E51/1000-'Step 4'!G64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4'!F70</f>
        <v>0</v>
      </c>
      <c r="G140" s="122">
        <f>'Financials from CIP'!E56/1000-'Step 4'!G70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4'!F77</f>
        <v>0</v>
      </c>
      <c r="G141" s="122">
        <f>'Financials from CIP'!E61/1000-'Step 4'!G77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4'!F84</f>
        <v>0</v>
      </c>
      <c r="G142" s="122">
        <f>'Financials from CIP'!E69/1000-'Step 4'!G84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4'!F85:F86)</f>
        <v>0</v>
      </c>
      <c r="G143" s="122">
        <f>'Financials from CIP'!E73/1000-SUM('Step 4'!G85:G86)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28">H$11</f>
        <v>46022</v>
      </c>
      <c r="I155" s="58">
        <f t="shared" si="28"/>
        <v>46387</v>
      </c>
      <c r="J155" s="58">
        <f t="shared" si="28"/>
        <v>46752</v>
      </c>
      <c r="K155" s="58">
        <f t="shared" si="28"/>
        <v>47118</v>
      </c>
      <c r="L155" s="58">
        <f t="shared" si="28"/>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29">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29"/>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29"/>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29"/>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29"/>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29"/>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30">-SUM(I157:I163)</f>
        <v>6.1302957891314076</v>
      </c>
      <c r="J164" s="156">
        <f t="shared" ca="1" si="30"/>
        <v>6.4683165246530567</v>
      </c>
      <c r="K164" s="156">
        <f t="shared" ca="1" si="30"/>
        <v>6.8378927245374452</v>
      </c>
      <c r="L164" s="156">
        <f t="shared" ca="1" si="30"/>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ED9-032A-4366-B98A-E9770D8BD79A}">
  <sheetPr>
    <tabColor rgb="FF416D89"/>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f>H100</f>
        <v>24.012610811683217</v>
      </c>
      <c r="I61" s="129">
        <f t="shared" ref="I61:L61" si="17">I100</f>
        <v>27.695031965240773</v>
      </c>
      <c r="J61" s="129">
        <f t="shared" si="17"/>
        <v>31.111314829301037</v>
      </c>
      <c r="K61" s="129">
        <f t="shared" si="17"/>
        <v>34.015669157916122</v>
      </c>
      <c r="L61" s="129">
        <f t="shared" si="17"/>
        <v>36.170685445667161</v>
      </c>
      <c r="M61" s="50" t="s">
        <v>147</v>
      </c>
    </row>
    <row r="62" spans="1:13" ht="13.5" customHeight="1" outlineLevel="1">
      <c r="A62" s="164"/>
      <c r="C62" s="91" t="s">
        <v>31</v>
      </c>
      <c r="F62" s="96">
        <f>'Financials from CIP'!D49/1000</f>
        <v>0.80490099999999998</v>
      </c>
      <c r="G62" s="96">
        <f>'Financials from CIP'!E49/1000</f>
        <v>1.161057</v>
      </c>
      <c r="H62" s="129">
        <f t="shared" ref="H62:L63" si="18">H101</f>
        <v>1.2029011201180084</v>
      </c>
      <c r="I62" s="129">
        <f t="shared" si="18"/>
        <v>1.3873703794209342</v>
      </c>
      <c r="J62" s="129">
        <f t="shared" si="18"/>
        <v>1.558507558799139</v>
      </c>
      <c r="K62" s="129">
        <f t="shared" si="18"/>
        <v>1.7039999045715051</v>
      </c>
      <c r="L62" s="129">
        <f t="shared" si="18"/>
        <v>1.8119544925477122</v>
      </c>
      <c r="M62" s="50" t="s">
        <v>147</v>
      </c>
    </row>
    <row r="63" spans="1:13" ht="13.5" customHeight="1" outlineLevel="1">
      <c r="A63" s="164"/>
      <c r="C63" s="91" t="s">
        <v>84</v>
      </c>
      <c r="F63" s="96">
        <f>'Financials from CIP'!D50/1000</f>
        <v>0.26978399999999997</v>
      </c>
      <c r="G63" s="96">
        <f>'Financials from CIP'!E50/1000</f>
        <v>0.34491899999999998</v>
      </c>
      <c r="H63" s="129">
        <f t="shared" si="18"/>
        <v>0.3792215684283346</v>
      </c>
      <c r="I63" s="129">
        <f t="shared" si="18"/>
        <v>0.43737657441320382</v>
      </c>
      <c r="J63" s="129">
        <f t="shared" si="18"/>
        <v>0.49132856472628733</v>
      </c>
      <c r="K63" s="129">
        <f t="shared" si="18"/>
        <v>0.53719587221761422</v>
      </c>
      <c r="L63" s="129">
        <f t="shared" si="18"/>
        <v>0.57122918342390505</v>
      </c>
      <c r="M63" s="50" t="s">
        <v>147</v>
      </c>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f>H105</f>
        <v>3.2375302691281114</v>
      </c>
      <c r="I74" s="129">
        <f t="shared" ref="I74:L74" si="21">I105</f>
        <v>3.7340173042871405</v>
      </c>
      <c r="J74" s="129">
        <f t="shared" si="21"/>
        <v>4.1946219118843056</v>
      </c>
      <c r="K74" s="129">
        <f t="shared" si="21"/>
        <v>4.5862051147649199</v>
      </c>
      <c r="L74" s="129">
        <f t="shared" si="21"/>
        <v>4.8767578795922875</v>
      </c>
      <c r="M74" s="50" t="s">
        <v>147</v>
      </c>
    </row>
    <row r="75" spans="1:13" ht="13.5" customHeight="1" outlineLevel="1">
      <c r="A75" s="164"/>
      <c r="C75" s="91" t="s">
        <v>38</v>
      </c>
      <c r="D75" s="95"/>
      <c r="E75" s="95"/>
      <c r="F75" s="96">
        <f>'Financials from CIP'!D59/1000</f>
        <v>2.3839329999999999</v>
      </c>
      <c r="G75" s="96">
        <f>'Financials from CIP'!E59/1000</f>
        <v>2.7880379999999998</v>
      </c>
      <c r="H75" s="129">
        <f t="shared" ref="H75:L76" si="22">H106</f>
        <v>3.1966854452582232</v>
      </c>
      <c r="I75" s="129">
        <f t="shared" si="22"/>
        <v>3.6869087782063024</v>
      </c>
      <c r="J75" s="129">
        <f t="shared" si="22"/>
        <v>4.1417023778724023</v>
      </c>
      <c r="K75" s="129">
        <f t="shared" si="22"/>
        <v>4.5283453498910609</v>
      </c>
      <c r="L75" s="129">
        <f t="shared" si="22"/>
        <v>4.8152324882940372</v>
      </c>
      <c r="M75" s="50" t="s">
        <v>147</v>
      </c>
    </row>
    <row r="76" spans="1:13" ht="13.5" customHeight="1" outlineLevel="1">
      <c r="A76" s="164"/>
      <c r="C76" s="91" t="s">
        <v>39</v>
      </c>
      <c r="D76" s="95"/>
      <c r="E76" s="95"/>
      <c r="F76" s="96">
        <f>'Financials from CIP'!D60/1000</f>
        <v>2.0579079999999998</v>
      </c>
      <c r="G76" s="96">
        <f>'Financials from CIP'!E60/1000</f>
        <v>3.2020309999999998</v>
      </c>
      <c r="H76" s="129">
        <f t="shared" si="22"/>
        <v>3.2317636858846019</v>
      </c>
      <c r="I76" s="129">
        <f t="shared" si="22"/>
        <v>3.727366394541769</v>
      </c>
      <c r="J76" s="129">
        <f t="shared" si="22"/>
        <v>4.1871505882458564</v>
      </c>
      <c r="K76" s="129">
        <f t="shared" si="22"/>
        <v>4.5780363159066395</v>
      </c>
      <c r="L76" s="129">
        <f t="shared" si="22"/>
        <v>4.8680715576328382</v>
      </c>
      <c r="M76" s="50" t="s">
        <v>147</v>
      </c>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f>F61</f>
        <v>16.781419000000003</v>
      </c>
      <c r="G100" s="165">
        <f>G61</f>
        <v>22.284721999999999</v>
      </c>
      <c r="H100" s="165">
        <f>(H115/365)*H119</f>
        <v>24.012610811683217</v>
      </c>
      <c r="I100" s="165">
        <f>(I115/365)*I119</f>
        <v>27.695031965240773</v>
      </c>
      <c r="J100" s="165">
        <f>(J115/365)*J119</f>
        <v>31.111314829301037</v>
      </c>
      <c r="K100" s="165">
        <f>(K115/365)*K119</f>
        <v>34.015669157916122</v>
      </c>
      <c r="L100" s="165">
        <f>(L115/365)*L119</f>
        <v>36.170685445667161</v>
      </c>
      <c r="M100" s="50" t="s">
        <v>149</v>
      </c>
    </row>
    <row r="101" spans="1:13" ht="13.5" customHeight="1" outlineLevel="1">
      <c r="A101" s="125"/>
      <c r="C101" s="91" t="str">
        <f>C62</f>
        <v>Inventory</v>
      </c>
      <c r="D101" s="68"/>
      <c r="E101" s="68"/>
      <c r="F101" s="165">
        <f t="shared" ref="F101:G102" si="29">F62</f>
        <v>0.80490099999999998</v>
      </c>
      <c r="G101" s="165">
        <f t="shared" si="29"/>
        <v>1.161057</v>
      </c>
      <c r="H101" s="165">
        <f>(H116/365)*H120</f>
        <v>1.2029011201180084</v>
      </c>
      <c r="I101" s="165">
        <f t="shared" ref="I101:L101" si="30">(I116/365)*I120</f>
        <v>1.3873703794209342</v>
      </c>
      <c r="J101" s="165">
        <f t="shared" si="30"/>
        <v>1.558507558799139</v>
      </c>
      <c r="K101" s="165">
        <f t="shared" si="30"/>
        <v>1.7039999045715051</v>
      </c>
      <c r="L101" s="165">
        <f t="shared" si="30"/>
        <v>1.8119544925477122</v>
      </c>
      <c r="M101" s="50" t="s">
        <v>150</v>
      </c>
    </row>
    <row r="102" spans="1:13" ht="13.5" customHeight="1" outlineLevel="1">
      <c r="A102" s="125"/>
      <c r="C102" s="91" t="str">
        <f>C63</f>
        <v>Prepaids and Other Current Assets</v>
      </c>
      <c r="D102" s="68"/>
      <c r="E102" s="68"/>
      <c r="F102" s="165">
        <f t="shared" si="29"/>
        <v>0.26978399999999997</v>
      </c>
      <c r="G102" s="165">
        <f t="shared" si="29"/>
        <v>0.34491899999999998</v>
      </c>
      <c r="H102" s="165">
        <f>H121*H117</f>
        <v>0.3792215684283346</v>
      </c>
      <c r="I102" s="165">
        <f t="shared" ref="I102:L102" si="31">I121*I117</f>
        <v>0.43737657441320382</v>
      </c>
      <c r="J102" s="165">
        <f t="shared" si="31"/>
        <v>0.49132856472628733</v>
      </c>
      <c r="K102" s="165">
        <f t="shared" si="31"/>
        <v>0.53719587221761422</v>
      </c>
      <c r="L102" s="165">
        <f t="shared" si="31"/>
        <v>0.57122918342390505</v>
      </c>
      <c r="M102" s="50" t="s">
        <v>151</v>
      </c>
    </row>
    <row r="103" spans="1:13" ht="13.5" customHeight="1" outlineLevel="1">
      <c r="A103" s="125"/>
      <c r="C103" s="65" t="s">
        <v>152</v>
      </c>
      <c r="D103" s="65"/>
      <c r="E103" s="65"/>
      <c r="F103" s="179">
        <f t="shared" ref="F103:L103" si="32">SUM(F100:F102)</f>
        <v>17.856104000000006</v>
      </c>
      <c r="G103" s="179">
        <f t="shared" si="32"/>
        <v>23.790697999999999</v>
      </c>
      <c r="H103" s="179">
        <f t="shared" si="32"/>
        <v>25.594733500229559</v>
      </c>
      <c r="I103" s="179">
        <f t="shared" si="32"/>
        <v>29.519778919074909</v>
      </c>
      <c r="J103" s="179">
        <f t="shared" si="32"/>
        <v>33.161150952826461</v>
      </c>
      <c r="K103" s="179">
        <f t="shared" si="32"/>
        <v>36.256864934705241</v>
      </c>
      <c r="L103" s="179">
        <f t="shared" si="32"/>
        <v>38.553869121638776</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f>F74</f>
        <v>2.8058170000000002</v>
      </c>
      <c r="G105" s="165">
        <f t="shared" ref="G105:G107" si="33">G74</f>
        <v>2.3607100000000001</v>
      </c>
      <c r="H105" s="165">
        <f>(H116/365)*H123</f>
        <v>3.2375302691281114</v>
      </c>
      <c r="I105" s="165">
        <f>(I116/365)*I123</f>
        <v>3.7340173042871405</v>
      </c>
      <c r="J105" s="165">
        <f>(J116/365)*J123</f>
        <v>4.1946219118843056</v>
      </c>
      <c r="K105" s="165">
        <f>(K116/365)*K123</f>
        <v>4.5862051147649199</v>
      </c>
      <c r="L105" s="165">
        <f>(L116/365)*L123</f>
        <v>4.8767578795922875</v>
      </c>
      <c r="M105" s="50" t="s">
        <v>153</v>
      </c>
    </row>
    <row r="106" spans="1:13" ht="13.5" customHeight="1" outlineLevel="1">
      <c r="A106" s="125"/>
      <c r="C106" s="91" t="str">
        <f>C75</f>
        <v>Wages Payable</v>
      </c>
      <c r="D106" s="68"/>
      <c r="E106" s="68"/>
      <c r="F106" s="165">
        <f t="shared" ref="F106:F107" si="34">F75</f>
        <v>2.3839329999999999</v>
      </c>
      <c r="G106" s="165">
        <f t="shared" si="33"/>
        <v>2.7880379999999998</v>
      </c>
      <c r="H106" s="165">
        <f>H124*H117</f>
        <v>3.1966854452582232</v>
      </c>
      <c r="I106" s="165">
        <f t="shared" ref="I106:L106" si="35">I124*I117</f>
        <v>3.6869087782063024</v>
      </c>
      <c r="J106" s="165">
        <f t="shared" si="35"/>
        <v>4.1417023778724023</v>
      </c>
      <c r="K106" s="165">
        <f t="shared" si="35"/>
        <v>4.5283453498910609</v>
      </c>
      <c r="L106" s="165">
        <f t="shared" si="35"/>
        <v>4.8152324882940372</v>
      </c>
      <c r="M106" s="50" t="s">
        <v>154</v>
      </c>
    </row>
    <row r="107" spans="1:13" ht="13.5" customHeight="1" outlineLevel="1">
      <c r="A107" s="125"/>
      <c r="C107" s="91" t="str">
        <f>C76</f>
        <v>Accrued Expenses &amp; Other</v>
      </c>
      <c r="D107" s="68"/>
      <c r="E107" s="68"/>
      <c r="F107" s="165">
        <f t="shared" si="34"/>
        <v>2.0579079999999998</v>
      </c>
      <c r="G107" s="165">
        <f t="shared" si="33"/>
        <v>3.2020309999999998</v>
      </c>
      <c r="H107" s="165">
        <f>H125*H117</f>
        <v>3.2317636858846019</v>
      </c>
      <c r="I107" s="165">
        <f t="shared" ref="I107:L107" si="36">I125*I117</f>
        <v>3.727366394541769</v>
      </c>
      <c r="J107" s="165">
        <f t="shared" si="36"/>
        <v>4.1871505882458564</v>
      </c>
      <c r="K107" s="165">
        <f t="shared" si="36"/>
        <v>4.5780363159066395</v>
      </c>
      <c r="L107" s="165">
        <f t="shared" si="36"/>
        <v>4.8680715576328382</v>
      </c>
      <c r="M107" s="50" t="s">
        <v>155</v>
      </c>
    </row>
    <row r="108" spans="1:13" ht="13.5" customHeight="1" outlineLevel="1">
      <c r="A108" s="125"/>
      <c r="C108" s="65" t="s">
        <v>156</v>
      </c>
      <c r="D108" s="65"/>
      <c r="E108" s="65"/>
      <c r="F108" s="179">
        <f t="shared" ref="F108:L108" si="37">SUM(F105:F107)</f>
        <v>7.2476579999999995</v>
      </c>
      <c r="G108" s="179">
        <f t="shared" si="37"/>
        <v>8.3507789999999993</v>
      </c>
      <c r="H108" s="179">
        <f t="shared" si="37"/>
        <v>9.6659794002709365</v>
      </c>
      <c r="I108" s="179">
        <f t="shared" si="37"/>
        <v>11.148292477035213</v>
      </c>
      <c r="J108" s="179">
        <f t="shared" si="37"/>
        <v>12.523474878002563</v>
      </c>
      <c r="K108" s="179">
        <f t="shared" si="37"/>
        <v>13.692586780562621</v>
      </c>
      <c r="L108" s="179">
        <f t="shared" si="37"/>
        <v>14.560061925519163</v>
      </c>
    </row>
    <row r="109" spans="1:13" ht="13.5" customHeight="1" outlineLevel="1">
      <c r="A109" s="125"/>
      <c r="C109" s="180" t="s">
        <v>157</v>
      </c>
      <c r="D109" s="180"/>
      <c r="E109" s="180"/>
      <c r="F109" s="181">
        <f t="shared" ref="F109:L109" si="38">F103-F108</f>
        <v>10.608446000000006</v>
      </c>
      <c r="G109" s="181">
        <f t="shared" si="38"/>
        <v>15.439919</v>
      </c>
      <c r="H109" s="181">
        <f t="shared" si="38"/>
        <v>15.928754099958622</v>
      </c>
      <c r="I109" s="181">
        <f t="shared" si="38"/>
        <v>18.371486442039696</v>
      </c>
      <c r="J109" s="181">
        <f t="shared" si="38"/>
        <v>20.637676074823897</v>
      </c>
      <c r="K109" s="181">
        <f t="shared" si="38"/>
        <v>22.56427815414262</v>
      </c>
      <c r="L109" s="181">
        <f t="shared" si="38"/>
        <v>23.993807196119612</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f t="shared" ref="G111:L111" si="39">G109-F109</f>
        <v>4.8314729999999937</v>
      </c>
      <c r="H111" s="183">
        <f t="shared" si="39"/>
        <v>0.48883509995862262</v>
      </c>
      <c r="I111" s="183">
        <f t="shared" si="39"/>
        <v>2.442732342081074</v>
      </c>
      <c r="J111" s="183">
        <f t="shared" si="39"/>
        <v>2.2661896327842008</v>
      </c>
      <c r="K111" s="183">
        <f t="shared" si="39"/>
        <v>1.9266020793187231</v>
      </c>
      <c r="L111" s="183">
        <f t="shared" si="39"/>
        <v>1.4295290419769913</v>
      </c>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f t="shared" ref="F115:L116" si="40">F13</f>
        <v>78.565675999999996</v>
      </c>
      <c r="G115" s="184">
        <f t="shared" si="40"/>
        <v>90.614007999999998</v>
      </c>
      <c r="H115" s="184">
        <f t="shared" si="40"/>
        <v>104.5099955077592</v>
      </c>
      <c r="I115" s="184">
        <f t="shared" si="40"/>
        <v>120.53698321160066</v>
      </c>
      <c r="J115" s="184">
        <f t="shared" si="40"/>
        <v>135.4056582414087</v>
      </c>
      <c r="K115" s="184">
        <f t="shared" si="40"/>
        <v>148.04626863637753</v>
      </c>
      <c r="L115" s="184">
        <f t="shared" si="40"/>
        <v>157.42553790111026</v>
      </c>
      <c r="M115" s="50" t="s">
        <v>162</v>
      </c>
    </row>
    <row r="116" spans="1:17" ht="13.5" customHeight="1" outlineLevel="1">
      <c r="A116" s="125"/>
      <c r="C116" s="68" t="s">
        <v>66</v>
      </c>
      <c r="D116" s="68"/>
      <c r="E116" s="68"/>
      <c r="F116" s="165">
        <f>F14</f>
        <v>51.562188999999996</v>
      </c>
      <c r="G116" s="165">
        <f t="shared" si="40"/>
        <v>61.618676000000001</v>
      </c>
      <c r="H116" s="165">
        <f t="shared" si="40"/>
        <v>69.828708282059708</v>
      </c>
      <c r="I116" s="165">
        <f t="shared" si="40"/>
        <v>80.537194523728473</v>
      </c>
      <c r="J116" s="165">
        <f t="shared" si="40"/>
        <v>90.471750220079329</v>
      </c>
      <c r="K116" s="165">
        <f t="shared" si="40"/>
        <v>98.917616966977391</v>
      </c>
      <c r="L116" s="165">
        <f t="shared" si="40"/>
        <v>105.18440756632523</v>
      </c>
      <c r="M116" s="50" t="s">
        <v>162</v>
      </c>
    </row>
    <row r="117" spans="1:17" ht="13.5" customHeight="1" outlineLevel="1">
      <c r="A117" s="125"/>
      <c r="C117" s="68" t="s">
        <v>69</v>
      </c>
      <c r="D117" s="68"/>
      <c r="E117" s="68"/>
      <c r="F117" s="165">
        <f>F17</f>
        <v>14.179914999999999</v>
      </c>
      <c r="G117" s="165">
        <f t="shared" ref="G117:L117" si="41">G17</f>
        <v>15.4366889395</v>
      </c>
      <c r="H117" s="165">
        <f t="shared" si="41"/>
        <v>18.333216581804578</v>
      </c>
      <c r="I117" s="165">
        <f t="shared" si="41"/>
        <v>21.144681985672378</v>
      </c>
      <c r="J117" s="165">
        <f t="shared" si="41"/>
        <v>23.752955369300096</v>
      </c>
      <c r="K117" s="165">
        <f t="shared" si="41"/>
        <v>25.970380094765407</v>
      </c>
      <c r="L117" s="165">
        <f t="shared" si="41"/>
        <v>27.615698075825332</v>
      </c>
      <c r="M117" s="50" t="s">
        <v>162</v>
      </c>
    </row>
    <row r="118" spans="1:17" ht="13.5" customHeight="1" outlineLevel="1">
      <c r="A118" s="125"/>
      <c r="F118" s="82"/>
    </row>
    <row r="119" spans="1:17" ht="13.5" customHeight="1" outlineLevel="1">
      <c r="A119" s="125"/>
      <c r="C119" s="98" t="s">
        <v>163</v>
      </c>
      <c r="D119" s="68"/>
      <c r="F119" s="185">
        <f>F100/(F115/365)</f>
        <v>77.963027200326025</v>
      </c>
      <c r="G119" s="185">
        <f>G100/(G115/365)</f>
        <v>89.764526584013367</v>
      </c>
      <c r="H119" s="186">
        <f>AVERAGE(F119:G119)</f>
        <v>83.863776892169696</v>
      </c>
      <c r="I119" s="186">
        <f>H119</f>
        <v>83.863776892169696</v>
      </c>
      <c r="J119" s="186">
        <f t="shared" ref="J119:L119" si="42">I119</f>
        <v>83.863776892169696</v>
      </c>
      <c r="K119" s="186">
        <f t="shared" si="42"/>
        <v>83.863776892169696</v>
      </c>
      <c r="L119" s="186">
        <f t="shared" si="42"/>
        <v>83.863776892169696</v>
      </c>
      <c r="M119" s="50" t="s">
        <v>164</v>
      </c>
    </row>
    <row r="120" spans="1:17" ht="13.5" customHeight="1" outlineLevel="1">
      <c r="A120" s="125"/>
      <c r="C120" s="98" t="s">
        <v>165</v>
      </c>
      <c r="D120" s="68"/>
      <c r="F120" s="185">
        <f>F101/(F116/365)</f>
        <v>5.697757808536795</v>
      </c>
      <c r="G120" s="185">
        <f>G101/(G116/365)</f>
        <v>6.877554542067732</v>
      </c>
      <c r="H120" s="186">
        <f>AVERAGE(F120:G120)</f>
        <v>6.2876561753022635</v>
      </c>
      <c r="I120" s="186">
        <f>H120</f>
        <v>6.2876561753022635</v>
      </c>
      <c r="J120" s="186">
        <f>I120</f>
        <v>6.2876561753022635</v>
      </c>
      <c r="K120" s="186">
        <f>J120</f>
        <v>6.2876561753022635</v>
      </c>
      <c r="L120" s="186">
        <f>K120</f>
        <v>6.2876561753022635</v>
      </c>
      <c r="M120" s="50" t="s">
        <v>166</v>
      </c>
    </row>
    <row r="121" spans="1:17" ht="13.5" customHeight="1" outlineLevel="1">
      <c r="A121" s="125"/>
      <c r="C121" s="98" t="s">
        <v>167</v>
      </c>
      <c r="D121" s="68"/>
      <c r="F121" s="187">
        <f>F102/F117</f>
        <v>1.9025784005052216E-2</v>
      </c>
      <c r="G121" s="187">
        <f>G102/G117</f>
        <v>2.2344105096100488E-2</v>
      </c>
      <c r="H121" s="135">
        <f>AVERAGE(F121:G121)</f>
        <v>2.0684944550576352E-2</v>
      </c>
      <c r="I121" s="135">
        <f>H121</f>
        <v>2.0684944550576352E-2</v>
      </c>
      <c r="J121" s="135">
        <f t="shared" ref="J121:L121" si="43">I121</f>
        <v>2.0684944550576352E-2</v>
      </c>
      <c r="K121" s="135">
        <f t="shared" si="43"/>
        <v>2.0684944550576352E-2</v>
      </c>
      <c r="L121" s="135">
        <f t="shared" si="43"/>
        <v>2.0684944550576352E-2</v>
      </c>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f>F105/(F116/365)</f>
        <v>19.861903167066863</v>
      </c>
      <c r="G123" s="185">
        <f>G105/(G116/365)</f>
        <v>13.983733600507742</v>
      </c>
      <c r="H123" s="186">
        <f>AVERAGE(F123:G123)</f>
        <v>16.922818383787302</v>
      </c>
      <c r="I123" s="186">
        <f t="shared" ref="I123:L125" si="44">H123</f>
        <v>16.922818383787302</v>
      </c>
      <c r="J123" s="186">
        <f t="shared" si="44"/>
        <v>16.922818383787302</v>
      </c>
      <c r="K123" s="186">
        <f t="shared" si="44"/>
        <v>16.922818383787302</v>
      </c>
      <c r="L123" s="186">
        <f t="shared" si="44"/>
        <v>16.922818383787302</v>
      </c>
      <c r="M123" s="50" t="s">
        <v>170</v>
      </c>
    </row>
    <row r="124" spans="1:17" ht="13.5" customHeight="1" outlineLevel="1">
      <c r="A124" s="125"/>
      <c r="C124" s="98" t="s">
        <v>171</v>
      </c>
      <c r="D124" s="68"/>
      <c r="F124" s="187">
        <f>F106/F117</f>
        <v>0.16812040128590333</v>
      </c>
      <c r="G124" s="187">
        <f>G106/G117</f>
        <v>0.18061114082993923</v>
      </c>
      <c r="H124" s="135">
        <f>AVERAGE(F124:G124)</f>
        <v>0.17436577105792128</v>
      </c>
      <c r="I124" s="135">
        <f>H124</f>
        <v>0.17436577105792128</v>
      </c>
      <c r="J124" s="135">
        <f t="shared" si="44"/>
        <v>0.17436577105792128</v>
      </c>
      <c r="K124" s="135">
        <f t="shared" si="44"/>
        <v>0.17436577105792128</v>
      </c>
      <c r="L124" s="135">
        <f t="shared" si="44"/>
        <v>0.17436577105792128</v>
      </c>
      <c r="M124" s="50" t="s">
        <v>172</v>
      </c>
    </row>
    <row r="125" spans="1:17" ht="13.5" customHeight="1" outlineLevel="1">
      <c r="A125" s="125"/>
      <c r="C125" s="98" t="s">
        <v>173</v>
      </c>
      <c r="D125" s="68"/>
      <c r="F125" s="187">
        <f>F107/F117</f>
        <v>0.14512837347755611</v>
      </c>
      <c r="G125" s="187">
        <f>G107/G117</f>
        <v>0.20742991016723272</v>
      </c>
      <c r="H125" s="135">
        <f>AVERAGE(F125:G125)</f>
        <v>0.1762791418223944</v>
      </c>
      <c r="I125" s="135">
        <f>H125</f>
        <v>0.1762791418223944</v>
      </c>
      <c r="J125" s="135">
        <f t="shared" si="44"/>
        <v>0.1762791418223944</v>
      </c>
      <c r="K125" s="135">
        <f t="shared" si="44"/>
        <v>0.1762791418223944</v>
      </c>
      <c r="L125" s="135">
        <f t="shared" si="44"/>
        <v>0.1762791418223944</v>
      </c>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 Answer Key'!F13</f>
        <v>0</v>
      </c>
      <c r="G132" s="122">
        <f>'Financials from CIP'!E13/1000-'Step 4 Answer Key'!G13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 Answer Key'!F15</f>
        <v>0</v>
      </c>
      <c r="G133" s="122">
        <f>'Financials from CIP'!E19/1000-'Step 4 Answer Key'!G15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 Answer Key'!F18</f>
        <v>0</v>
      </c>
      <c r="G134" s="122">
        <f>'Financials from CIP'!E36/1000-'Step 4 Answer Key'!G18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 Answer Key'!F33</f>
        <v>0</v>
      </c>
      <c r="G135" s="122">
        <f>'Financials from CIP'!E34/1000-'Step 4 Answer Key'!G33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 Answer Key'!F60</f>
        <v>0</v>
      </c>
      <c r="G138" s="122">
        <f>'Financials from CIP'!E46/1000-'Step 4 Answer Key'!G60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 Answer Key'!F64</f>
        <v>0</v>
      </c>
      <c r="G139" s="122">
        <f>'Financials from CIP'!E51/1000-'Step 4 Answer Key'!G64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 Answer Key'!F70</f>
        <v>0</v>
      </c>
      <c r="G140" s="122">
        <f>'Financials from CIP'!E56/1000-'Step 4 Answer Key'!G70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 Answer Key'!F77</f>
        <v>0</v>
      </c>
      <c r="G141" s="122">
        <f>'Financials from CIP'!E61/1000-'Step 4 Answer Key'!G77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 Answer Key'!F84</f>
        <v>0</v>
      </c>
      <c r="G142" s="122">
        <f>'Financials from CIP'!E69/1000-'Step 4 Answer Key'!G84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 Answer Key'!F85:F86)</f>
        <v>0</v>
      </c>
      <c r="G143" s="122">
        <f>'Financials from CIP'!E73/1000-SUM('Step 4 Answer Key'!G85:G86)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45">H$11</f>
        <v>46022</v>
      </c>
      <c r="I155" s="58">
        <f t="shared" si="45"/>
        <v>46387</v>
      </c>
      <c r="J155" s="58">
        <f t="shared" si="45"/>
        <v>46752</v>
      </c>
      <c r="K155" s="58">
        <f t="shared" si="45"/>
        <v>47118</v>
      </c>
      <c r="L155" s="58">
        <f t="shared" si="45"/>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46">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46"/>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46"/>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46"/>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46"/>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46"/>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47">-SUM(I157:I163)</f>
        <v>6.1302957891314076</v>
      </c>
      <c r="J164" s="156">
        <f t="shared" ca="1" si="47"/>
        <v>6.4683165246530567</v>
      </c>
      <c r="K164" s="156">
        <f t="shared" ca="1" si="47"/>
        <v>6.8378927245374452</v>
      </c>
      <c r="L164" s="156">
        <f t="shared" ca="1" si="47"/>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1F26-7FFC-4B90-92DB-BE0FC4451888}">
  <sheetPr>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c r="I60" s="196"/>
      <c r="J60" s="196"/>
      <c r="K60" s="196"/>
      <c r="L60" s="196"/>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c r="I100" s="129"/>
      <c r="J100" s="129"/>
      <c r="K100" s="129"/>
      <c r="L100" s="129"/>
      <c r="M100" s="50" t="s">
        <v>181</v>
      </c>
    </row>
    <row r="101" spans="1:13" ht="13.5" customHeight="1" outlineLevel="1">
      <c r="A101" s="125"/>
      <c r="C101" s="91" t="s">
        <v>15</v>
      </c>
      <c r="D101" s="68"/>
      <c r="E101" s="68"/>
      <c r="F101" s="68"/>
      <c r="G101" s="154"/>
      <c r="H101" s="129"/>
      <c r="I101" s="129"/>
      <c r="J101" s="129"/>
      <c r="K101" s="129"/>
      <c r="L101" s="129"/>
      <c r="M101" s="50" t="s">
        <v>182</v>
      </c>
    </row>
    <row r="102" spans="1:13" ht="13.5" customHeight="1" outlineLevel="1">
      <c r="A102" s="125"/>
      <c r="C102" s="91" t="s">
        <v>183</v>
      </c>
      <c r="D102" s="68"/>
      <c r="E102" s="68"/>
      <c r="F102" s="68"/>
      <c r="G102" s="154"/>
      <c r="H102" s="129"/>
      <c r="I102" s="129"/>
      <c r="J102" s="129"/>
      <c r="K102" s="129"/>
      <c r="L102" s="129"/>
      <c r="M102" s="50" t="s">
        <v>184</v>
      </c>
    </row>
    <row r="103" spans="1:13" ht="13.5" customHeight="1" outlineLevel="1">
      <c r="A103" s="125"/>
      <c r="C103" s="65" t="s">
        <v>185</v>
      </c>
      <c r="D103" s="65"/>
      <c r="E103" s="65"/>
      <c r="F103" s="65"/>
      <c r="G103" s="197"/>
      <c r="H103" s="198">
        <f>SUM(H100:H102)</f>
        <v>0</v>
      </c>
      <c r="I103" s="198">
        <f t="shared" ref="I103:L103" si="29">SUM(I100:I102)</f>
        <v>0</v>
      </c>
      <c r="J103" s="198">
        <f t="shared" si="29"/>
        <v>0</v>
      </c>
      <c r="K103" s="198">
        <f t="shared" si="29"/>
        <v>0</v>
      </c>
      <c r="L103" s="198">
        <f t="shared" si="29"/>
        <v>0</v>
      </c>
      <c r="M103" s="50" t="s">
        <v>186</v>
      </c>
    </row>
    <row r="104" spans="1:13" ht="13.5" customHeight="1" outlineLevel="1">
      <c r="A104" s="125"/>
      <c r="C104" s="91" t="s">
        <v>187</v>
      </c>
      <c r="D104" s="68"/>
      <c r="E104" s="68"/>
      <c r="F104" s="68"/>
      <c r="G104" s="154"/>
      <c r="H104" s="129"/>
      <c r="I104" s="129"/>
      <c r="J104" s="129"/>
      <c r="K104" s="129"/>
      <c r="L104" s="129"/>
      <c r="M104" s="50" t="s">
        <v>188</v>
      </c>
    </row>
    <row r="105" spans="1:13" ht="13.5" customHeight="1" outlineLevel="1">
      <c r="A105" s="125"/>
      <c r="C105" s="180" t="s">
        <v>189</v>
      </c>
      <c r="D105" s="180"/>
      <c r="E105" s="180"/>
      <c r="F105" s="180"/>
      <c r="G105" s="199"/>
      <c r="H105" s="200">
        <f>+SUM(H103:H104)</f>
        <v>0</v>
      </c>
      <c r="I105" s="200">
        <f t="shared" ref="I105:L105" si="30">+SUM(I103:I104)</f>
        <v>0</v>
      </c>
      <c r="J105" s="200">
        <f t="shared" si="30"/>
        <v>0</v>
      </c>
      <c r="K105" s="200">
        <f t="shared" si="30"/>
        <v>0</v>
      </c>
      <c r="L105" s="200">
        <f t="shared" si="30"/>
        <v>0</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c r="I109" s="203"/>
      <c r="J109" s="203"/>
      <c r="K109" s="203"/>
      <c r="L109" s="203"/>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1">+C81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2">SUM(I113:I116)</f>
        <v>0</v>
      </c>
      <c r="J117" s="200">
        <f t="shared" si="32"/>
        <v>0</v>
      </c>
      <c r="K117" s="200">
        <f t="shared" si="32"/>
        <v>0</v>
      </c>
      <c r="L117" s="200">
        <f t="shared" si="32"/>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c r="I119" s="203"/>
      <c r="J119" s="203"/>
      <c r="K119" s="203"/>
      <c r="L119" s="203"/>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3">H$11</f>
        <v>46022</v>
      </c>
      <c r="I126" s="58">
        <f t="shared" si="33"/>
        <v>46387</v>
      </c>
      <c r="J126" s="58">
        <f t="shared" si="33"/>
        <v>46752</v>
      </c>
      <c r="K126" s="58">
        <f t="shared" si="33"/>
        <v>47118</v>
      </c>
      <c r="L126" s="58">
        <f t="shared" si="33"/>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4">F61</f>
        <v>16.781419000000003</v>
      </c>
      <c r="G130" s="177">
        <f t="shared" si="34"/>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4"/>
        <v>0.80490099999999998</v>
      </c>
      <c r="G131" s="177">
        <f t="shared" si="34"/>
        <v>1.161057</v>
      </c>
      <c r="H131" s="177">
        <f>(H146/365)*H150</f>
        <v>1.2029011201180084</v>
      </c>
      <c r="I131" s="177">
        <f t="shared" ref="I131:L131" si="35">(I146/365)*I150</f>
        <v>1.3873703794209342</v>
      </c>
      <c r="J131" s="177">
        <f t="shared" si="35"/>
        <v>1.558507558799139</v>
      </c>
      <c r="K131" s="177">
        <f t="shared" si="35"/>
        <v>1.7039999045715051</v>
      </c>
      <c r="L131" s="177">
        <f t="shared" si="35"/>
        <v>1.8119544925477122</v>
      </c>
      <c r="M131" s="50"/>
    </row>
    <row r="132" spans="3:13" ht="13.5" customHeight="1" outlineLevel="1">
      <c r="C132" s="91" t="str">
        <f>C63</f>
        <v>Prepaids and Other Current Assets</v>
      </c>
      <c r="D132" s="68"/>
      <c r="E132" s="68"/>
      <c r="F132" s="177">
        <f t="shared" si="34"/>
        <v>0.26978399999999997</v>
      </c>
      <c r="G132" s="177">
        <f t="shared" si="34"/>
        <v>0.34491899999999998</v>
      </c>
      <c r="H132" s="177">
        <f>H151*H147</f>
        <v>0.3792215684283346</v>
      </c>
      <c r="I132" s="177">
        <f t="shared" ref="I132:L132" si="36">I151*I147</f>
        <v>0.43737657441320382</v>
      </c>
      <c r="J132" s="177">
        <f t="shared" si="36"/>
        <v>0.49132856472628733</v>
      </c>
      <c r="K132" s="177">
        <f t="shared" si="36"/>
        <v>0.53719587221761422</v>
      </c>
      <c r="L132" s="177">
        <f t="shared" si="36"/>
        <v>0.57122918342390505</v>
      </c>
      <c r="M132" s="50"/>
    </row>
    <row r="133" spans="3:13" ht="13.5" customHeight="1" outlineLevel="1">
      <c r="C133" s="65" t="s">
        <v>152</v>
      </c>
      <c r="D133" s="65"/>
      <c r="E133" s="65"/>
      <c r="F133" s="179">
        <f t="shared" ref="F133:L133" si="37">SUM(F130:F132)</f>
        <v>17.856104000000006</v>
      </c>
      <c r="G133" s="179">
        <f t="shared" si="37"/>
        <v>23.790697999999999</v>
      </c>
      <c r="H133" s="179">
        <f t="shared" si="37"/>
        <v>25.594733500229559</v>
      </c>
      <c r="I133" s="179">
        <f t="shared" si="37"/>
        <v>29.519778919074909</v>
      </c>
      <c r="J133" s="179">
        <f t="shared" si="37"/>
        <v>33.161150952826461</v>
      </c>
      <c r="K133" s="179">
        <f t="shared" si="37"/>
        <v>36.256864934705241</v>
      </c>
      <c r="L133" s="179">
        <f t="shared" si="37"/>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8">F74</f>
        <v>2.8058170000000002</v>
      </c>
      <c r="G135" s="177">
        <f t="shared" si="38"/>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8"/>
        <v>2.3839329999999999</v>
      </c>
      <c r="G136" s="177">
        <f t="shared" si="38"/>
        <v>2.7880379999999998</v>
      </c>
      <c r="H136" s="177">
        <f>H154*H147</f>
        <v>3.1966854452582232</v>
      </c>
      <c r="I136" s="177">
        <f t="shared" ref="I136:L136" si="39">I154*I147</f>
        <v>3.6869087782063024</v>
      </c>
      <c r="J136" s="177">
        <f t="shared" si="39"/>
        <v>4.1417023778724023</v>
      </c>
      <c r="K136" s="177">
        <f t="shared" si="39"/>
        <v>4.5283453498910609</v>
      </c>
      <c r="L136" s="177">
        <f t="shared" si="39"/>
        <v>4.8152324882940372</v>
      </c>
      <c r="M136" s="50"/>
    </row>
    <row r="137" spans="3:13" ht="13.5" customHeight="1" outlineLevel="1">
      <c r="C137" s="91" t="str">
        <f>C76</f>
        <v>Accrued Expenses &amp; Other</v>
      </c>
      <c r="D137" s="68"/>
      <c r="E137" s="68"/>
      <c r="F137" s="177">
        <f t="shared" si="38"/>
        <v>2.0579079999999998</v>
      </c>
      <c r="G137" s="177">
        <f t="shared" si="38"/>
        <v>3.2020309999999998</v>
      </c>
      <c r="H137" s="177">
        <f>H155*H147</f>
        <v>3.2317636858846019</v>
      </c>
      <c r="I137" s="177">
        <f t="shared" ref="I137:L137" si="40">I155*I147</f>
        <v>3.727366394541769</v>
      </c>
      <c r="J137" s="177">
        <f t="shared" si="40"/>
        <v>4.1871505882458564</v>
      </c>
      <c r="K137" s="177">
        <f t="shared" si="40"/>
        <v>4.5780363159066395</v>
      </c>
      <c r="L137" s="177">
        <f t="shared" si="40"/>
        <v>4.8680715576328382</v>
      </c>
      <c r="M137" s="50"/>
    </row>
    <row r="138" spans="3:13" ht="13.5" customHeight="1" outlineLevel="1">
      <c r="C138" s="65" t="s">
        <v>156</v>
      </c>
      <c r="D138" s="65"/>
      <c r="E138" s="65"/>
      <c r="F138" s="179">
        <f t="shared" ref="F138:L138" si="41">SUM(F135:F137)</f>
        <v>7.2476579999999995</v>
      </c>
      <c r="G138" s="179">
        <f t="shared" si="41"/>
        <v>8.3507789999999993</v>
      </c>
      <c r="H138" s="179">
        <f t="shared" si="41"/>
        <v>9.6659794002709365</v>
      </c>
      <c r="I138" s="179">
        <f t="shared" si="41"/>
        <v>11.148292477035213</v>
      </c>
      <c r="J138" s="179">
        <f t="shared" si="41"/>
        <v>12.523474878002563</v>
      </c>
      <c r="K138" s="179">
        <f t="shared" si="41"/>
        <v>13.692586780562621</v>
      </c>
      <c r="L138" s="179">
        <f t="shared" si="41"/>
        <v>14.560061925519163</v>
      </c>
    </row>
    <row r="139" spans="3:13" ht="13.5" customHeight="1" outlineLevel="1">
      <c r="C139" s="180" t="s">
        <v>157</v>
      </c>
      <c r="D139" s="180"/>
      <c r="E139" s="180"/>
      <c r="F139" s="181">
        <f t="shared" ref="F139:L139" si="42">F133-F138</f>
        <v>10.608446000000006</v>
      </c>
      <c r="G139" s="181">
        <f t="shared" si="42"/>
        <v>15.439919</v>
      </c>
      <c r="H139" s="181">
        <f t="shared" si="42"/>
        <v>15.928754099958622</v>
      </c>
      <c r="I139" s="181">
        <f t="shared" si="42"/>
        <v>18.371486442039696</v>
      </c>
      <c r="J139" s="181">
        <f t="shared" si="42"/>
        <v>20.637676074823897</v>
      </c>
      <c r="K139" s="181">
        <f t="shared" si="42"/>
        <v>22.56427815414262</v>
      </c>
      <c r="L139" s="181">
        <f t="shared" si="42"/>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3">G139-F139</f>
        <v>4.8314729999999937</v>
      </c>
      <c r="H141" s="182">
        <f t="shared" si="43"/>
        <v>0.48883509995862262</v>
      </c>
      <c r="I141" s="182">
        <f t="shared" si="43"/>
        <v>2.442732342081074</v>
      </c>
      <c r="J141" s="182">
        <f t="shared" si="43"/>
        <v>2.2661896327842008</v>
      </c>
      <c r="K141" s="182">
        <f t="shared" si="43"/>
        <v>1.9266020793187231</v>
      </c>
      <c r="L141" s="182">
        <f t="shared" si="43"/>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4">F13</f>
        <v>78.565675999999996</v>
      </c>
      <c r="G145" s="209">
        <f t="shared" si="44"/>
        <v>90.614007999999998</v>
      </c>
      <c r="H145" s="209">
        <f t="shared" si="44"/>
        <v>104.5099955077592</v>
      </c>
      <c r="I145" s="209">
        <f t="shared" si="44"/>
        <v>120.53698321160066</v>
      </c>
      <c r="J145" s="209">
        <f t="shared" si="44"/>
        <v>135.4056582414087</v>
      </c>
      <c r="K145" s="209">
        <f t="shared" si="44"/>
        <v>148.04626863637753</v>
      </c>
      <c r="L145" s="209">
        <f t="shared" si="44"/>
        <v>157.42553790111026</v>
      </c>
      <c r="M145" s="50"/>
    </row>
    <row r="146" spans="1:19" ht="13.5" customHeight="1" outlineLevel="1">
      <c r="C146" s="68" t="s">
        <v>66</v>
      </c>
      <c r="D146" s="68"/>
      <c r="E146" s="68"/>
      <c r="F146" s="177">
        <f t="shared" si="44"/>
        <v>51.562188999999996</v>
      </c>
      <c r="G146" s="177">
        <f t="shared" si="44"/>
        <v>61.618676000000001</v>
      </c>
      <c r="H146" s="177">
        <f t="shared" si="44"/>
        <v>69.828708282059708</v>
      </c>
      <c r="I146" s="177">
        <f t="shared" si="44"/>
        <v>80.537194523728473</v>
      </c>
      <c r="J146" s="177">
        <f t="shared" si="44"/>
        <v>90.471750220079329</v>
      </c>
      <c r="K146" s="177">
        <f t="shared" si="44"/>
        <v>98.917616966977391</v>
      </c>
      <c r="L146" s="177">
        <f t="shared" si="44"/>
        <v>105.18440756632523</v>
      </c>
      <c r="M146" s="50"/>
    </row>
    <row r="147" spans="1:19" ht="13.5" customHeight="1" outlineLevel="1">
      <c r="C147" s="68" t="s">
        <v>69</v>
      </c>
      <c r="D147" s="68"/>
      <c r="E147" s="68"/>
      <c r="F147" s="177">
        <f t="shared" ref="F147:L147" si="45">F17</f>
        <v>14.179914999999999</v>
      </c>
      <c r="G147" s="177">
        <f t="shared" si="45"/>
        <v>15.4366889395</v>
      </c>
      <c r="H147" s="177">
        <f t="shared" si="45"/>
        <v>18.333216581804578</v>
      </c>
      <c r="I147" s="177">
        <f t="shared" si="45"/>
        <v>21.144681985672378</v>
      </c>
      <c r="J147" s="177">
        <f t="shared" si="45"/>
        <v>23.752955369300096</v>
      </c>
      <c r="K147" s="177">
        <f t="shared" si="45"/>
        <v>25.970380094765407</v>
      </c>
      <c r="L147" s="177">
        <f t="shared" si="45"/>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6">I149</f>
        <v>83.863776892169696</v>
      </c>
      <c r="K149" s="211">
        <f t="shared" si="46"/>
        <v>83.863776892169696</v>
      </c>
      <c r="L149" s="211">
        <f t="shared" si="46"/>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7">I151</f>
        <v>2.0684944550576352E-2</v>
      </c>
      <c r="K151" s="139">
        <f t="shared" si="47"/>
        <v>2.0684944550576352E-2</v>
      </c>
      <c r="L151" s="139">
        <f t="shared" si="47"/>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8">H153</f>
        <v>16.922818383787302</v>
      </c>
      <c r="J153" s="211">
        <f t="shared" si="48"/>
        <v>16.922818383787302</v>
      </c>
      <c r="K153" s="211">
        <f t="shared" si="48"/>
        <v>16.922818383787302</v>
      </c>
      <c r="L153" s="211">
        <f t="shared" si="48"/>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8"/>
        <v>0.17436577105792128</v>
      </c>
      <c r="K154" s="139">
        <f t="shared" si="48"/>
        <v>0.17436577105792128</v>
      </c>
      <c r="L154" s="139">
        <f t="shared" si="48"/>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8"/>
        <v>0.1762791418223944</v>
      </c>
      <c r="K155" s="139">
        <f t="shared" si="48"/>
        <v>0.1762791418223944</v>
      </c>
      <c r="L155" s="139">
        <f t="shared" si="48"/>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5'!F13</f>
        <v>0</v>
      </c>
      <c r="G162" s="122">
        <f>'Financials from CIP'!E13/1000-'Step 5'!G13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5'!F15</f>
        <v>0</v>
      </c>
      <c r="G163" s="122">
        <f>'Financials from CIP'!E19/1000-'Step 5'!G15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5'!F18</f>
        <v>0</v>
      </c>
      <c r="G164" s="122">
        <f>'Financials from CIP'!E36/1000-'Step 5'!G18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5'!F33</f>
        <v>0</v>
      </c>
      <c r="G165" s="122">
        <f>'Financials from CIP'!E34/1000-'Step 5'!G33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5'!F60</f>
        <v>0</v>
      </c>
      <c r="G168" s="122">
        <f>'Financials from CIP'!E46/1000-'Step 5'!G60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5'!F64</f>
        <v>0</v>
      </c>
      <c r="G169" s="122">
        <f>'Financials from CIP'!E51/1000-'Step 5'!G64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5'!F70</f>
        <v>0</v>
      </c>
      <c r="G170" s="122">
        <f>'Financials from CIP'!E56/1000-'Step 5'!G70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5'!F77</f>
        <v>0</v>
      </c>
      <c r="G171" s="122">
        <f>'Financials from CIP'!E61/1000-'Step 5'!G77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5'!F84</f>
        <v>0</v>
      </c>
      <c r="G172" s="122">
        <f>'Financials from CIP'!E69/1000-'Step 5'!G84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5'!F85:F86)</f>
        <v>0</v>
      </c>
      <c r="G173" s="122">
        <f>'Financials from CIP'!E73/1000-SUM('Step 5'!G85:G86)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49">H$11</f>
        <v>46022</v>
      </c>
      <c r="I185" s="58">
        <f t="shared" si="49"/>
        <v>46387</v>
      </c>
      <c r="J185" s="58">
        <f t="shared" si="49"/>
        <v>46752</v>
      </c>
      <c r="K185" s="58">
        <f t="shared" si="49"/>
        <v>47118</v>
      </c>
      <c r="L185" s="58">
        <f t="shared" si="49"/>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0">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0"/>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0"/>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0"/>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0"/>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0"/>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1">-SUM(I187:I193)</f>
        <v>6.1302957891314076</v>
      </c>
      <c r="J194" s="156">
        <f t="shared" ca="1" si="51"/>
        <v>6.4683165246530567</v>
      </c>
      <c r="K194" s="156">
        <f t="shared" ca="1" si="51"/>
        <v>6.8378927245374452</v>
      </c>
      <c r="L194" s="156">
        <f t="shared" ca="1" si="51"/>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1AEF-5205-4DAD-91D6-3E198C97596D}">
  <sheetPr>
    <tabColor rgb="FF416D89"/>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f>G60+H119</f>
        <v>13.005932342237593</v>
      </c>
      <c r="I60" s="196">
        <f>H60+I119</f>
        <v>22.519730311941146</v>
      </c>
      <c r="J60" s="196">
        <f ca="1">I60+J119</f>
        <v>33.545552217020031</v>
      </c>
      <c r="K60" s="196">
        <f ca="1">J60+K119</f>
        <v>46.071928574382142</v>
      </c>
      <c r="L60" s="196">
        <f ca="1">K60+L119</f>
        <v>59.993804262544216</v>
      </c>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f>H33</f>
        <v>7.078372487829796</v>
      </c>
      <c r="I100" s="129">
        <f>I33</f>
        <v>8.5973148077077592</v>
      </c>
      <c r="J100" s="129">
        <f ca="1">J33</f>
        <v>9.965950368426526</v>
      </c>
      <c r="K100" s="129">
        <f ca="1">K33</f>
        <v>11.072895710987275</v>
      </c>
      <c r="L100" s="129">
        <f ca="1">L33</f>
        <v>11.812471765575342</v>
      </c>
      <c r="M100" s="50" t="s">
        <v>181</v>
      </c>
    </row>
    <row r="101" spans="1:13" ht="13.5" customHeight="1" outlineLevel="1">
      <c r="A101" s="125"/>
      <c r="C101" s="91" t="s">
        <v>15</v>
      </c>
      <c r="D101" s="68"/>
      <c r="E101" s="68"/>
      <c r="F101" s="68"/>
      <c r="G101" s="154"/>
      <c r="H101" s="129">
        <f>H20</f>
        <v>5.829392560625954</v>
      </c>
      <c r="I101" s="129">
        <f>I20</f>
        <v>6.1302957891314076</v>
      </c>
      <c r="J101" s="129">
        <f ca="1">J20</f>
        <v>6.4683165246530567</v>
      </c>
      <c r="K101" s="129">
        <f ca="1">K20</f>
        <v>6.8378927245374452</v>
      </c>
      <c r="L101" s="129">
        <f ca="1">L20</f>
        <v>7.2308829200900817</v>
      </c>
      <c r="M101" s="50" t="s">
        <v>182</v>
      </c>
    </row>
    <row r="102" spans="1:13" ht="13.5" customHeight="1" outlineLevel="1">
      <c r="A102" s="125"/>
      <c r="C102" s="91" t="s">
        <v>183</v>
      </c>
      <c r="D102" s="68"/>
      <c r="E102" s="68"/>
      <c r="F102" s="68"/>
      <c r="G102" s="154"/>
      <c r="H102" s="129">
        <f>H21</f>
        <v>0.237952</v>
      </c>
      <c r="I102" s="129">
        <f t="shared" ref="I102:L102" si="29">I21</f>
        <v>0.237952</v>
      </c>
      <c r="J102" s="129">
        <f t="shared" si="29"/>
        <v>0.237952</v>
      </c>
      <c r="K102" s="129">
        <f t="shared" si="29"/>
        <v>0.237952</v>
      </c>
      <c r="L102" s="129">
        <f t="shared" si="29"/>
        <v>0.237952</v>
      </c>
      <c r="M102" s="50" t="s">
        <v>184</v>
      </c>
    </row>
    <row r="103" spans="1:13" ht="13.5" customHeight="1" outlineLevel="1">
      <c r="A103" s="125"/>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t="s">
        <v>186</v>
      </c>
    </row>
    <row r="104" spans="1:13" ht="13.5" customHeight="1" outlineLevel="1">
      <c r="A104" s="125"/>
      <c r="C104" s="91" t="s">
        <v>187</v>
      </c>
      <c r="D104" s="68"/>
      <c r="E104" s="68"/>
      <c r="F104" s="68"/>
      <c r="G104" s="154"/>
      <c r="H104" s="129">
        <f>-(H141)</f>
        <v>-0.48883509995862262</v>
      </c>
      <c r="I104" s="129">
        <f>-(I141)</f>
        <v>-2.442732342081074</v>
      </c>
      <c r="J104" s="129">
        <f>-(J141)</f>
        <v>-2.2661896327842008</v>
      </c>
      <c r="K104" s="129">
        <f>-(K141)</f>
        <v>-1.9266020793187231</v>
      </c>
      <c r="L104" s="129">
        <f>-(L141)</f>
        <v>-1.4295290419769913</v>
      </c>
      <c r="M104" s="50" t="s">
        <v>188</v>
      </c>
    </row>
    <row r="105" spans="1:13" ht="13.5" customHeight="1" outlineLevel="1">
      <c r="A105" s="125"/>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f>-H36</f>
        <v>-2.6089416062595356</v>
      </c>
      <c r="I109" s="203">
        <f>-I36</f>
        <v>-3.0090322850545372</v>
      </c>
      <c r="J109" s="203">
        <f>-J36</f>
        <v>-3.3802073552164953</v>
      </c>
      <c r="K109" s="203">
        <f>-K36</f>
        <v>-3.6957619988438841</v>
      </c>
      <c r="L109" s="203">
        <f>-L36</f>
        <v>-3.9299019555263603</v>
      </c>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f>H117+H109+H105</f>
        <v>10.047940342237592</v>
      </c>
      <c r="I119" s="203">
        <f>I117+I109+I105</f>
        <v>9.5137979697035551</v>
      </c>
      <c r="J119" s="203">
        <f ca="1">J117+J109+J105</f>
        <v>11.025821905078885</v>
      </c>
      <c r="K119" s="203">
        <f ca="1">K117+K109+K105</f>
        <v>12.526376357362114</v>
      </c>
      <c r="L119" s="203">
        <f ca="1">L117+L109+L105</f>
        <v>13.921875688162071</v>
      </c>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 Answer Key'!F13</f>
        <v>0</v>
      </c>
      <c r="G162" s="122">
        <f>'Financials from CIP'!E13/1000-'Step 5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 Answer Key'!F15</f>
        <v>0</v>
      </c>
      <c r="G163" s="122">
        <f>'Financials from CIP'!E19/1000-'Step 5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 Answer Key'!F18</f>
        <v>0</v>
      </c>
      <c r="G164" s="122">
        <f>'Financials from CIP'!E36/1000-'Step 5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 Answer Key'!F33</f>
        <v>0</v>
      </c>
      <c r="G165" s="122">
        <f>'Financials from CIP'!E34/1000-'Step 5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 Answer Key'!F60</f>
        <v>0</v>
      </c>
      <c r="G168" s="122">
        <f>'Financials from CIP'!E46/1000-'Step 5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 Answer Key'!F64</f>
        <v>0</v>
      </c>
      <c r="G169" s="122">
        <f>'Financials from CIP'!E51/1000-'Step 5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 Answer Key'!F70</f>
        <v>0</v>
      </c>
      <c r="G170" s="122">
        <f>'Financials from CIP'!E56/1000-'Step 5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 Answer Key'!F77</f>
        <v>0</v>
      </c>
      <c r="G171" s="122">
        <f>'Financials from CIP'!E61/1000-'Step 5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 Answer Key'!F84</f>
        <v>0</v>
      </c>
      <c r="G172" s="122">
        <f>'Financials from CIP'!E69/1000-'Step 5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 Answer Key'!F85:F86)</f>
        <v>0</v>
      </c>
      <c r="G173" s="122">
        <f>'Financials from CIP'!E73/1000-SUM('Step 5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2B85-A214-433B-B67D-ABA809984306}">
  <sheetPr>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c r="I78" s="129"/>
      <c r="J78" s="129"/>
      <c r="K78" s="129"/>
      <c r="L78" s="129"/>
      <c r="M78" s="50" t="s">
        <v>198</v>
      </c>
    </row>
    <row r="79" spans="1:13" ht="13.5" customHeight="1" outlineLevel="1">
      <c r="A79" s="125"/>
      <c r="C79" s="91" t="s">
        <v>42</v>
      </c>
      <c r="D79" s="95"/>
      <c r="E79" s="95"/>
      <c r="F79" s="96">
        <f>'Financials from CIP'!D64/1000</f>
        <v>18.943222000000002</v>
      </c>
      <c r="G79" s="96">
        <f>'Financials from CIP'!E64/1000</f>
        <v>12.001450999999999</v>
      </c>
      <c r="H79" s="129"/>
      <c r="I79" s="129"/>
      <c r="J79" s="129"/>
      <c r="K79" s="129"/>
      <c r="L79" s="129"/>
      <c r="M79" s="50" t="s">
        <v>198</v>
      </c>
    </row>
    <row r="80" spans="1:13" ht="13.5" customHeight="1" outlineLevel="1">
      <c r="A80" s="125"/>
      <c r="C80" s="91" t="s">
        <v>90</v>
      </c>
      <c r="D80" s="95"/>
      <c r="E80" s="95"/>
      <c r="F80" s="96">
        <f>'Financials from CIP'!D65/1000</f>
        <v>0.54533299999999996</v>
      </c>
      <c r="G80" s="96">
        <f>'Financials from CIP'!E65/1000</f>
        <v>8.5337999999999997E-2</v>
      </c>
      <c r="H80" s="129"/>
      <c r="I80" s="129"/>
      <c r="J80" s="129"/>
      <c r="K80" s="129"/>
      <c r="L80" s="129"/>
      <c r="M80" s="50" t="s">
        <v>198</v>
      </c>
    </row>
    <row r="81" spans="1:13" ht="13.5" customHeight="1" outlineLevel="1">
      <c r="A81" s="125"/>
      <c r="C81" s="91" t="s">
        <v>91</v>
      </c>
      <c r="D81" s="95"/>
      <c r="E81" s="95"/>
      <c r="F81" s="96">
        <f>'Financials from CIP'!D66/1000</f>
        <v>9.2447999999999989E-2</v>
      </c>
      <c r="G81" s="96">
        <f>'Financials from CIP'!E66/1000</f>
        <v>1.2666999999999999E-2</v>
      </c>
      <c r="H81" s="129"/>
      <c r="I81" s="129"/>
      <c r="J81" s="129"/>
      <c r="K81" s="129"/>
      <c r="L81" s="129"/>
      <c r="M81" s="50" t="s">
        <v>198</v>
      </c>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6'!F13</f>
        <v>0</v>
      </c>
      <c r="G162" s="122">
        <f>'Financials from CIP'!E13/1000-'Step 6'!G13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6'!F15</f>
        <v>0</v>
      </c>
      <c r="G163" s="122">
        <f>'Financials from CIP'!E19/1000-'Step 6'!G15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6'!F18</f>
        <v>0</v>
      </c>
      <c r="G164" s="122">
        <f>'Financials from CIP'!E36/1000-'Step 6'!G18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6'!F33</f>
        <v>0</v>
      </c>
      <c r="G165" s="122">
        <f>'Financials from CIP'!E34/1000-'Step 6'!G33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6'!F60</f>
        <v>0</v>
      </c>
      <c r="G168" s="122">
        <f>'Financials from CIP'!E46/1000-'Step 6'!G60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6'!F64</f>
        <v>0</v>
      </c>
      <c r="G169" s="122">
        <f>'Financials from CIP'!E51/1000-'Step 6'!G64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6'!F70</f>
        <v>0</v>
      </c>
      <c r="G170" s="122">
        <f>'Financials from CIP'!E56/1000-'Step 6'!G70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6'!F77</f>
        <v>0</v>
      </c>
      <c r="G171" s="122">
        <f>'Financials from CIP'!E61/1000-'Step 6'!G77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6'!F84</f>
        <v>0</v>
      </c>
      <c r="G172" s="122">
        <f>'Financials from CIP'!E69/1000-'Step 6'!G84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6'!F85:F86)</f>
        <v>0</v>
      </c>
      <c r="G173" s="122">
        <f>'Financials from CIP'!E73/1000-SUM('Step 6'!G85:G86)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c r="I206" s="221"/>
      <c r="J206" s="221"/>
      <c r="K206" s="221"/>
      <c r="L206" s="221"/>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c r="H209" s="222"/>
      <c r="I209" s="222"/>
      <c r="J209" s="222"/>
      <c r="K209" s="222"/>
      <c r="L209" s="222"/>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c r="H211" s="130"/>
      <c r="I211" s="130"/>
      <c r="J211" s="130"/>
      <c r="K211" s="130"/>
      <c r="L211" s="130"/>
      <c r="M211" s="50" t="s">
        <v>210</v>
      </c>
    </row>
    <row r="212" spans="1:13" ht="13.5" customHeight="1" outlineLevel="1">
      <c r="A212" s="125"/>
      <c r="C212" s="98" t="s">
        <v>211</v>
      </c>
      <c r="D212" s="223"/>
      <c r="E212" s="223"/>
      <c r="F212" s="223"/>
      <c r="G212" s="165"/>
      <c r="H212" s="165"/>
      <c r="I212" s="165"/>
      <c r="J212" s="165"/>
      <c r="K212" s="165"/>
      <c r="L212" s="165"/>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c r="I215" s="221"/>
      <c r="J215" s="221"/>
      <c r="K215" s="221"/>
      <c r="L215" s="221"/>
      <c r="M215" s="50" t="s">
        <v>213</v>
      </c>
    </row>
    <row r="216" spans="1:13" ht="13.5" customHeight="1" outlineLevel="1">
      <c r="A216" s="125"/>
      <c r="C216" s="91" t="s">
        <v>214</v>
      </c>
      <c r="D216" s="118"/>
      <c r="E216" s="118"/>
      <c r="G216" s="149"/>
      <c r="H216" s="165"/>
      <c r="I216" s="165"/>
      <c r="J216" s="165"/>
      <c r="K216" s="165"/>
      <c r="L216" s="165"/>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c r="H218" s="227"/>
      <c r="I218" s="227"/>
      <c r="J218" s="227"/>
      <c r="K218" s="227"/>
      <c r="L218" s="227"/>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c r="I221" s="229"/>
      <c r="J221" s="229"/>
      <c r="K221" s="229"/>
      <c r="L221" s="229"/>
      <c r="M221" s="50" t="s">
        <v>213</v>
      </c>
    </row>
    <row r="222" spans="1:13" ht="13.5" customHeight="1" outlineLevel="1">
      <c r="A222" s="125"/>
      <c r="C222" s="91" t="s">
        <v>214</v>
      </c>
      <c r="D222" s="118"/>
      <c r="E222" s="118"/>
      <c r="G222" s="154"/>
      <c r="H222" s="230"/>
      <c r="I222" s="230"/>
      <c r="J222" s="230"/>
      <c r="K222" s="230"/>
      <c r="L222" s="230"/>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c r="H224" s="233"/>
      <c r="I224" s="233"/>
      <c r="J224" s="233"/>
      <c r="K224" s="233"/>
      <c r="L224" s="233"/>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c r="I227" s="229"/>
      <c r="J227" s="229"/>
      <c r="K227" s="229"/>
      <c r="L227" s="229"/>
      <c r="M227" s="50" t="s">
        <v>213</v>
      </c>
    </row>
    <row r="228" spans="1:13" ht="13.5" customHeight="1" outlineLevel="1">
      <c r="A228" s="125"/>
      <c r="C228" s="91" t="s">
        <v>214</v>
      </c>
      <c r="D228" s="118"/>
      <c r="E228" s="118"/>
      <c r="G228" s="154"/>
      <c r="H228" s="230"/>
      <c r="I228" s="230"/>
      <c r="J228" s="230"/>
      <c r="K228" s="230"/>
      <c r="L228" s="230"/>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c r="H230" s="233"/>
      <c r="I230" s="233"/>
      <c r="J230" s="233"/>
      <c r="K230" s="233"/>
      <c r="L230" s="233"/>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0</v>
      </c>
      <c r="H235" s="238"/>
      <c r="I235" s="238"/>
      <c r="J235" s="238"/>
      <c r="K235" s="238"/>
      <c r="L235" s="238"/>
      <c r="M235" s="50" t="s">
        <v>224</v>
      </c>
    </row>
    <row r="236" spans="1:13" ht="13.5" customHeight="1" outlineLevel="1">
      <c r="A236" s="125"/>
      <c r="C236" s="68" t="str">
        <f>+C220</f>
        <v>Subordinated - Note 1</v>
      </c>
      <c r="G236" s="152">
        <f>G224</f>
        <v>0</v>
      </c>
      <c r="H236" s="238"/>
      <c r="I236" s="238"/>
      <c r="J236" s="238"/>
      <c r="K236" s="238"/>
      <c r="L236" s="238"/>
      <c r="M236" s="50" t="s">
        <v>225</v>
      </c>
    </row>
    <row r="237" spans="1:13" ht="13.5" customHeight="1" outlineLevel="1">
      <c r="A237" s="125"/>
      <c r="C237" s="68" t="str">
        <f>+C226</f>
        <v>Subordinated - Note 2</v>
      </c>
      <c r="G237" s="152">
        <f>G230</f>
        <v>0</v>
      </c>
      <c r="H237" s="238"/>
      <c r="I237" s="238"/>
      <c r="J237" s="238"/>
      <c r="K237" s="238"/>
      <c r="L237" s="238"/>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c r="H244" s="247"/>
      <c r="I244" s="247"/>
      <c r="J244" s="248"/>
      <c r="K244" s="247"/>
      <c r="L244" s="249"/>
      <c r="M244" s="50" t="s">
        <v>236</v>
      </c>
    </row>
    <row r="245" spans="1:19" ht="13.5" customHeight="1" outlineLevel="1">
      <c r="A245" s="125"/>
      <c r="C245" s="98" t="str">
        <f>+C214</f>
        <v>Term Loan A</v>
      </c>
      <c r="D245" s="118"/>
      <c r="E245" s="118"/>
      <c r="F245" s="246"/>
      <c r="G245" s="247"/>
      <c r="H245" s="247"/>
      <c r="I245" s="247"/>
      <c r="J245" s="248"/>
      <c r="K245" s="247"/>
      <c r="L245" s="249"/>
      <c r="M245" s="50" t="s">
        <v>237</v>
      </c>
    </row>
    <row r="246" spans="1:19" ht="13.5" customHeight="1" outlineLevel="1">
      <c r="A246" s="125"/>
      <c r="C246" s="98" t="str">
        <f>+C220</f>
        <v>Subordinated - Note 1</v>
      </c>
      <c r="D246" s="118"/>
      <c r="E246" s="118"/>
      <c r="F246" s="246"/>
      <c r="G246" s="247"/>
      <c r="H246" s="247"/>
      <c r="I246" s="247"/>
      <c r="J246" s="247"/>
      <c r="K246" s="247"/>
      <c r="L246" s="249"/>
      <c r="M246" s="50" t="s">
        <v>238</v>
      </c>
    </row>
    <row r="247" spans="1:19" ht="13.5" customHeight="1" outlineLevel="1">
      <c r="A247" s="125"/>
      <c r="C247" s="98" t="str">
        <f>+C226</f>
        <v>Subordinated - Note 2</v>
      </c>
      <c r="D247" s="118"/>
      <c r="E247" s="118"/>
      <c r="F247" s="246"/>
      <c r="G247" s="247"/>
      <c r="H247" s="247"/>
      <c r="I247" s="247"/>
      <c r="J247" s="247"/>
      <c r="K247" s="247"/>
      <c r="L247" s="249"/>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5142FBE0-F844-4DC2-A58F-C73873156A4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D557-2246-4D3E-A6C4-F403CD8AE5D2}">
  <sheetPr>
    <tabColor rgb="FF416D89"/>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f>H209</f>
        <v>1.2892999999999999</v>
      </c>
      <c r="I78" s="129">
        <f>I209</f>
        <v>1.2892999999999999</v>
      </c>
      <c r="J78" s="129">
        <f>J209</f>
        <v>1.2892999999999999</v>
      </c>
      <c r="K78" s="129">
        <f>K209</f>
        <v>1.2892999999999999</v>
      </c>
      <c r="L78" s="129">
        <f>L209</f>
        <v>1.2892999999999999</v>
      </c>
      <c r="M78" s="50" t="s">
        <v>198</v>
      </c>
    </row>
    <row r="79" spans="1:13" ht="13.5" customHeight="1" outlineLevel="1">
      <c r="A79" s="125"/>
      <c r="C79" s="91" t="s">
        <v>42</v>
      </c>
      <c r="D79" s="95"/>
      <c r="E79" s="95"/>
      <c r="F79" s="96">
        <f>'Financials from CIP'!D64/1000</f>
        <v>18.943222000000002</v>
      </c>
      <c r="G79" s="96">
        <f>'Financials from CIP'!E64/1000</f>
        <v>12.001450999999999</v>
      </c>
      <c r="H79" s="129">
        <f>H218</f>
        <v>9.6011607999999988</v>
      </c>
      <c r="I79" s="129">
        <f>I218</f>
        <v>7.2008705999999982</v>
      </c>
      <c r="J79" s="129">
        <f>J218</f>
        <v>4.8005803999999976</v>
      </c>
      <c r="K79" s="129">
        <f>K218</f>
        <v>2.4002901999999975</v>
      </c>
      <c r="L79" s="129">
        <f>L218</f>
        <v>0</v>
      </c>
      <c r="M79" s="50" t="s">
        <v>198</v>
      </c>
    </row>
    <row r="80" spans="1:13" ht="13.5" customHeight="1" outlineLevel="1">
      <c r="A80" s="125"/>
      <c r="C80" s="91" t="s">
        <v>90</v>
      </c>
      <c r="D80" s="95"/>
      <c r="E80" s="95"/>
      <c r="F80" s="96">
        <f>'Financials from CIP'!D65/1000</f>
        <v>0.54533299999999996</v>
      </c>
      <c r="G80" s="96">
        <f>'Financials from CIP'!E65/1000</f>
        <v>8.5337999999999997E-2</v>
      </c>
      <c r="H80" s="129">
        <f>H224</f>
        <v>6.8270399999999995E-2</v>
      </c>
      <c r="I80" s="129">
        <f>I224</f>
        <v>5.1202799999999993E-2</v>
      </c>
      <c r="J80" s="129">
        <f>J224</f>
        <v>3.4135199999999991E-2</v>
      </c>
      <c r="K80" s="129">
        <f>K224</f>
        <v>1.7067599999999992E-2</v>
      </c>
      <c r="L80" s="129">
        <f>L224</f>
        <v>0</v>
      </c>
      <c r="M80" s="50" t="s">
        <v>198</v>
      </c>
    </row>
    <row r="81" spans="1:13" ht="13.5" customHeight="1" outlineLevel="1">
      <c r="A81" s="125"/>
      <c r="C81" s="91" t="s">
        <v>91</v>
      </c>
      <c r="D81" s="95"/>
      <c r="E81" s="95"/>
      <c r="F81" s="96">
        <f>'Financials from CIP'!D66/1000</f>
        <v>9.2447999999999989E-2</v>
      </c>
      <c r="G81" s="96">
        <f>'Financials from CIP'!E66/1000</f>
        <v>1.2666999999999999E-2</v>
      </c>
      <c r="H81" s="129">
        <f>H230</f>
        <v>1.203365E-2</v>
      </c>
      <c r="I81" s="129">
        <f>I230</f>
        <v>1.14003E-2</v>
      </c>
      <c r="J81" s="129">
        <f>J230</f>
        <v>1.0766950000000001E-2</v>
      </c>
      <c r="K81" s="129">
        <f>K230</f>
        <v>1.0133600000000001E-2</v>
      </c>
      <c r="L81" s="129">
        <f>L230</f>
        <v>0</v>
      </c>
      <c r="M81" s="50" t="s">
        <v>198</v>
      </c>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 Answer Key'!F13</f>
        <v>0</v>
      </c>
      <c r="G162" s="122">
        <f>'Financials from CIP'!E13/1000-'Step 6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 Answer Key'!F15</f>
        <v>0</v>
      </c>
      <c r="G163" s="122">
        <f>'Financials from CIP'!E19/1000-'Step 6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 Answer Key'!F18</f>
        <v>0</v>
      </c>
      <c r="G164" s="122">
        <f>'Financials from CIP'!E36/1000-'Step 6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 Answer Key'!F33</f>
        <v>0</v>
      </c>
      <c r="G165" s="122">
        <f>'Financials from CIP'!E34/1000-'Step 6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 Answer Key'!F60</f>
        <v>0</v>
      </c>
      <c r="G168" s="122">
        <f>'Financials from CIP'!E46/1000-'Step 6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 Answer Key'!F64</f>
        <v>0</v>
      </c>
      <c r="G169" s="122">
        <f>'Financials from CIP'!E51/1000-'Step 6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 Answer Key'!F70</f>
        <v>0</v>
      </c>
      <c r="G170" s="122">
        <f>'Financials from CIP'!E56/1000-'Step 6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 Answer Key'!F77</f>
        <v>0</v>
      </c>
      <c r="G171" s="122">
        <f>'Financials from CIP'!E61/1000-'Step 6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 Answer Key'!F84</f>
        <v>0</v>
      </c>
      <c r="G172" s="122">
        <f>'Financials from CIP'!E69/1000-'Step 6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 Answer Key'!F85:F86)</f>
        <v>0</v>
      </c>
      <c r="G173" s="122">
        <f>'Financials from CIP'!E73/1000-SUM('Step 6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f>G209</f>
        <v>1.2892999999999999</v>
      </c>
      <c r="I206" s="221">
        <f>H209</f>
        <v>1.2892999999999999</v>
      </c>
      <c r="J206" s="221">
        <f>I209</f>
        <v>1.2892999999999999</v>
      </c>
      <c r="K206" s="221">
        <f>J209</f>
        <v>1.2892999999999999</v>
      </c>
      <c r="L206" s="221">
        <f>K209</f>
        <v>1.2892999999999999</v>
      </c>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f>G78</f>
        <v>1.2892999999999999</v>
      </c>
      <c r="H209" s="222">
        <f>SUM(H206:H208)</f>
        <v>1.2892999999999999</v>
      </c>
      <c r="I209" s="222">
        <f>SUM(I206:I208)</f>
        <v>1.2892999999999999</v>
      </c>
      <c r="J209" s="222">
        <f>SUM(J206:J208)</f>
        <v>1.2892999999999999</v>
      </c>
      <c r="K209" s="222">
        <f>SUM(K206:K208)</f>
        <v>1.2892999999999999</v>
      </c>
      <c r="L209" s="222">
        <f>SUM(L206:L208)</f>
        <v>1.2892999999999999</v>
      </c>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v>30</v>
      </c>
      <c r="H211" s="130">
        <v>30</v>
      </c>
      <c r="I211" s="130">
        <v>30</v>
      </c>
      <c r="J211" s="130">
        <v>30</v>
      </c>
      <c r="K211" s="130">
        <v>30</v>
      </c>
      <c r="L211" s="130">
        <v>30</v>
      </c>
      <c r="M211" s="50" t="s">
        <v>210</v>
      </c>
    </row>
    <row r="212" spans="1:13" ht="13.5" customHeight="1" outlineLevel="1">
      <c r="A212" s="125"/>
      <c r="C212" s="98" t="s">
        <v>211</v>
      </c>
      <c r="D212" s="223"/>
      <c r="E212" s="223"/>
      <c r="F212" s="223"/>
      <c r="G212" s="165">
        <f t="shared" ref="G212:L212" si="54">G211-G209</f>
        <v>28.710699999999999</v>
      </c>
      <c r="H212" s="165">
        <f t="shared" si="54"/>
        <v>28.710699999999999</v>
      </c>
      <c r="I212" s="165">
        <f t="shared" si="54"/>
        <v>28.710699999999999</v>
      </c>
      <c r="J212" s="165">
        <f t="shared" si="54"/>
        <v>28.710699999999999</v>
      </c>
      <c r="K212" s="165">
        <f t="shared" si="54"/>
        <v>28.710699999999999</v>
      </c>
      <c r="L212" s="165">
        <f t="shared" si="54"/>
        <v>28.710699999999999</v>
      </c>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f>G218</f>
        <v>12.001450999999999</v>
      </c>
      <c r="I215" s="221">
        <f>H218</f>
        <v>9.6011607999999988</v>
      </c>
      <c r="J215" s="221">
        <f>I218</f>
        <v>7.2008705999999982</v>
      </c>
      <c r="K215" s="221">
        <f>J218</f>
        <v>4.8005803999999976</v>
      </c>
      <c r="L215" s="221">
        <f>K218</f>
        <v>2.4002901999999975</v>
      </c>
      <c r="M215" s="50" t="s">
        <v>213</v>
      </c>
    </row>
    <row r="216" spans="1:13" ht="13.5" customHeight="1" outlineLevel="1">
      <c r="A216" s="125"/>
      <c r="C216" s="91" t="s">
        <v>214</v>
      </c>
      <c r="D216" s="118"/>
      <c r="E216" s="118"/>
      <c r="G216" s="149"/>
      <c r="H216" s="165">
        <f>-MIN(($G218*H235),H215)</f>
        <v>-2.4002902000000002</v>
      </c>
      <c r="I216" s="165">
        <f>-MIN(($G218*I235),I215)</f>
        <v>-2.4002902000000002</v>
      </c>
      <c r="J216" s="165">
        <f>-MIN(($G218*J235),J215)</f>
        <v>-2.4002902000000002</v>
      </c>
      <c r="K216" s="165">
        <f>-MIN(($G218*K235),K215)</f>
        <v>-2.4002902000000002</v>
      </c>
      <c r="L216" s="165">
        <f>-MIN(($G218*L235),L215)</f>
        <v>-2.4002901999999975</v>
      </c>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f>G79</f>
        <v>12.001450999999999</v>
      </c>
      <c r="H218" s="227">
        <f>SUM(H215:H217)</f>
        <v>9.6011607999999988</v>
      </c>
      <c r="I218" s="227">
        <f>SUM(I215:I217)</f>
        <v>7.2008705999999982</v>
      </c>
      <c r="J218" s="227">
        <f>SUM(J215:J217)</f>
        <v>4.8005803999999976</v>
      </c>
      <c r="K218" s="227">
        <f>SUM(K215:K217)</f>
        <v>2.4002901999999975</v>
      </c>
      <c r="L218" s="227">
        <f>SUM(L215:L217)</f>
        <v>0</v>
      </c>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f>G224</f>
        <v>8.5337999999999997E-2</v>
      </c>
      <c r="I221" s="229">
        <f>H224</f>
        <v>6.8270399999999995E-2</v>
      </c>
      <c r="J221" s="229">
        <f>I224</f>
        <v>5.1202799999999993E-2</v>
      </c>
      <c r="K221" s="229">
        <f>J224</f>
        <v>3.4135199999999991E-2</v>
      </c>
      <c r="L221" s="229">
        <f>K224</f>
        <v>1.7067599999999992E-2</v>
      </c>
      <c r="M221" s="50" t="s">
        <v>213</v>
      </c>
    </row>
    <row r="222" spans="1:13" ht="13.5" customHeight="1" outlineLevel="1">
      <c r="A222" s="125"/>
      <c r="C222" s="91" t="s">
        <v>214</v>
      </c>
      <c r="D222" s="118"/>
      <c r="E222" s="118"/>
      <c r="G222" s="154"/>
      <c r="H222" s="230">
        <f>-MIN(H221,(H236*$G224))</f>
        <v>-1.7067599999999999E-2</v>
      </c>
      <c r="I222" s="230">
        <f>-MIN(I221,(I236*$G224))</f>
        <v>-1.7067599999999999E-2</v>
      </c>
      <c r="J222" s="230">
        <f>-MIN(J221,(J236*$G224))</f>
        <v>-1.7067599999999999E-2</v>
      </c>
      <c r="K222" s="230">
        <f>-MIN(K221,(K236*$G224))</f>
        <v>-1.7067599999999999E-2</v>
      </c>
      <c r="L222" s="230">
        <f>-MIN(L221,(L236*$G224))</f>
        <v>-1.7067599999999992E-2</v>
      </c>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f>G80</f>
        <v>8.5337999999999997E-2</v>
      </c>
      <c r="H224" s="233">
        <f>SUM(H221:H223)</f>
        <v>6.8270399999999995E-2</v>
      </c>
      <c r="I224" s="233">
        <f>SUM(I221:I223)</f>
        <v>5.1202799999999993E-2</v>
      </c>
      <c r="J224" s="233">
        <f>SUM(J221:J223)</f>
        <v>3.4135199999999991E-2</v>
      </c>
      <c r="K224" s="233">
        <f>SUM(K221:K223)</f>
        <v>1.7067599999999992E-2</v>
      </c>
      <c r="L224" s="233">
        <f>SUM(L221:L223)</f>
        <v>0</v>
      </c>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f>G230</f>
        <v>1.2666999999999999E-2</v>
      </c>
      <c r="I227" s="229">
        <f>H230</f>
        <v>1.203365E-2</v>
      </c>
      <c r="J227" s="229">
        <f>I230</f>
        <v>1.14003E-2</v>
      </c>
      <c r="K227" s="229">
        <f>J230</f>
        <v>1.0766950000000001E-2</v>
      </c>
      <c r="L227" s="229">
        <f>K230</f>
        <v>1.0133600000000001E-2</v>
      </c>
      <c r="M227" s="50" t="s">
        <v>213</v>
      </c>
    </row>
    <row r="228" spans="1:13" ht="13.5" customHeight="1" outlineLevel="1">
      <c r="A228" s="125"/>
      <c r="C228" s="91" t="s">
        <v>214</v>
      </c>
      <c r="D228" s="118"/>
      <c r="E228" s="118"/>
      <c r="G228" s="154"/>
      <c r="H228" s="230">
        <f>-MIN(H227,H237*$G230)</f>
        <v>-6.3334999999999997E-4</v>
      </c>
      <c r="I228" s="230">
        <f>-MIN(I227,I237*$G230)</f>
        <v>-6.3334999999999997E-4</v>
      </c>
      <c r="J228" s="230">
        <f>-MIN(J227,J237*$G230)</f>
        <v>-6.3334999999999997E-4</v>
      </c>
      <c r="K228" s="230">
        <f>-MIN(K227,K237*$G230)</f>
        <v>-6.3334999999999997E-4</v>
      </c>
      <c r="L228" s="230">
        <f>-MIN(L227,L237*$G230)</f>
        <v>-1.01336E-2</v>
      </c>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f>G81</f>
        <v>1.2666999999999999E-2</v>
      </c>
      <c r="H230" s="233">
        <f>SUM(H227:H229)</f>
        <v>1.203365E-2</v>
      </c>
      <c r="I230" s="233">
        <f>SUM(I227:I229)</f>
        <v>1.14003E-2</v>
      </c>
      <c r="J230" s="233">
        <f>SUM(J227:J229)</f>
        <v>1.0766950000000001E-2</v>
      </c>
      <c r="K230" s="233">
        <f>SUM(K227:K229)</f>
        <v>1.0133600000000001E-2</v>
      </c>
      <c r="L230" s="233">
        <f>SUM(L227:L229)</f>
        <v>0</v>
      </c>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12.001450999999999</v>
      </c>
      <c r="H235" s="238">
        <v>0.2</v>
      </c>
      <c r="I235" s="238">
        <v>0.2</v>
      </c>
      <c r="J235" s="238">
        <v>0.2</v>
      </c>
      <c r="K235" s="238">
        <v>0.2</v>
      </c>
      <c r="L235" s="238">
        <v>0.2</v>
      </c>
      <c r="M235" s="50" t="s">
        <v>224</v>
      </c>
    </row>
    <row r="236" spans="1:13" ht="13.5" customHeight="1" outlineLevel="1">
      <c r="A236" s="125"/>
      <c r="C236" s="68" t="str">
        <f>+C220</f>
        <v>Subordinated - Note 1</v>
      </c>
      <c r="G236" s="152">
        <f>G224</f>
        <v>8.5337999999999997E-2</v>
      </c>
      <c r="H236" s="238">
        <v>0.2</v>
      </c>
      <c r="I236" s="238">
        <v>0.2</v>
      </c>
      <c r="J236" s="238">
        <v>0.2</v>
      </c>
      <c r="K236" s="238">
        <v>0.2</v>
      </c>
      <c r="L236" s="238">
        <v>0.2</v>
      </c>
      <c r="M236" s="50" t="s">
        <v>225</v>
      </c>
    </row>
    <row r="237" spans="1:13" ht="13.5" customHeight="1" outlineLevel="1">
      <c r="A237" s="125"/>
      <c r="C237" s="68" t="str">
        <f>+C226</f>
        <v>Subordinated - Note 2</v>
      </c>
      <c r="G237" s="152">
        <f>G230</f>
        <v>1.2666999999999999E-2</v>
      </c>
      <c r="H237" s="238">
        <v>0.05</v>
      </c>
      <c r="I237" s="238">
        <v>0.05</v>
      </c>
      <c r="J237" s="238">
        <v>0.05</v>
      </c>
      <c r="K237" s="238">
        <v>0.05</v>
      </c>
      <c r="L237" s="238">
        <v>0.8</v>
      </c>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t="s">
        <v>240</v>
      </c>
      <c r="H244" s="247">
        <v>3.7100000000000001E-2</v>
      </c>
      <c r="I244" s="247">
        <v>4.2500000000000003E-2</v>
      </c>
      <c r="J244" s="248">
        <f>I244+H244</f>
        <v>7.9600000000000004E-2</v>
      </c>
      <c r="K244" s="247" t="s">
        <v>241</v>
      </c>
      <c r="L244" s="249">
        <v>1</v>
      </c>
      <c r="M244" s="50" t="s">
        <v>236</v>
      </c>
    </row>
    <row r="245" spans="1:19" ht="13.5" customHeight="1" outlineLevel="1">
      <c r="A245" s="125"/>
      <c r="C245" s="98" t="str">
        <f>+C214</f>
        <v>Term Loan A</v>
      </c>
      <c r="D245" s="118"/>
      <c r="E245" s="118"/>
      <c r="F245" s="246"/>
      <c r="G245" s="247" t="s">
        <v>240</v>
      </c>
      <c r="H245" s="247">
        <v>3.7100000000000001E-2</v>
      </c>
      <c r="I245" s="247">
        <v>4.7500000000000001E-2</v>
      </c>
      <c r="J245" s="248">
        <f>I245+H245</f>
        <v>8.4600000000000009E-2</v>
      </c>
      <c r="K245" s="247" t="s">
        <v>241</v>
      </c>
      <c r="L245" s="249">
        <v>1</v>
      </c>
      <c r="M245" s="50" t="s">
        <v>237</v>
      </c>
    </row>
    <row r="246" spans="1:19" ht="13.5" customHeight="1" outlineLevel="1">
      <c r="A246" s="125"/>
      <c r="C246" s="98" t="str">
        <f>+C220</f>
        <v>Subordinated - Note 1</v>
      </c>
      <c r="D246" s="118"/>
      <c r="E246" s="118"/>
      <c r="F246" s="246"/>
      <c r="G246" s="247" t="s">
        <v>242</v>
      </c>
      <c r="H246" s="247" t="s">
        <v>241</v>
      </c>
      <c r="I246" s="247" t="s">
        <v>241</v>
      </c>
      <c r="J246" s="247" t="s">
        <v>241</v>
      </c>
      <c r="K246" s="247">
        <v>0.12</v>
      </c>
      <c r="L246" s="249">
        <v>1</v>
      </c>
      <c r="M246" s="50" t="s">
        <v>238</v>
      </c>
    </row>
    <row r="247" spans="1:19" ht="13.5" customHeight="1" outlineLevel="1">
      <c r="A247" s="125"/>
      <c r="C247" s="98" t="str">
        <f>+C226</f>
        <v>Subordinated - Note 2</v>
      </c>
      <c r="D247" s="118"/>
      <c r="E247" s="118"/>
      <c r="F247" s="246"/>
      <c r="G247" s="247" t="s">
        <v>242</v>
      </c>
      <c r="H247" s="247" t="s">
        <v>241</v>
      </c>
      <c r="I247" s="247" t="s">
        <v>241</v>
      </c>
      <c r="J247" s="247" t="s">
        <v>241</v>
      </c>
      <c r="K247" s="247">
        <v>0.14499999999999999</v>
      </c>
      <c r="L247" s="249">
        <v>0.5</v>
      </c>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E0BC97E1-F4FE-45B2-A36A-341CA20E6797}">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E58B-E7C2-4888-A568-D3F6C7EB793B}">
  <sheetPr>
    <outlinePr summaryBelow="0"/>
    <pageSetUpPr fitToPage="1"/>
  </sheetPr>
  <dimension ref="A1:S290"/>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243</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H232</f>
        <v>1.2892999999999999</v>
      </c>
      <c r="I78" s="149">
        <f>I232</f>
        <v>1.2892999999999999</v>
      </c>
      <c r="J78" s="149">
        <f>J232</f>
        <v>1.2892999999999999</v>
      </c>
      <c r="K78" s="149">
        <f>K232</f>
        <v>1.2892999999999999</v>
      </c>
      <c r="L78" s="149">
        <f>L232</f>
        <v>1.2892999999999999</v>
      </c>
      <c r="M78" s="50"/>
    </row>
    <row r="79" spans="1:13" ht="13.5" customHeight="1" outlineLevel="1">
      <c r="C79" s="91" t="s">
        <v>42</v>
      </c>
      <c r="D79" s="95"/>
      <c r="E79" s="95"/>
      <c r="F79" s="96">
        <f>'Financials from CIP'!D64/1000</f>
        <v>18.943222000000002</v>
      </c>
      <c r="G79" s="96">
        <f>'Financials from CIP'!E64/1000</f>
        <v>12.001450999999999</v>
      </c>
      <c r="H79" s="149">
        <f>H241</f>
        <v>9.6011607999999988</v>
      </c>
      <c r="I79" s="149">
        <f>I241</f>
        <v>7.2008705999999982</v>
      </c>
      <c r="J79" s="149">
        <f>J241</f>
        <v>4.8005803999999976</v>
      </c>
      <c r="K79" s="149">
        <f>K241</f>
        <v>2.4002901999999975</v>
      </c>
      <c r="L79" s="149">
        <f>L241</f>
        <v>0</v>
      </c>
      <c r="M79" s="50"/>
    </row>
    <row r="80" spans="1:13" ht="13.5" customHeight="1" outlineLevel="1">
      <c r="C80" s="91" t="s">
        <v>90</v>
      </c>
      <c r="D80" s="95"/>
      <c r="E80" s="95"/>
      <c r="F80" s="96">
        <f>'Financials from CIP'!D65/1000</f>
        <v>0.54533299999999996</v>
      </c>
      <c r="G80" s="96">
        <f>'Financials from CIP'!E65/1000</f>
        <v>8.5337999999999997E-2</v>
      </c>
      <c r="H80" s="149">
        <f>H247</f>
        <v>6.8270399999999995E-2</v>
      </c>
      <c r="I80" s="149">
        <f>I247</f>
        <v>5.1202799999999993E-2</v>
      </c>
      <c r="J80" s="149">
        <f>J247</f>
        <v>3.4135199999999991E-2</v>
      </c>
      <c r="K80" s="149">
        <f>K247</f>
        <v>1.7067599999999992E-2</v>
      </c>
      <c r="L80" s="149">
        <f>L247</f>
        <v>0</v>
      </c>
      <c r="M80" s="50"/>
    </row>
    <row r="81" spans="1:13" ht="13.5" customHeight="1" outlineLevel="1">
      <c r="C81" s="91" t="s">
        <v>91</v>
      </c>
      <c r="D81" s="95"/>
      <c r="E81" s="95"/>
      <c r="F81" s="96">
        <f>'Financials from CIP'!D66/1000</f>
        <v>9.2447999999999989E-2</v>
      </c>
      <c r="G81" s="96">
        <f>'Financials from CIP'!E66/1000</f>
        <v>1.2666999999999999E-2</v>
      </c>
      <c r="H81" s="149">
        <f>H253</f>
        <v>1.203365E-2</v>
      </c>
      <c r="I81" s="149">
        <f>I253</f>
        <v>1.14003E-2</v>
      </c>
      <c r="J81" s="149">
        <f>J253</f>
        <v>1.0766950000000001E-2</v>
      </c>
      <c r="K81" s="149">
        <f>K253</f>
        <v>1.0133600000000001E-2</v>
      </c>
      <c r="L81" s="149">
        <f>L253</f>
        <v>0</v>
      </c>
      <c r="M81" s="50"/>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129"/>
      <c r="I113" s="129"/>
      <c r="J113" s="129"/>
      <c r="K113" s="129"/>
      <c r="L113" s="129"/>
      <c r="M113" s="50" t="s">
        <v>244</v>
      </c>
    </row>
    <row r="114" spans="1:13" s="205" customFormat="1" ht="13.5" customHeight="1" outlineLevel="1">
      <c r="A114" s="204"/>
      <c r="C114" s="68" t="str">
        <f>+C79</f>
        <v>Term Loan A</v>
      </c>
      <c r="D114" s="118"/>
      <c r="E114" s="118"/>
      <c r="F114" s="29"/>
      <c r="G114" s="207"/>
      <c r="H114" s="129"/>
      <c r="I114" s="129"/>
      <c r="J114" s="129"/>
      <c r="K114" s="129"/>
      <c r="L114" s="129"/>
      <c r="M114" s="50" t="s">
        <v>245</v>
      </c>
    </row>
    <row r="115" spans="1:13" s="205" customFormat="1" ht="13.5" customHeight="1" outlineLevel="1">
      <c r="A115" s="204"/>
      <c r="C115" s="68" t="str">
        <f>+C80</f>
        <v>Subordinated - Note 1</v>
      </c>
      <c r="D115" s="118"/>
      <c r="E115" s="118"/>
      <c r="F115" s="29"/>
      <c r="G115" s="207"/>
      <c r="H115" s="129"/>
      <c r="I115" s="129"/>
      <c r="J115" s="129"/>
      <c r="K115" s="129"/>
      <c r="L115" s="129"/>
      <c r="M115" s="50" t="s">
        <v>246</v>
      </c>
    </row>
    <row r="116" spans="1:13" s="205" customFormat="1" ht="13.5" customHeight="1" outlineLevel="1">
      <c r="A116" s="204"/>
      <c r="C116" s="68" t="str">
        <f t="shared" ref="C116" si="32">+C81</f>
        <v>Subordinated - Note 2</v>
      </c>
      <c r="D116" s="118"/>
      <c r="E116" s="118"/>
      <c r="F116" s="29"/>
      <c r="G116" s="207"/>
      <c r="H116" s="129"/>
      <c r="I116" s="129"/>
      <c r="J116" s="129"/>
      <c r="K116" s="129"/>
      <c r="L116" s="129"/>
      <c r="M116" s="50" t="s">
        <v>246</v>
      </c>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7'!F13</f>
        <v>0</v>
      </c>
      <c r="G162" s="122">
        <f>'Financials from CIP'!E13/1000-'Step 7'!G13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7'!F15</f>
        <v>0</v>
      </c>
      <c r="G163" s="122">
        <f>'Financials from CIP'!E19/1000-'Step 7'!G15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7'!F18</f>
        <v>0</v>
      </c>
      <c r="G164" s="122">
        <f>'Financials from CIP'!E36/1000-'Step 7'!G18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7'!F33</f>
        <v>0</v>
      </c>
      <c r="G165" s="122">
        <f>'Financials from CIP'!E34/1000-'Step 7'!G33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7'!F60</f>
        <v>0</v>
      </c>
      <c r="G168" s="122">
        <f>'Financials from CIP'!E46/1000-'Step 7'!G60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7'!F64</f>
        <v>0</v>
      </c>
      <c r="G169" s="122">
        <f>'Financials from CIP'!E51/1000-'Step 7'!G64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7'!F70</f>
        <v>0</v>
      </c>
      <c r="G170" s="122">
        <f>'Financials from CIP'!E56/1000-'Step 7'!G70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7'!F77</f>
        <v>0</v>
      </c>
      <c r="G171" s="122">
        <f>'Financials from CIP'!E61/1000-'Step 7'!G77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7'!F84</f>
        <v>0</v>
      </c>
      <c r="G172" s="122">
        <f>'Financials from CIP'!E69/1000-'Step 7'!G84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7'!F85:F86)</f>
        <v>0</v>
      </c>
      <c r="G173" s="122">
        <f>'Financials from CIP'!E73/1000-SUM('Step 7'!G85:G86)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M202" s="50"/>
    </row>
    <row r="203" spans="1:19" ht="13.5" customHeight="1" outlineLevel="1">
      <c r="A203" s="125"/>
      <c r="C203" s="68" t="s">
        <v>247</v>
      </c>
      <c r="D203" s="68"/>
      <c r="E203" s="68"/>
      <c r="F203" s="68"/>
      <c r="G203" s="132"/>
      <c r="H203" s="221"/>
      <c r="I203" s="221"/>
      <c r="J203" s="221"/>
      <c r="K203" s="221"/>
      <c r="L203" s="221"/>
      <c r="M203" s="50" t="s">
        <v>248</v>
      </c>
    </row>
    <row r="204" spans="1:19" ht="13.5" customHeight="1" outlineLevel="1">
      <c r="A204" s="125"/>
      <c r="C204" s="68" t="s">
        <v>249</v>
      </c>
      <c r="D204" s="68"/>
      <c r="E204" s="68"/>
      <c r="F204" s="68"/>
      <c r="G204" s="250"/>
      <c r="H204" s="130"/>
      <c r="I204" s="130"/>
      <c r="J204" s="130"/>
      <c r="K204" s="130"/>
      <c r="L204" s="130"/>
      <c r="M204" s="50" t="s">
        <v>250</v>
      </c>
    </row>
    <row r="205" spans="1:19" ht="13.5" customHeight="1" outlineLevel="1">
      <c r="A205" s="125"/>
      <c r="C205" s="65" t="s">
        <v>251</v>
      </c>
      <c r="D205" s="65"/>
      <c r="E205" s="65"/>
      <c r="F205" s="65"/>
      <c r="G205" s="197"/>
      <c r="H205" s="251"/>
      <c r="I205" s="251"/>
      <c r="J205" s="251"/>
      <c r="K205" s="251"/>
      <c r="L205" s="251"/>
      <c r="M205" s="50" t="s">
        <v>252</v>
      </c>
    </row>
    <row r="206" spans="1:19" ht="13.5" customHeight="1" outlineLevel="1">
      <c r="A206" s="125"/>
      <c r="C206" s="68" t="s">
        <v>253</v>
      </c>
      <c r="D206" s="68"/>
      <c r="E206" s="68"/>
      <c r="F206" s="68"/>
      <c r="G206" s="250"/>
      <c r="H206" s="129"/>
      <c r="I206" s="129"/>
      <c r="J206" s="129"/>
      <c r="K206" s="129"/>
      <c r="L206" s="129"/>
      <c r="M206" s="50" t="s">
        <v>254</v>
      </c>
    </row>
    <row r="207" spans="1:19" ht="13.5" customHeight="1" outlineLevel="1">
      <c r="A207" s="125"/>
      <c r="C207" s="70" t="s">
        <v>255</v>
      </c>
      <c r="D207" s="70"/>
      <c r="E207" s="70"/>
      <c r="F207" s="70"/>
      <c r="G207" s="252"/>
      <c r="H207" s="253"/>
      <c r="I207" s="253"/>
      <c r="J207" s="253"/>
      <c r="K207" s="253"/>
      <c r="L207" s="253"/>
      <c r="M207" s="50" t="s">
        <v>256</v>
      </c>
    </row>
    <row r="208" spans="1:19" ht="5.0999999999999996" customHeight="1" outlineLevel="1">
      <c r="A208" s="125"/>
      <c r="C208" s="68"/>
      <c r="D208" s="68"/>
      <c r="E208" s="68"/>
      <c r="F208" s="68"/>
      <c r="G208" s="154"/>
      <c r="H208" s="151"/>
      <c r="I208" s="151"/>
      <c r="J208" s="151"/>
      <c r="K208" s="151"/>
      <c r="L208" s="151"/>
    </row>
    <row r="209" spans="1:13" ht="13.5" customHeight="1" outlineLevel="1">
      <c r="A209" s="125"/>
      <c r="C209" s="72" t="s">
        <v>257</v>
      </c>
      <c r="D209" s="68"/>
      <c r="E209" s="68"/>
      <c r="F209" s="68"/>
      <c r="G209" s="154"/>
      <c r="H209" s="151"/>
      <c r="I209" s="151"/>
      <c r="J209" s="151"/>
      <c r="K209" s="151"/>
      <c r="L209" s="151"/>
    </row>
    <row r="210" spans="1:13" ht="13.5" customHeight="1" outlineLevel="1">
      <c r="A210" s="125"/>
      <c r="C210" s="91" t="str">
        <f>+C237</f>
        <v>Term Loan A</v>
      </c>
      <c r="D210" s="118"/>
      <c r="E210" s="118"/>
      <c r="G210" s="250"/>
      <c r="H210" s="129"/>
      <c r="I210" s="129"/>
      <c r="J210" s="129"/>
      <c r="K210" s="129"/>
      <c r="L210" s="129"/>
      <c r="M210" s="50" t="s">
        <v>258</v>
      </c>
    </row>
    <row r="211" spans="1:13" ht="13.5" customHeight="1" outlineLevel="1">
      <c r="A211" s="125"/>
      <c r="C211" s="91" t="str">
        <f>+C243</f>
        <v>Subordinated - Note 1</v>
      </c>
      <c r="D211" s="118"/>
      <c r="E211" s="118"/>
      <c r="G211" s="250"/>
      <c r="H211" s="129"/>
      <c r="I211" s="129"/>
      <c r="J211" s="129"/>
      <c r="K211" s="129"/>
      <c r="L211" s="129"/>
      <c r="M211" s="50" t="s">
        <v>259</v>
      </c>
    </row>
    <row r="212" spans="1:13" ht="13.5" customHeight="1" outlineLevel="1">
      <c r="A212" s="125"/>
      <c r="C212" s="91" t="str">
        <f>+C249</f>
        <v>Subordinated - Note 2</v>
      </c>
      <c r="D212" s="118"/>
      <c r="E212" s="118"/>
      <c r="G212" s="250"/>
      <c r="H212" s="129"/>
      <c r="I212" s="129"/>
      <c r="J212" s="129"/>
      <c r="K212" s="129"/>
      <c r="L212" s="129"/>
      <c r="M212" s="50" t="s">
        <v>260</v>
      </c>
    </row>
    <row r="213" spans="1:13" ht="13.5" customHeight="1" outlineLevel="1">
      <c r="A213" s="125"/>
      <c r="C213" s="65" t="s">
        <v>261</v>
      </c>
      <c r="D213" s="65"/>
      <c r="E213" s="65"/>
      <c r="F213" s="65"/>
      <c r="G213" s="197"/>
      <c r="H213" s="251"/>
      <c r="I213" s="251"/>
      <c r="J213" s="251"/>
      <c r="K213" s="251"/>
      <c r="L213" s="251"/>
      <c r="M213" s="50" t="s">
        <v>262</v>
      </c>
    </row>
    <row r="214" spans="1:13" ht="13.5" customHeight="1" outlineLevel="1">
      <c r="A214" s="125"/>
      <c r="C214" s="180" t="s">
        <v>263</v>
      </c>
      <c r="D214" s="180"/>
      <c r="E214" s="180"/>
      <c r="F214" s="180"/>
      <c r="G214" s="199"/>
      <c r="H214" s="254"/>
      <c r="I214" s="254"/>
      <c r="J214" s="254"/>
      <c r="K214" s="254"/>
      <c r="L214" s="254"/>
      <c r="M214" s="50" t="s">
        <v>264</v>
      </c>
    </row>
    <row r="215" spans="1:13" ht="13.5" customHeight="1" outlineLevel="1">
      <c r="A215" s="125"/>
      <c r="C215" s="59"/>
      <c r="D215" s="59"/>
      <c r="E215" s="59"/>
      <c r="F215" s="60"/>
      <c r="G215" s="60"/>
      <c r="H215" s="255"/>
      <c r="I215" s="255"/>
      <c r="J215" s="255"/>
      <c r="K215" s="255"/>
      <c r="L215" s="256"/>
    </row>
    <row r="216" spans="1:13" ht="13.5" customHeight="1" outlineLevel="1">
      <c r="A216" s="125"/>
      <c r="C216" s="68" t="s">
        <v>265</v>
      </c>
      <c r="D216" s="59"/>
      <c r="E216" s="59"/>
      <c r="F216" s="60"/>
      <c r="G216" s="60"/>
      <c r="H216" s="129"/>
      <c r="I216" s="129"/>
      <c r="J216" s="129"/>
      <c r="K216" s="129"/>
      <c r="L216" s="129"/>
      <c r="M216" s="50" t="s">
        <v>266</v>
      </c>
    </row>
    <row r="217" spans="1:13" ht="13.5" customHeight="1" outlineLevel="1">
      <c r="A217" s="125"/>
      <c r="C217" s="59"/>
      <c r="D217" s="59"/>
      <c r="E217" s="59"/>
      <c r="F217" s="60"/>
      <c r="G217" s="60"/>
      <c r="H217" s="129"/>
      <c r="I217" s="129"/>
      <c r="J217" s="129"/>
      <c r="K217" s="129"/>
      <c r="L217" s="129"/>
    </row>
    <row r="218" spans="1:13" ht="13.5" customHeight="1" outlineLevel="1">
      <c r="A218" s="125"/>
      <c r="C218" s="72" t="s">
        <v>267</v>
      </c>
      <c r="D218" s="68"/>
      <c r="E218" s="68"/>
      <c r="F218" s="68"/>
      <c r="G218" s="147"/>
      <c r="H218" s="129"/>
      <c r="I218" s="129"/>
      <c r="J218" s="129"/>
      <c r="K218" s="129"/>
      <c r="L218" s="129"/>
    </row>
    <row r="219" spans="1:13" ht="13.5" customHeight="1" outlineLevel="1">
      <c r="A219" s="125"/>
      <c r="C219" s="68" t="s">
        <v>268</v>
      </c>
      <c r="D219" s="68"/>
      <c r="E219" s="68"/>
      <c r="F219" s="68"/>
      <c r="G219" s="132"/>
      <c r="H219" s="129"/>
      <c r="I219" s="129"/>
      <c r="J219" s="129"/>
      <c r="K219" s="129"/>
      <c r="L219" s="129"/>
      <c r="M219" s="50" t="s">
        <v>269</v>
      </c>
    </row>
    <row r="220" spans="1:13" ht="13.5" customHeight="1" outlineLevel="1">
      <c r="A220" s="125"/>
      <c r="C220" s="68" t="str">
        <f>+C210</f>
        <v>Term Loan A</v>
      </c>
      <c r="D220" s="68"/>
      <c r="E220" s="68"/>
      <c r="F220" s="68"/>
      <c r="G220" s="154"/>
      <c r="H220" s="129"/>
      <c r="I220" s="129"/>
      <c r="J220" s="129"/>
      <c r="K220" s="129"/>
      <c r="L220" s="129"/>
      <c r="M220" s="50" t="s">
        <v>270</v>
      </c>
    </row>
    <row r="221" spans="1:13" ht="13.5" customHeight="1" outlineLevel="1">
      <c r="A221" s="125"/>
      <c r="C221" s="68" t="str">
        <f>+C211</f>
        <v>Subordinated - Note 1</v>
      </c>
      <c r="D221" s="68"/>
      <c r="E221" s="68"/>
      <c r="F221" s="68"/>
      <c r="G221" s="154"/>
      <c r="H221" s="129"/>
      <c r="I221" s="129"/>
      <c r="J221" s="129"/>
      <c r="K221" s="129"/>
      <c r="L221" s="129"/>
      <c r="M221" s="50" t="s">
        <v>271</v>
      </c>
    </row>
    <row r="222" spans="1:13" ht="13.5" customHeight="1" outlineLevel="1">
      <c r="A222" s="125"/>
      <c r="C222" s="68" t="str">
        <f>+C212</f>
        <v>Subordinated - Note 2</v>
      </c>
      <c r="D222" s="68"/>
      <c r="E222" s="68"/>
      <c r="F222" s="68"/>
      <c r="G222" s="154"/>
      <c r="H222" s="129"/>
      <c r="I222" s="129"/>
      <c r="J222" s="129"/>
      <c r="K222" s="129"/>
      <c r="L222" s="129"/>
      <c r="M222" s="50" t="s">
        <v>272</v>
      </c>
    </row>
    <row r="223" spans="1:13" ht="13.5" customHeight="1" outlineLevel="1">
      <c r="A223" s="125"/>
      <c r="C223" s="65" t="s">
        <v>273</v>
      </c>
      <c r="D223" s="65"/>
      <c r="E223" s="65"/>
      <c r="F223" s="65"/>
      <c r="G223" s="257"/>
      <c r="H223" s="251"/>
      <c r="I223" s="251"/>
      <c r="J223" s="251"/>
      <c r="K223" s="251"/>
      <c r="L223" s="251"/>
      <c r="M223" s="50" t="s">
        <v>274</v>
      </c>
    </row>
    <row r="224" spans="1:13" ht="13.5" customHeight="1" outlineLevel="1">
      <c r="A224" s="125"/>
      <c r="C224" s="258"/>
      <c r="D224" s="53"/>
      <c r="E224" s="53"/>
      <c r="F224" s="259"/>
      <c r="G224" s="259"/>
      <c r="H224" s="259"/>
      <c r="I224" s="259"/>
      <c r="J224" s="259"/>
      <c r="K224" s="259"/>
      <c r="L224" s="259"/>
    </row>
    <row r="225" spans="1:13" ht="5.0999999999999996" customHeight="1" outlineLevel="1">
      <c r="A225" s="125"/>
      <c r="C225" s="59"/>
      <c r="D225" s="59"/>
      <c r="E225" s="59"/>
      <c r="F225" s="60"/>
      <c r="G225" s="60"/>
      <c r="H225" s="60"/>
      <c r="I225" s="60"/>
      <c r="J225" s="60"/>
      <c r="K225" s="60"/>
    </row>
    <row r="226" spans="1:13" ht="13.5" customHeight="1" outlineLevel="1">
      <c r="A226" s="125"/>
      <c r="C226" s="84" t="s">
        <v>201</v>
      </c>
      <c r="D226" s="85"/>
      <c r="E226" s="86"/>
      <c r="F226" s="86"/>
      <c r="G226" s="86"/>
      <c r="H226" s="86"/>
      <c r="I226" s="86"/>
      <c r="J226" s="86"/>
      <c r="K226" s="86"/>
      <c r="L226" s="87"/>
    </row>
    <row r="227" spans="1:13" ht="13.5" customHeight="1" outlineLevel="1">
      <c r="A227" s="125"/>
      <c r="M227" s="30"/>
    </row>
    <row r="228" spans="1:13" ht="13.5" customHeight="1" outlineLevel="1">
      <c r="A228" s="125"/>
      <c r="C228" s="216" t="str">
        <f>+C113</f>
        <v>Revolver</v>
      </c>
      <c r="D228" s="217"/>
      <c r="E228" s="217"/>
      <c r="F228" s="218"/>
      <c r="G228" s="219"/>
      <c r="H228" s="220"/>
      <c r="I228" s="220"/>
      <c r="J228" s="220"/>
      <c r="K228" s="220"/>
      <c r="L228" s="220"/>
    </row>
    <row r="229" spans="1:13" ht="13.5" customHeight="1" outlineLevel="1">
      <c r="A229" s="125"/>
      <c r="C229" s="98" t="s">
        <v>202</v>
      </c>
      <c r="D229" s="118"/>
      <c r="E229" s="118"/>
      <c r="G229" s="149"/>
      <c r="H229" s="152">
        <f>G232</f>
        <v>1.2892999999999999</v>
      </c>
      <c r="I229" s="152">
        <f>H232</f>
        <v>1.2892999999999999</v>
      </c>
      <c r="J229" s="152">
        <f>I232</f>
        <v>1.2892999999999999</v>
      </c>
      <c r="K229" s="152">
        <f>J232</f>
        <v>1.2892999999999999</v>
      </c>
      <c r="L229" s="152">
        <f>K232</f>
        <v>1.2892999999999999</v>
      </c>
      <c r="M229" s="50"/>
    </row>
    <row r="230" spans="1:13" ht="13.5" customHeight="1" outlineLevel="1">
      <c r="A230" s="125"/>
      <c r="C230" s="91" t="s">
        <v>204</v>
      </c>
      <c r="D230" s="118"/>
      <c r="E230" s="118"/>
      <c r="G230" s="149"/>
      <c r="H230" s="129"/>
      <c r="I230" s="129"/>
      <c r="J230" s="129"/>
      <c r="K230" s="129"/>
      <c r="L230" s="129"/>
      <c r="M230" s="50" t="s">
        <v>275</v>
      </c>
    </row>
    <row r="231" spans="1:13" ht="13.5" customHeight="1" outlineLevel="1">
      <c r="A231" s="125"/>
      <c r="C231" s="91" t="s">
        <v>206</v>
      </c>
      <c r="D231" s="118"/>
      <c r="E231" s="118"/>
      <c r="G231" s="149"/>
      <c r="H231" s="129"/>
      <c r="I231" s="129"/>
      <c r="J231" s="129"/>
      <c r="K231" s="129"/>
      <c r="L231" s="129"/>
      <c r="M231" s="50" t="s">
        <v>276</v>
      </c>
    </row>
    <row r="232" spans="1:13" ht="13.5" customHeight="1" outlineLevel="1">
      <c r="A232" s="125"/>
      <c r="C232" s="65" t="s">
        <v>207</v>
      </c>
      <c r="D232" s="65"/>
      <c r="E232" s="65"/>
      <c r="F232" s="65"/>
      <c r="G232" s="260">
        <f>G78</f>
        <v>1.2892999999999999</v>
      </c>
      <c r="H232" s="260">
        <f>SUM(H229:H231)</f>
        <v>1.2892999999999999</v>
      </c>
      <c r="I232" s="260">
        <f>SUM(I229:I231)</f>
        <v>1.2892999999999999</v>
      </c>
      <c r="J232" s="260">
        <f>SUM(J229:J231)</f>
        <v>1.2892999999999999</v>
      </c>
      <c r="K232" s="260">
        <f>SUM(K229:K231)</f>
        <v>1.2892999999999999</v>
      </c>
      <c r="L232" s="260">
        <f>SUM(L229:L231)</f>
        <v>1.2892999999999999</v>
      </c>
      <c r="M232" s="50"/>
    </row>
    <row r="233" spans="1:13" ht="13.5" customHeight="1" outlineLevel="1">
      <c r="A233" s="125"/>
      <c r="C233" s="68"/>
      <c r="D233" s="68"/>
      <c r="E233" s="68"/>
      <c r="F233" s="68"/>
      <c r="G233" s="147"/>
      <c r="H233" s="154"/>
      <c r="I233" s="68"/>
      <c r="J233" s="68"/>
      <c r="K233" s="68"/>
      <c r="L233" s="68"/>
    </row>
    <row r="234" spans="1:13" ht="13.5" customHeight="1" outlineLevel="1">
      <c r="A234" s="125"/>
      <c r="C234" s="68" t="s">
        <v>209</v>
      </c>
      <c r="D234" s="68"/>
      <c r="E234" s="68"/>
      <c r="F234" s="68"/>
      <c r="G234" s="159">
        <v>30</v>
      </c>
      <c r="H234" s="159">
        <v>30</v>
      </c>
      <c r="I234" s="159">
        <v>30</v>
      </c>
      <c r="J234" s="159">
        <v>30</v>
      </c>
      <c r="K234" s="159">
        <v>30</v>
      </c>
      <c r="L234" s="159">
        <v>30</v>
      </c>
      <c r="M234" s="50"/>
    </row>
    <row r="235" spans="1:13" ht="13.5" customHeight="1" outlineLevel="1">
      <c r="A235" s="125"/>
      <c r="C235" s="98" t="s">
        <v>211</v>
      </c>
      <c r="D235" s="223"/>
      <c r="E235" s="223"/>
      <c r="F235" s="223"/>
      <c r="G235" s="177">
        <f t="shared" ref="G235:L235" si="54">G234-G232</f>
        <v>28.710699999999999</v>
      </c>
      <c r="H235" s="177">
        <f t="shared" si="54"/>
        <v>28.710699999999999</v>
      </c>
      <c r="I235" s="177">
        <f t="shared" si="54"/>
        <v>28.710699999999999</v>
      </c>
      <c r="J235" s="177">
        <f t="shared" si="54"/>
        <v>28.710699999999999</v>
      </c>
      <c r="K235" s="177">
        <f t="shared" si="54"/>
        <v>28.710699999999999</v>
      </c>
      <c r="L235" s="177">
        <f t="shared" si="54"/>
        <v>28.710699999999999</v>
      </c>
      <c r="M235" s="50"/>
    </row>
    <row r="236" spans="1:13" ht="13.5" customHeight="1" outlineLevel="1">
      <c r="A236" s="125"/>
      <c r="C236" s="68"/>
      <c r="G236" s="68"/>
      <c r="H236" s="68"/>
      <c r="I236" s="68"/>
      <c r="J236" s="68"/>
      <c r="K236" s="68"/>
      <c r="L236" s="68"/>
    </row>
    <row r="237" spans="1:13" ht="13.5" customHeight="1" outlineLevel="1">
      <c r="A237" s="125"/>
      <c r="C237" s="216" t="str">
        <f>+C114</f>
        <v>Term Loan A</v>
      </c>
      <c r="D237" s="217"/>
      <c r="E237" s="217"/>
      <c r="F237" s="218"/>
      <c r="G237" s="219"/>
      <c r="H237" s="224"/>
      <c r="I237" s="224"/>
      <c r="J237" s="225"/>
      <c r="K237" s="225"/>
      <c r="L237" s="225"/>
    </row>
    <row r="238" spans="1:13" ht="13.5" customHeight="1" outlineLevel="1">
      <c r="A238" s="125"/>
      <c r="C238" s="98" t="s">
        <v>202</v>
      </c>
      <c r="D238" s="118"/>
      <c r="E238" s="118"/>
      <c r="G238" s="149"/>
      <c r="H238" s="152">
        <f>G241</f>
        <v>12.001450999999999</v>
      </c>
      <c r="I238" s="152">
        <f>H241</f>
        <v>9.6011607999999988</v>
      </c>
      <c r="J238" s="152">
        <f>I241</f>
        <v>7.2008705999999982</v>
      </c>
      <c r="K238" s="152">
        <f>J241</f>
        <v>4.8005803999999976</v>
      </c>
      <c r="L238" s="152">
        <f>K241</f>
        <v>2.4002901999999975</v>
      </c>
      <c r="M238" s="50"/>
    </row>
    <row r="239" spans="1:13" ht="13.5" customHeight="1" outlineLevel="1">
      <c r="A239" s="125"/>
      <c r="C239" s="91" t="s">
        <v>214</v>
      </c>
      <c r="D239" s="118"/>
      <c r="E239" s="118"/>
      <c r="G239" s="149"/>
      <c r="H239" s="177">
        <f>-MIN(($G241*H258),H238)</f>
        <v>-2.4002902000000002</v>
      </c>
      <c r="I239" s="177">
        <f>-MIN(($G241*I258),I238)</f>
        <v>-2.4002902000000002</v>
      </c>
      <c r="J239" s="177">
        <f>-MIN(($G241*J258),J238)</f>
        <v>-2.4002902000000002</v>
      </c>
      <c r="K239" s="177">
        <f>-MIN(($G241*K258),K238)</f>
        <v>-2.4002902000000002</v>
      </c>
      <c r="L239" s="177">
        <f>-MIN(($G241*L258),L238)</f>
        <v>-2.4002901999999975</v>
      </c>
      <c r="M239" s="50"/>
    </row>
    <row r="240" spans="1:13" ht="13.5" customHeight="1" outlineLevel="1">
      <c r="A240" s="125"/>
      <c r="C240" s="91" t="s">
        <v>216</v>
      </c>
      <c r="D240" s="118"/>
      <c r="E240" s="118"/>
      <c r="G240" s="149"/>
      <c r="H240" s="165"/>
      <c r="I240" s="165"/>
      <c r="J240" s="165"/>
      <c r="K240" s="165"/>
      <c r="L240" s="165"/>
      <c r="M240" s="50" t="s">
        <v>277</v>
      </c>
    </row>
    <row r="241" spans="1:13" ht="13.5" customHeight="1" outlineLevel="1">
      <c r="A241" s="125"/>
      <c r="C241" s="65" t="s">
        <v>207</v>
      </c>
      <c r="D241" s="65"/>
      <c r="E241" s="65"/>
      <c r="F241" s="65"/>
      <c r="G241" s="260">
        <f>G79</f>
        <v>12.001450999999999</v>
      </c>
      <c r="H241" s="261">
        <f>SUM(H238:H240)</f>
        <v>9.6011607999999988</v>
      </c>
      <c r="I241" s="261">
        <f>SUM(I238:I240)</f>
        <v>7.2008705999999982</v>
      </c>
      <c r="J241" s="261">
        <f>SUM(J238:J240)</f>
        <v>4.8005803999999976</v>
      </c>
      <c r="K241" s="261">
        <f>SUM(K238:K240)</f>
        <v>2.4002901999999975</v>
      </c>
      <c r="L241" s="261">
        <f>SUM(L238:L240)</f>
        <v>0</v>
      </c>
      <c r="M241" s="50"/>
    </row>
    <row r="242" spans="1:13" ht="13.5" customHeight="1" outlineLevel="1">
      <c r="A242" s="125"/>
      <c r="C242" s="68"/>
      <c r="G242" s="68"/>
      <c r="H242" s="68"/>
      <c r="I242" s="68"/>
      <c r="J242" s="68"/>
      <c r="K242" s="68"/>
      <c r="L242" s="68"/>
    </row>
    <row r="243" spans="1:13" ht="13.5" customHeight="1" outlineLevel="1">
      <c r="A243" s="125"/>
      <c r="C243" s="216" t="str">
        <f>+C115</f>
        <v>Subordinated - Note 1</v>
      </c>
      <c r="D243" s="217"/>
      <c r="E243" s="217"/>
      <c r="F243" s="218"/>
      <c r="G243" s="219"/>
      <c r="H243" s="224"/>
      <c r="I243" s="224"/>
      <c r="J243" s="225"/>
      <c r="K243" s="225"/>
      <c r="L243" s="225"/>
    </row>
    <row r="244" spans="1:13" ht="13.5" customHeight="1" outlineLevel="1">
      <c r="A244" s="125"/>
      <c r="C244" s="98" t="s">
        <v>202</v>
      </c>
      <c r="D244" s="118"/>
      <c r="E244" s="118"/>
      <c r="G244" s="228"/>
      <c r="H244" s="228">
        <f>G247</f>
        <v>8.5337999999999997E-2</v>
      </c>
      <c r="I244" s="228">
        <f>H247</f>
        <v>6.8270399999999995E-2</v>
      </c>
      <c r="J244" s="228">
        <f>I247</f>
        <v>5.1202799999999993E-2</v>
      </c>
      <c r="K244" s="228">
        <f>J247</f>
        <v>3.4135199999999991E-2</v>
      </c>
      <c r="L244" s="228">
        <f>K247</f>
        <v>1.7067599999999992E-2</v>
      </c>
      <c r="M244" s="50"/>
    </row>
    <row r="245" spans="1:13" ht="13.5" customHeight="1" outlineLevel="1">
      <c r="A245" s="125"/>
      <c r="C245" s="91" t="s">
        <v>214</v>
      </c>
      <c r="D245" s="118"/>
      <c r="E245" s="118"/>
      <c r="G245" s="154"/>
      <c r="H245" s="177">
        <f>-MIN(H244,(H259*$G247))</f>
        <v>-1.7067599999999999E-2</v>
      </c>
      <c r="I245" s="177">
        <f>-MIN(I244,(I259*$G247))</f>
        <v>-1.7067599999999999E-2</v>
      </c>
      <c r="J245" s="177">
        <f>-MIN(J244,(J259*$G247))</f>
        <v>-1.7067599999999999E-2</v>
      </c>
      <c r="K245" s="177">
        <f>-MIN(K244,(K259*$G247))</f>
        <v>-1.7067599999999999E-2</v>
      </c>
      <c r="L245" s="177">
        <f>-MIN(L244,(L259*$G247))</f>
        <v>-1.7067599999999992E-2</v>
      </c>
      <c r="M245" s="50"/>
    </row>
    <row r="246" spans="1:13" ht="13.5" customHeight="1" outlineLevel="1">
      <c r="A246" s="125"/>
      <c r="C246" s="91" t="s">
        <v>216</v>
      </c>
      <c r="D246" s="118"/>
      <c r="E246" s="118"/>
      <c r="G246" s="154"/>
      <c r="H246" s="165"/>
      <c r="I246" s="165"/>
      <c r="J246" s="165"/>
      <c r="K246" s="165"/>
      <c r="L246" s="165"/>
      <c r="M246" s="50" t="s">
        <v>278</v>
      </c>
    </row>
    <row r="247" spans="1:13" ht="13.5" customHeight="1" outlineLevel="1">
      <c r="A247" s="125"/>
      <c r="C247" s="65" t="s">
        <v>207</v>
      </c>
      <c r="D247" s="65"/>
      <c r="E247" s="65"/>
      <c r="F247" s="65"/>
      <c r="G247" s="257">
        <f>G80</f>
        <v>8.5337999999999997E-2</v>
      </c>
      <c r="H247" s="262">
        <f>SUM(H244:H246)</f>
        <v>6.8270399999999995E-2</v>
      </c>
      <c r="I247" s="262">
        <f>SUM(I244:I246)</f>
        <v>5.1202799999999993E-2</v>
      </c>
      <c r="J247" s="262">
        <f>SUM(J244:J246)</f>
        <v>3.4135199999999991E-2</v>
      </c>
      <c r="K247" s="262">
        <f>SUM(K244:K246)</f>
        <v>1.7067599999999992E-2</v>
      </c>
      <c r="L247" s="262">
        <f>SUM(L244:L246)</f>
        <v>0</v>
      </c>
      <c r="M247" s="50"/>
    </row>
    <row r="248" spans="1:13" ht="13.5" customHeight="1" outlineLevel="1">
      <c r="A248" s="125"/>
      <c r="C248" s="68"/>
      <c r="G248" s="68"/>
      <c r="H248" s="68"/>
      <c r="I248" s="68"/>
      <c r="J248" s="68"/>
      <c r="K248" s="68"/>
      <c r="L248" s="68"/>
    </row>
    <row r="249" spans="1:13" ht="13.5" customHeight="1" outlineLevel="1">
      <c r="A249" s="125"/>
      <c r="C249" s="216" t="str">
        <f>+C116</f>
        <v>Subordinated - Note 2</v>
      </c>
      <c r="D249" s="217"/>
      <c r="E249" s="217"/>
      <c r="F249" s="218"/>
      <c r="G249" s="219"/>
      <c r="H249" s="224"/>
      <c r="I249" s="224"/>
      <c r="J249" s="225"/>
      <c r="K249" s="225"/>
      <c r="L249" s="225"/>
    </row>
    <row r="250" spans="1:13" ht="13.5" customHeight="1" outlineLevel="1">
      <c r="A250" s="125"/>
      <c r="C250" s="98" t="s">
        <v>202</v>
      </c>
      <c r="D250" s="118"/>
      <c r="E250" s="118"/>
      <c r="G250" s="228"/>
      <c r="H250" s="228">
        <f>G253</f>
        <v>1.2666999999999999E-2</v>
      </c>
      <c r="I250" s="228">
        <f>H253</f>
        <v>1.203365E-2</v>
      </c>
      <c r="J250" s="228">
        <f>I253</f>
        <v>1.14003E-2</v>
      </c>
      <c r="K250" s="228">
        <f>J253</f>
        <v>1.0766950000000001E-2</v>
      </c>
      <c r="L250" s="228">
        <f>K253</f>
        <v>1.0133600000000001E-2</v>
      </c>
      <c r="M250" s="50"/>
    </row>
    <row r="251" spans="1:13" ht="13.5" customHeight="1" outlineLevel="1">
      <c r="A251" s="125"/>
      <c r="C251" s="91" t="s">
        <v>214</v>
      </c>
      <c r="D251" s="118"/>
      <c r="E251" s="118"/>
      <c r="G251" s="154"/>
      <c r="H251" s="177">
        <f>-MIN(H250,H260*$G253)</f>
        <v>-6.3334999999999997E-4</v>
      </c>
      <c r="I251" s="177">
        <f>-MIN(I250,I260*$G253)</f>
        <v>-6.3334999999999997E-4</v>
      </c>
      <c r="J251" s="177">
        <f>-MIN(J250,J260*$G253)</f>
        <v>-6.3334999999999997E-4</v>
      </c>
      <c r="K251" s="177">
        <f>-MIN(K250,K260*$G253)</f>
        <v>-6.3334999999999997E-4</v>
      </c>
      <c r="L251" s="177">
        <f>-MIN(L250,L260*$G253)</f>
        <v>-1.01336E-2</v>
      </c>
      <c r="M251" s="50"/>
    </row>
    <row r="252" spans="1:13" ht="13.5" customHeight="1" outlineLevel="1">
      <c r="A252" s="125"/>
      <c r="C252" s="91" t="s">
        <v>216</v>
      </c>
      <c r="D252" s="118"/>
      <c r="E252" s="118"/>
      <c r="G252" s="154"/>
      <c r="H252" s="165"/>
      <c r="I252" s="165"/>
      <c r="J252" s="165"/>
      <c r="K252" s="165"/>
      <c r="L252" s="165"/>
      <c r="M252" s="50" t="s">
        <v>279</v>
      </c>
    </row>
    <row r="253" spans="1:13" ht="13.5" customHeight="1" outlineLevel="1">
      <c r="A253" s="125"/>
      <c r="C253" s="65" t="s">
        <v>207</v>
      </c>
      <c r="D253" s="65"/>
      <c r="E253" s="65"/>
      <c r="F253" s="65"/>
      <c r="G253" s="257">
        <f>G81</f>
        <v>1.2666999999999999E-2</v>
      </c>
      <c r="H253" s="262">
        <f>SUM(H250:H252)</f>
        <v>1.203365E-2</v>
      </c>
      <c r="I253" s="262">
        <f>SUM(I250:I252)</f>
        <v>1.14003E-2</v>
      </c>
      <c r="J253" s="262">
        <f>SUM(J250:J252)</f>
        <v>1.0766950000000001E-2</v>
      </c>
      <c r="K253" s="262">
        <f>SUM(K250:K252)</f>
        <v>1.0133600000000001E-2</v>
      </c>
      <c r="L253" s="262">
        <f>SUM(L250:L252)</f>
        <v>0</v>
      </c>
      <c r="M253" s="50"/>
    </row>
    <row r="254" spans="1:13" ht="13.5" customHeight="1" outlineLevel="1">
      <c r="A254" s="125"/>
      <c r="C254" s="68"/>
      <c r="G254" s="68"/>
      <c r="H254" s="68"/>
      <c r="I254" s="68"/>
      <c r="J254" s="68"/>
      <c r="K254" s="68"/>
      <c r="L254" s="68"/>
    </row>
    <row r="255" spans="1:13" ht="13.5" customHeight="1" outlineLevel="1">
      <c r="A255" s="125"/>
      <c r="C255" s="84" t="s">
        <v>221</v>
      </c>
      <c r="D255" s="85"/>
      <c r="E255" s="86"/>
      <c r="F255" s="86"/>
      <c r="G255" s="234" t="s">
        <v>222</v>
      </c>
      <c r="H255" s="86"/>
      <c r="I255" s="86"/>
      <c r="J255" s="86"/>
      <c r="K255" s="86"/>
      <c r="L255" s="87"/>
    </row>
    <row r="256" spans="1:13" ht="13.5" customHeight="1" outlineLevel="1">
      <c r="A256" s="125"/>
      <c r="C256" s="68"/>
    </row>
    <row r="257" spans="1:13" ht="13.5" customHeight="1" outlineLevel="1">
      <c r="A257" s="125"/>
      <c r="C257" s="68"/>
      <c r="G257" s="235" t="s">
        <v>222</v>
      </c>
      <c r="H257" s="236" t="s">
        <v>223</v>
      </c>
      <c r="I257" s="237"/>
      <c r="J257" s="237"/>
      <c r="K257" s="237"/>
      <c r="L257" s="237"/>
    </row>
    <row r="258" spans="1:13" ht="13.5" customHeight="1" outlineLevel="1">
      <c r="A258" s="125"/>
      <c r="C258" s="68" t="str">
        <f>+C237</f>
        <v>Term Loan A</v>
      </c>
      <c r="G258" s="152">
        <f>G241</f>
        <v>12.001450999999999</v>
      </c>
      <c r="H258" s="263">
        <v>0.2</v>
      </c>
      <c r="I258" s="263">
        <v>0.2</v>
      </c>
      <c r="J258" s="263">
        <v>0.2</v>
      </c>
      <c r="K258" s="263">
        <v>0.2</v>
      </c>
      <c r="L258" s="263">
        <v>0.2</v>
      </c>
      <c r="M258" s="50"/>
    </row>
    <row r="259" spans="1:13" ht="13.5" customHeight="1" outlineLevel="1">
      <c r="A259" s="125"/>
      <c r="C259" s="68" t="str">
        <f>+C243</f>
        <v>Subordinated - Note 1</v>
      </c>
      <c r="G259" s="152">
        <f>G247</f>
        <v>8.5337999999999997E-2</v>
      </c>
      <c r="H259" s="263">
        <v>0.2</v>
      </c>
      <c r="I259" s="263">
        <v>0.2</v>
      </c>
      <c r="J259" s="263">
        <v>0.2</v>
      </c>
      <c r="K259" s="263">
        <v>0.2</v>
      </c>
      <c r="L259" s="263">
        <v>0.2</v>
      </c>
      <c r="M259" s="50"/>
    </row>
    <row r="260" spans="1:13" ht="13.5" customHeight="1" outlineLevel="1">
      <c r="A260" s="125"/>
      <c r="C260" s="68" t="str">
        <f>+C249</f>
        <v>Subordinated - Note 2</v>
      </c>
      <c r="G260" s="152">
        <f>G253</f>
        <v>1.2666999999999999E-2</v>
      </c>
      <c r="H260" s="263">
        <v>0.05</v>
      </c>
      <c r="I260" s="263">
        <v>0.05</v>
      </c>
      <c r="J260" s="263">
        <v>0.05</v>
      </c>
      <c r="K260" s="263">
        <v>0.05</v>
      </c>
      <c r="L260" s="263">
        <v>0.8</v>
      </c>
      <c r="M260" s="50"/>
    </row>
    <row r="261" spans="1:13" ht="13.5" customHeight="1" outlineLevel="1">
      <c r="A261" s="125"/>
      <c r="C261" s="68"/>
    </row>
    <row r="262" spans="1:13" ht="13.5" customHeight="1" outlineLevel="1">
      <c r="A262" s="125"/>
      <c r="C262" s="84" t="s">
        <v>227</v>
      </c>
      <c r="D262" s="85"/>
      <c r="E262" s="86"/>
      <c r="F262" s="86"/>
      <c r="G262" s="86"/>
      <c r="H262" s="86"/>
      <c r="I262" s="86"/>
      <c r="J262" s="86"/>
      <c r="K262" s="86"/>
      <c r="L262" s="87"/>
    </row>
    <row r="263" spans="1:13" ht="13.5" customHeight="1" outlineLevel="1">
      <c r="A263" s="125"/>
      <c r="C263" s="68"/>
    </row>
    <row r="264" spans="1:13" ht="13.5" customHeight="1" outlineLevel="1">
      <c r="A264" s="125"/>
      <c r="C264" s="239"/>
      <c r="D264" s="240"/>
      <c r="E264" s="240"/>
      <c r="H264" s="54"/>
      <c r="I264" s="54" t="s">
        <v>228</v>
      </c>
      <c r="J264" s="54" t="s">
        <v>229</v>
      </c>
      <c r="K264" s="54" t="s">
        <v>230</v>
      </c>
      <c r="L264" s="54" t="s">
        <v>98</v>
      </c>
    </row>
    <row r="265" spans="1:13" ht="13.5" customHeight="1" outlineLevel="1" thickBot="1">
      <c r="A265" s="125"/>
      <c r="C265" s="241"/>
      <c r="D265" s="242"/>
      <c r="E265" s="242"/>
      <c r="F265" s="243"/>
      <c r="G265" s="244" t="s">
        <v>231</v>
      </c>
      <c r="H265" s="243" t="s">
        <v>232</v>
      </c>
      <c r="I265" s="243" t="s">
        <v>232</v>
      </c>
      <c r="J265" s="243" t="s">
        <v>232</v>
      </c>
      <c r="K265" s="243" t="s">
        <v>233</v>
      </c>
      <c r="L265" s="243" t="s">
        <v>234</v>
      </c>
      <c r="M265" s="50"/>
    </row>
    <row r="266" spans="1:13" ht="5.0999999999999996" customHeight="1" outlineLevel="1">
      <c r="A266" s="125"/>
      <c r="C266" s="98"/>
      <c r="D266" s="118"/>
      <c r="E266" s="118"/>
      <c r="F266" s="245"/>
      <c r="G266" s="245"/>
      <c r="H266" s="245"/>
      <c r="I266" s="245"/>
      <c r="J266" s="245"/>
      <c r="K266" s="118"/>
    </row>
    <row r="267" spans="1:13" ht="13.5" customHeight="1" outlineLevel="1">
      <c r="A267" s="125"/>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1:13" ht="13.5" customHeight="1" outlineLevel="1">
      <c r="A268" s="125"/>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1:13" ht="13.5" customHeight="1" outlineLevel="1">
      <c r="A269" s="125"/>
      <c r="C269" s="98" t="str">
        <f>+C243</f>
        <v>Subordinated - Note 1</v>
      </c>
      <c r="D269" s="118"/>
      <c r="E269" s="118"/>
      <c r="F269" s="264"/>
      <c r="G269" s="265" t="s">
        <v>242</v>
      </c>
      <c r="H269" s="265" t="s">
        <v>241</v>
      </c>
      <c r="I269" s="265" t="s">
        <v>241</v>
      </c>
      <c r="J269" s="265" t="s">
        <v>241</v>
      </c>
      <c r="K269" s="265">
        <v>0.12</v>
      </c>
      <c r="L269" s="267">
        <v>1</v>
      </c>
      <c r="M269" s="50"/>
    </row>
    <row r="270" spans="1:13" ht="13.5" customHeight="1" outlineLevel="1">
      <c r="A270" s="125"/>
      <c r="C270" s="98" t="str">
        <f>+C249</f>
        <v>Subordinated - Note 2</v>
      </c>
      <c r="D270" s="118"/>
      <c r="E270" s="118"/>
      <c r="F270" s="264"/>
      <c r="G270" s="265" t="s">
        <v>242</v>
      </c>
      <c r="H270" s="265" t="s">
        <v>241</v>
      </c>
      <c r="I270" s="265" t="s">
        <v>241</v>
      </c>
      <c r="J270" s="265" t="s">
        <v>241</v>
      </c>
      <c r="K270" s="265">
        <v>0.14499999999999999</v>
      </c>
      <c r="L270" s="267">
        <v>0.5</v>
      </c>
      <c r="M270" s="50"/>
    </row>
    <row r="271" spans="1:13" ht="5.0999999999999996" customHeight="1" outlineLevel="1" thickBot="1">
      <c r="C271" s="157"/>
      <c r="D271" s="157"/>
      <c r="E271" s="157"/>
      <c r="F271" s="83"/>
      <c r="G271" s="83"/>
      <c r="H271" s="83"/>
      <c r="I271" s="83"/>
      <c r="J271" s="83"/>
      <c r="K271" s="83"/>
      <c r="L271" s="83"/>
    </row>
    <row r="273" spans="1:19" ht="19.5" customHeight="1">
      <c r="A273" s="82"/>
      <c r="B273" s="82"/>
      <c r="C273" s="121"/>
      <c r="D273" s="82"/>
      <c r="E273" s="82"/>
      <c r="F273" s="82"/>
      <c r="G273" s="82"/>
      <c r="H273" s="82"/>
      <c r="I273" s="82"/>
      <c r="J273" s="82"/>
      <c r="K273" s="82"/>
      <c r="L273" s="82"/>
      <c r="M273" s="82"/>
      <c r="N273" s="82"/>
      <c r="O273" s="82"/>
      <c r="P273" s="82"/>
      <c r="Q273" s="82"/>
      <c r="R273" s="82"/>
      <c r="S273" s="82"/>
    </row>
    <row r="274" spans="1:19" ht="5.0999999999999996" customHeight="1">
      <c r="A274" s="82"/>
      <c r="B274" s="82"/>
      <c r="C274" s="82"/>
      <c r="D274" s="82"/>
      <c r="E274" s="82"/>
      <c r="F274" s="82"/>
      <c r="G274" s="82"/>
      <c r="H274" s="82"/>
      <c r="I274" s="82"/>
      <c r="J274" s="82"/>
      <c r="K274" s="82"/>
      <c r="L274" s="82"/>
      <c r="M274" s="82"/>
      <c r="N274" s="82"/>
      <c r="O274" s="82"/>
      <c r="P274" s="82"/>
      <c r="Q274" s="82"/>
      <c r="R274" s="82"/>
      <c r="S274" s="82"/>
    </row>
    <row r="275" spans="1:19" ht="13.5" customHeight="1">
      <c r="A275" s="82"/>
      <c r="B275" s="82"/>
      <c r="C275" s="123"/>
      <c r="D275" s="82"/>
      <c r="E275" s="82"/>
      <c r="F275" s="82"/>
      <c r="G275" s="82"/>
      <c r="H275" s="82"/>
      <c r="I275" s="82"/>
      <c r="J275" s="82"/>
      <c r="K275" s="82"/>
      <c r="L275" s="82"/>
      <c r="M275" s="82"/>
      <c r="N275" s="82"/>
      <c r="O275" s="82"/>
      <c r="P275" s="82"/>
      <c r="Q275" s="82"/>
      <c r="R275" s="82"/>
      <c r="S275" s="82"/>
    </row>
    <row r="276" spans="1:19" ht="13.5" customHeight="1">
      <c r="A276" s="82"/>
      <c r="B276" s="82"/>
      <c r="C276" s="82"/>
      <c r="D276" s="82"/>
      <c r="E276" s="82"/>
      <c r="F276" s="124"/>
      <c r="G276" s="124"/>
      <c r="H276" s="82"/>
      <c r="I276" s="82"/>
      <c r="J276" s="82"/>
      <c r="K276" s="82"/>
      <c r="L276" s="82"/>
      <c r="M276" s="82"/>
      <c r="N276" s="82"/>
      <c r="O276" s="82"/>
      <c r="P276" s="82"/>
      <c r="Q276" s="82"/>
      <c r="R276" s="82"/>
      <c r="S276" s="82"/>
    </row>
    <row r="277" spans="1:19" ht="13.5" customHeight="1">
      <c r="A277" s="82"/>
      <c r="B277" s="82"/>
      <c r="C277" s="82"/>
      <c r="D277" s="82"/>
      <c r="E277" s="82"/>
      <c r="F277" s="124"/>
      <c r="G277" s="124"/>
      <c r="H277" s="82"/>
      <c r="I277" s="82"/>
      <c r="J277" s="82"/>
      <c r="K277" s="82"/>
      <c r="L277" s="82"/>
      <c r="M277" s="82"/>
      <c r="N277" s="82"/>
      <c r="O277" s="82"/>
      <c r="P277" s="82"/>
      <c r="Q277" s="82"/>
      <c r="R277" s="82"/>
      <c r="S277" s="82"/>
    </row>
    <row r="278" spans="1:19" ht="13.5" customHeight="1">
      <c r="A278" s="82"/>
      <c r="B278" s="82"/>
      <c r="C278" s="82"/>
      <c r="D278" s="82"/>
      <c r="E278" s="82"/>
      <c r="F278" s="124"/>
      <c r="G278" s="124"/>
      <c r="H278" s="82"/>
      <c r="I278" s="82"/>
      <c r="J278" s="82"/>
      <c r="K278" s="82"/>
      <c r="L278" s="82"/>
      <c r="M278" s="82"/>
      <c r="N278" s="82"/>
      <c r="O278" s="82"/>
      <c r="P278" s="82"/>
      <c r="Q278" s="82"/>
      <c r="R278" s="82"/>
      <c r="S278" s="82"/>
    </row>
    <row r="279" spans="1:19" ht="13.5" customHeight="1">
      <c r="A279" s="82"/>
      <c r="B279" s="82"/>
      <c r="C279" s="82"/>
      <c r="D279" s="82"/>
      <c r="E279" s="82"/>
      <c r="F279" s="124"/>
      <c r="G279" s="124"/>
      <c r="H279" s="82"/>
      <c r="I279" s="82"/>
      <c r="J279" s="82"/>
      <c r="K279" s="82"/>
      <c r="L279" s="82"/>
      <c r="M279" s="82"/>
      <c r="N279" s="82"/>
      <c r="O279" s="82"/>
      <c r="P279" s="82"/>
      <c r="Q279" s="82"/>
      <c r="R279" s="82"/>
      <c r="S279" s="82"/>
    </row>
    <row r="280" spans="1:19" ht="13.5" customHeight="1">
      <c r="A280" s="82"/>
      <c r="B280" s="82"/>
      <c r="C280" s="82"/>
      <c r="D280" s="82"/>
      <c r="E280" s="82"/>
      <c r="F280" s="82"/>
      <c r="G280" s="82"/>
      <c r="H280" s="82"/>
      <c r="I280" s="82"/>
      <c r="J280" s="82"/>
      <c r="K280" s="82"/>
      <c r="L280" s="82"/>
      <c r="M280" s="82"/>
      <c r="N280" s="82"/>
      <c r="O280" s="82"/>
      <c r="P280" s="82"/>
      <c r="Q280" s="82"/>
      <c r="R280" s="82"/>
      <c r="S280" s="82"/>
    </row>
    <row r="281" spans="1:19" ht="13.5" customHeight="1">
      <c r="A281" s="82"/>
      <c r="B281" s="82"/>
      <c r="C281" s="123"/>
      <c r="D281" s="82"/>
      <c r="E281" s="82"/>
      <c r="F281" s="82"/>
      <c r="G281" s="82"/>
      <c r="H281" s="82"/>
      <c r="I281" s="82"/>
      <c r="J281" s="82"/>
      <c r="K281" s="82"/>
      <c r="L281" s="82"/>
      <c r="M281" s="82"/>
      <c r="N281" s="82"/>
      <c r="O281" s="82"/>
      <c r="P281" s="82"/>
      <c r="Q281" s="82"/>
      <c r="R281" s="82"/>
      <c r="S281" s="82"/>
    </row>
    <row r="282" spans="1:19" ht="13.5" customHeight="1">
      <c r="A282" s="82"/>
      <c r="B282" s="82"/>
      <c r="C282" s="82"/>
      <c r="D282" s="82"/>
      <c r="E282" s="82"/>
      <c r="F282" s="124"/>
      <c r="G282" s="124"/>
      <c r="H282" s="82"/>
      <c r="I282" s="82"/>
      <c r="J282" s="82"/>
      <c r="K282" s="82"/>
      <c r="L282" s="82"/>
      <c r="M282" s="82"/>
      <c r="N282" s="82"/>
      <c r="O282" s="82"/>
      <c r="P282" s="82"/>
      <c r="Q282" s="82"/>
      <c r="R282" s="82"/>
      <c r="S282" s="82"/>
    </row>
    <row r="283" spans="1:19" ht="13.5" customHeight="1">
      <c r="A283" s="82"/>
      <c r="B283" s="82"/>
      <c r="C283" s="82"/>
      <c r="D283" s="82"/>
      <c r="E283" s="82"/>
      <c r="F283" s="124"/>
      <c r="G283" s="124"/>
      <c r="H283" s="82"/>
      <c r="I283" s="82"/>
      <c r="J283" s="82"/>
      <c r="K283" s="82"/>
      <c r="L283" s="82"/>
      <c r="M283" s="82"/>
      <c r="N283" s="82"/>
      <c r="O283" s="82"/>
      <c r="P283" s="82"/>
      <c r="Q283" s="82"/>
      <c r="R283" s="82"/>
      <c r="S283" s="82"/>
    </row>
    <row r="284" spans="1:19" ht="13.5" customHeight="1">
      <c r="A284" s="82"/>
      <c r="B284" s="82"/>
      <c r="C284" s="82"/>
      <c r="D284" s="82"/>
      <c r="E284" s="82"/>
      <c r="F284" s="124"/>
      <c r="G284" s="124"/>
      <c r="H284" s="82"/>
      <c r="I284" s="82"/>
      <c r="J284" s="82"/>
      <c r="K284" s="82"/>
      <c r="L284" s="82"/>
      <c r="M284" s="82"/>
      <c r="N284" s="82"/>
      <c r="O284" s="82"/>
      <c r="P284" s="82"/>
      <c r="Q284" s="82"/>
      <c r="R284" s="82"/>
      <c r="S284" s="82"/>
    </row>
    <row r="285" spans="1:19" ht="13.5" customHeight="1">
      <c r="A285" s="82"/>
      <c r="B285" s="82"/>
      <c r="C285" s="82"/>
      <c r="D285" s="82"/>
      <c r="E285" s="82"/>
      <c r="F285" s="124"/>
      <c r="G285" s="124"/>
      <c r="H285" s="82"/>
      <c r="I285" s="82"/>
      <c r="J285" s="82"/>
      <c r="K285" s="82"/>
      <c r="L285" s="82"/>
      <c r="M285" s="82"/>
      <c r="N285" s="82"/>
      <c r="O285" s="82"/>
      <c r="P285" s="82"/>
      <c r="Q285" s="82"/>
      <c r="R285" s="82"/>
      <c r="S285" s="82"/>
    </row>
    <row r="286" spans="1:19" ht="5.0999999999999996" customHeight="1">
      <c r="A286" s="82"/>
      <c r="B286" s="82"/>
      <c r="C286" s="82"/>
      <c r="D286" s="82"/>
      <c r="E286" s="82"/>
      <c r="F286" s="82"/>
      <c r="G286" s="82"/>
      <c r="H286" s="82"/>
      <c r="I286" s="82"/>
      <c r="J286" s="82"/>
      <c r="K286" s="82"/>
      <c r="L286" s="82"/>
      <c r="M286" s="82"/>
      <c r="N286" s="82"/>
      <c r="O286" s="82"/>
      <c r="P286" s="82"/>
      <c r="Q286" s="82"/>
      <c r="R286" s="82"/>
      <c r="S286" s="82"/>
    </row>
    <row r="287" spans="1:19" ht="13.5" customHeight="1">
      <c r="A287" s="82"/>
      <c r="B287" s="82"/>
      <c r="C287" s="82"/>
      <c r="D287" s="82"/>
      <c r="E287" s="82"/>
      <c r="F287" s="124"/>
      <c r="G287" s="124"/>
      <c r="H287" s="82"/>
      <c r="I287" s="82"/>
      <c r="J287" s="82"/>
      <c r="K287" s="82"/>
      <c r="L287" s="82"/>
      <c r="M287" s="82"/>
      <c r="N287" s="82"/>
      <c r="O287" s="82"/>
      <c r="P287" s="82"/>
      <c r="Q287" s="82"/>
      <c r="R287" s="82"/>
      <c r="S287" s="82"/>
    </row>
    <row r="288" spans="1:19" ht="13.5" customHeight="1">
      <c r="A288" s="82"/>
      <c r="B288" s="82"/>
      <c r="C288" s="82"/>
      <c r="D288" s="82"/>
      <c r="E288" s="82"/>
      <c r="F288" s="124"/>
      <c r="G288" s="124"/>
      <c r="H288" s="82"/>
      <c r="I288" s="82"/>
      <c r="J288" s="82"/>
      <c r="K288" s="82"/>
      <c r="L288" s="82"/>
      <c r="M288" s="82"/>
      <c r="N288" s="82"/>
      <c r="O288" s="82"/>
      <c r="P288" s="82"/>
      <c r="Q288" s="82"/>
      <c r="R288" s="82"/>
      <c r="S288" s="82"/>
    </row>
    <row r="289" spans="1:19" ht="13.5" customHeight="1">
      <c r="A289" s="82"/>
      <c r="B289" s="82"/>
      <c r="C289" s="82"/>
      <c r="D289" s="82"/>
      <c r="E289" s="82"/>
      <c r="F289" s="82"/>
      <c r="G289" s="82"/>
      <c r="H289" s="82"/>
      <c r="I289" s="82"/>
      <c r="J289" s="82"/>
      <c r="K289" s="82"/>
      <c r="L289" s="82"/>
      <c r="M289" s="82"/>
      <c r="N289" s="82"/>
      <c r="O289" s="82"/>
      <c r="P289" s="82"/>
      <c r="Q289" s="82"/>
      <c r="R289" s="82"/>
      <c r="S289" s="82"/>
    </row>
    <row r="290" spans="1:19" ht="13.5" customHeight="1">
      <c r="F290" s="124"/>
      <c r="G290" s="124"/>
    </row>
  </sheetData>
  <dataValidations count="1">
    <dataValidation type="whole" showInputMessage="1" showErrorMessage="1" errorTitle="Validation Error" error="Enter either 0 or 1." sqref="F267:F270" xr:uid="{4C61EA21-6370-410B-BCFF-9AD05C456AC6}">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2BF4-13A8-478C-BF1D-EDD6E16FC50C}">
  <sheetPr>
    <tabColor rgb="FF416D89"/>
    <outlinePr summaryBelow="0"/>
    <pageSetUpPr fitToPage="1"/>
  </sheetPr>
  <dimension ref="A1:S290"/>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243</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20.161229667020034</v>
      </c>
      <c r="K60" s="214">
        <f ca="1">J60+K119</f>
        <v>32.683172574382148</v>
      </c>
      <c r="L60" s="214">
        <f ca="1">K60+L119</f>
        <v>46.605048262544216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ca="1" si="19">SUM(H60:H63)</f>
        <v>35.594733500229559</v>
      </c>
      <c r="I64" s="93">
        <f t="shared" ca="1" si="19"/>
        <v>39.519778919074916</v>
      </c>
      <c r="J64" s="93">
        <f t="shared" ca="1" si="19"/>
        <v>53.322380619846498</v>
      </c>
      <c r="K64" s="93">
        <f t="shared" ca="1" si="19"/>
        <v>68.940037509087375</v>
      </c>
      <c r="L64" s="93">
        <f t="shared" ca="1" si="19"/>
        <v>85.158917384182999</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0">SUM(H64,H67:H69)</f>
        <v>92.32568454586314</v>
      </c>
      <c r="I70" s="102">
        <f t="shared" ca="1" si="20"/>
        <v>92.891514460631626</v>
      </c>
      <c r="J70" s="102">
        <f t="shared" ca="1" si="20"/>
        <v>103.36805499196664</v>
      </c>
      <c r="K70" s="102">
        <f t="shared" ca="1" si="20"/>
        <v>115.60562915551395</v>
      </c>
      <c r="L70" s="102">
        <f t="shared" ca="1" si="20"/>
        <v>128.28557606604585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 ca="1">H232</f>
        <v>0.70135880776240755</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0.80642258805885092</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4">SUM(H78:H81)</f>
        <v>10.382823657762405</v>
      </c>
      <c r="I82" s="93">
        <f t="shared" ca="1" si="24"/>
        <v>0.86902568805885094</v>
      </c>
      <c r="J82" s="93">
        <f t="shared" ca="1" si="24"/>
        <v>4.4334500000000011E-3</v>
      </c>
      <c r="K82" s="93">
        <f t="shared" ca="1" si="24"/>
        <v>0</v>
      </c>
      <c r="L82" s="93">
        <f t="shared" ca="1"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5">SUM(H77,H82:H83)</f>
        <v>20.478691058033341</v>
      </c>
      <c r="I84" s="93">
        <f t="shared" ca="1" si="25"/>
        <v>12.447206165094064</v>
      </c>
      <c r="J84" s="93">
        <f t="shared" ca="1" si="25"/>
        <v>12.957796328002564</v>
      </c>
      <c r="K84" s="93">
        <f t="shared" ca="1" si="25"/>
        <v>14.122474780562621</v>
      </c>
      <c r="L84" s="93">
        <f t="shared" ca="1"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ca="1" si="26">SUM(H84:H86)</f>
        <v>92.325684041671323</v>
      </c>
      <c r="I87" s="105">
        <f t="shared" ca="1" si="26"/>
        <v>92.891513956439809</v>
      </c>
      <c r="J87" s="105">
        <f t="shared" ca="1" si="26"/>
        <v>103.36805448777483</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ca="1" si="27"/>
        <v>-5.0419181718552863E-7</v>
      </c>
      <c r="I89" s="178">
        <f t="shared" ca="1" si="27"/>
        <v>-5.0419181718552863E-7</v>
      </c>
      <c r="J89" s="178">
        <f t="shared" ca="1" si="27"/>
        <v>-5.0419181718552863E-7</v>
      </c>
      <c r="K89" s="178">
        <f t="shared" ca="1" si="27"/>
        <v>-5.0419180297467392E-7</v>
      </c>
      <c r="L89" s="178">
        <f t="shared" ca="1" si="27"/>
        <v>-5.0419183139638335E-7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129">
        <f ca="1">H78-G78</f>
        <v>-0.58794119223759234</v>
      </c>
      <c r="I113" s="129">
        <f t="shared" ref="I113:L116" ca="1" si="32">I78-H78</f>
        <v>-0.70135880776240755</v>
      </c>
      <c r="J113" s="129">
        <f t="shared" ca="1" si="32"/>
        <v>0</v>
      </c>
      <c r="K113" s="129">
        <f t="shared" ca="1" si="32"/>
        <v>0</v>
      </c>
      <c r="L113" s="129">
        <f t="shared" ca="1" si="32"/>
        <v>0</v>
      </c>
      <c r="M113" s="50" t="s">
        <v>244</v>
      </c>
    </row>
    <row r="114" spans="1:13" s="205" customFormat="1" ht="13.5" customHeight="1" outlineLevel="1">
      <c r="A114" s="204"/>
      <c r="C114" s="68" t="str">
        <f>+C79</f>
        <v>Term Loan A</v>
      </c>
      <c r="D114" s="118"/>
      <c r="E114" s="118"/>
      <c r="F114" s="29"/>
      <c r="G114" s="207"/>
      <c r="H114" s="129">
        <f ca="1">H79-G79</f>
        <v>-2.4002902000000006</v>
      </c>
      <c r="I114" s="129">
        <f t="shared" ca="1" si="32"/>
        <v>-8.7947382119411479</v>
      </c>
      <c r="J114" s="129">
        <f t="shared" ca="1" si="32"/>
        <v>-0.80642258805885092</v>
      </c>
      <c r="K114" s="129">
        <f t="shared" ca="1" si="32"/>
        <v>0</v>
      </c>
      <c r="L114" s="129">
        <f t="shared" ca="1" si="32"/>
        <v>0</v>
      </c>
      <c r="M114" s="50" t="s">
        <v>245</v>
      </c>
    </row>
    <row r="115" spans="1:13" s="205" customFormat="1" ht="13.5" customHeight="1" outlineLevel="1">
      <c r="A115" s="204"/>
      <c r="C115" s="68" t="str">
        <f>+C80</f>
        <v>Subordinated - Note 1</v>
      </c>
      <c r="D115" s="118"/>
      <c r="E115" s="118"/>
      <c r="F115" s="29"/>
      <c r="G115" s="207"/>
      <c r="H115" s="129">
        <f ca="1">H80-G80</f>
        <v>-1.7067600000000002E-2</v>
      </c>
      <c r="I115" s="129">
        <f t="shared" ca="1" si="32"/>
        <v>-1.7067600000000002E-2</v>
      </c>
      <c r="J115" s="129">
        <f t="shared" ca="1" si="32"/>
        <v>-5.1202799999999993E-2</v>
      </c>
      <c r="K115" s="129">
        <f t="shared" ca="1" si="32"/>
        <v>0</v>
      </c>
      <c r="L115" s="129">
        <f t="shared" ca="1" si="32"/>
        <v>0</v>
      </c>
      <c r="M115" s="50" t="s">
        <v>246</v>
      </c>
    </row>
    <row r="116" spans="1:13" s="205" customFormat="1" ht="13.5" customHeight="1" outlineLevel="1">
      <c r="A116" s="204"/>
      <c r="C116" s="68" t="str">
        <f t="shared" ref="C116" si="33">+C81</f>
        <v>Subordinated - Note 2</v>
      </c>
      <c r="D116" s="118"/>
      <c r="E116" s="118"/>
      <c r="F116" s="29"/>
      <c r="G116" s="207"/>
      <c r="H116" s="129">
        <f ca="1">H81-G81</f>
        <v>-6.3334999999999954E-4</v>
      </c>
      <c r="I116" s="129">
        <f t="shared" ca="1" si="32"/>
        <v>-6.3334999999999954E-4</v>
      </c>
      <c r="J116" s="129">
        <f t="shared" ca="1" si="32"/>
        <v>-6.9668499999999993E-3</v>
      </c>
      <c r="K116" s="129">
        <f t="shared" ca="1" si="32"/>
        <v>-4.4334500000000011E-3</v>
      </c>
      <c r="L116" s="129">
        <f t="shared" ca="1" si="32"/>
        <v>0</v>
      </c>
      <c r="M116" s="50" t="s">
        <v>246</v>
      </c>
    </row>
    <row r="117" spans="1:13" s="205" customFormat="1" ht="13.5" customHeight="1" outlineLevel="1">
      <c r="A117" s="204"/>
      <c r="C117" s="180" t="s">
        <v>194</v>
      </c>
      <c r="D117" s="180"/>
      <c r="E117" s="180"/>
      <c r="F117" s="180"/>
      <c r="G117" s="199"/>
      <c r="H117" s="200">
        <f ca="1">SUM(H113:H116)</f>
        <v>-3.005932342237593</v>
      </c>
      <c r="I117" s="200">
        <f t="shared" ref="I117:L117" ca="1" si="34">SUM(I113:I116)</f>
        <v>-9.5137979697035551</v>
      </c>
      <c r="J117" s="200">
        <f t="shared" ca="1" si="34"/>
        <v>-0.86459223805885088</v>
      </c>
      <c r="K117" s="200">
        <f t="shared" ca="1" si="34"/>
        <v>-4.4334500000000011E-3</v>
      </c>
      <c r="L117" s="200">
        <f t="shared" ca="1" si="34"/>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 ca="1">H117+H109+H105</f>
        <v>7.0420079999999992</v>
      </c>
      <c r="I119" s="215">
        <f ca="1">I117+I109+I105</f>
        <v>0</v>
      </c>
      <c r="J119" s="215">
        <f ca="1">J117+J109+J105</f>
        <v>10.161229667020034</v>
      </c>
      <c r="K119" s="215">
        <f ca="1">K117+K109+K105</f>
        <v>12.521942907362115</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5">H$11</f>
        <v>46022</v>
      </c>
      <c r="I126" s="58">
        <f t="shared" si="35"/>
        <v>46387</v>
      </c>
      <c r="J126" s="58">
        <f t="shared" si="35"/>
        <v>46752</v>
      </c>
      <c r="K126" s="58">
        <f t="shared" si="35"/>
        <v>47118</v>
      </c>
      <c r="L126" s="58">
        <f t="shared" si="35"/>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6">F61</f>
        <v>16.781419000000003</v>
      </c>
      <c r="G130" s="177">
        <f t="shared" si="36"/>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6"/>
        <v>0.80490099999999998</v>
      </c>
      <c r="G131" s="177">
        <f t="shared" si="36"/>
        <v>1.161057</v>
      </c>
      <c r="H131" s="177">
        <f>(H146/365)*H150</f>
        <v>1.2029011201180084</v>
      </c>
      <c r="I131" s="177">
        <f t="shared" ref="I131:L131" si="37">(I146/365)*I150</f>
        <v>1.3873703794209342</v>
      </c>
      <c r="J131" s="177">
        <f t="shared" si="37"/>
        <v>1.558507558799139</v>
      </c>
      <c r="K131" s="177">
        <f t="shared" si="37"/>
        <v>1.7039999045715051</v>
      </c>
      <c r="L131" s="177">
        <f t="shared" si="37"/>
        <v>1.8119544925477122</v>
      </c>
      <c r="M131" s="50"/>
    </row>
    <row r="132" spans="3:13" ht="13.5" customHeight="1" outlineLevel="1">
      <c r="C132" s="91" t="str">
        <f>C63</f>
        <v>Prepaids and Other Current Assets</v>
      </c>
      <c r="D132" s="68"/>
      <c r="E132" s="68"/>
      <c r="F132" s="177">
        <f t="shared" si="36"/>
        <v>0.26978399999999997</v>
      </c>
      <c r="G132" s="177">
        <f t="shared" si="36"/>
        <v>0.34491899999999998</v>
      </c>
      <c r="H132" s="177">
        <f>H151*H147</f>
        <v>0.3792215684283346</v>
      </c>
      <c r="I132" s="177">
        <f t="shared" ref="I132:L132" si="38">I151*I147</f>
        <v>0.43737657441320382</v>
      </c>
      <c r="J132" s="177">
        <f t="shared" si="38"/>
        <v>0.49132856472628733</v>
      </c>
      <c r="K132" s="177">
        <f t="shared" si="38"/>
        <v>0.53719587221761422</v>
      </c>
      <c r="L132" s="177">
        <f t="shared" si="38"/>
        <v>0.57122918342390505</v>
      </c>
      <c r="M132" s="50"/>
    </row>
    <row r="133" spans="3:13" ht="13.5" customHeight="1" outlineLevel="1">
      <c r="C133" s="65" t="s">
        <v>152</v>
      </c>
      <c r="D133" s="65"/>
      <c r="E133" s="65"/>
      <c r="F133" s="179">
        <f t="shared" ref="F133:L133" si="39">SUM(F130:F132)</f>
        <v>17.856104000000006</v>
      </c>
      <c r="G133" s="179">
        <f t="shared" si="39"/>
        <v>23.790697999999999</v>
      </c>
      <c r="H133" s="179">
        <f t="shared" si="39"/>
        <v>25.594733500229559</v>
      </c>
      <c r="I133" s="179">
        <f t="shared" si="39"/>
        <v>29.519778919074909</v>
      </c>
      <c r="J133" s="179">
        <f t="shared" si="39"/>
        <v>33.161150952826461</v>
      </c>
      <c r="K133" s="179">
        <f t="shared" si="39"/>
        <v>36.256864934705241</v>
      </c>
      <c r="L133" s="179">
        <f t="shared" si="39"/>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0">F74</f>
        <v>2.8058170000000002</v>
      </c>
      <c r="G135" s="177">
        <f t="shared" si="40"/>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0"/>
        <v>2.3839329999999999</v>
      </c>
      <c r="G136" s="177">
        <f t="shared" si="40"/>
        <v>2.7880379999999998</v>
      </c>
      <c r="H136" s="177">
        <f>H154*H147</f>
        <v>3.1966854452582232</v>
      </c>
      <c r="I136" s="177">
        <f t="shared" ref="I136:L136" si="41">I154*I147</f>
        <v>3.6869087782063024</v>
      </c>
      <c r="J136" s="177">
        <f t="shared" si="41"/>
        <v>4.1417023778724023</v>
      </c>
      <c r="K136" s="177">
        <f t="shared" si="41"/>
        <v>4.5283453498910609</v>
      </c>
      <c r="L136" s="177">
        <f t="shared" si="41"/>
        <v>4.8152324882940372</v>
      </c>
      <c r="M136" s="50"/>
    </row>
    <row r="137" spans="3:13" ht="13.5" customHeight="1" outlineLevel="1">
      <c r="C137" s="91" t="str">
        <f>C76</f>
        <v>Accrued Expenses &amp; Other</v>
      </c>
      <c r="D137" s="68"/>
      <c r="E137" s="68"/>
      <c r="F137" s="177">
        <f t="shared" si="40"/>
        <v>2.0579079999999998</v>
      </c>
      <c r="G137" s="177">
        <f t="shared" si="40"/>
        <v>3.2020309999999998</v>
      </c>
      <c r="H137" s="177">
        <f>H155*H147</f>
        <v>3.2317636858846019</v>
      </c>
      <c r="I137" s="177">
        <f t="shared" ref="I137:L137" si="42">I155*I147</f>
        <v>3.727366394541769</v>
      </c>
      <c r="J137" s="177">
        <f t="shared" si="42"/>
        <v>4.1871505882458564</v>
      </c>
      <c r="K137" s="177">
        <f t="shared" si="42"/>
        <v>4.5780363159066395</v>
      </c>
      <c r="L137" s="177">
        <f t="shared" si="42"/>
        <v>4.8680715576328382</v>
      </c>
      <c r="M137" s="50"/>
    </row>
    <row r="138" spans="3:13" ht="13.5" customHeight="1" outlineLevel="1">
      <c r="C138" s="65" t="s">
        <v>156</v>
      </c>
      <c r="D138" s="65"/>
      <c r="E138" s="65"/>
      <c r="F138" s="179">
        <f t="shared" ref="F138:L138" si="43">SUM(F135:F137)</f>
        <v>7.2476579999999995</v>
      </c>
      <c r="G138" s="179">
        <f t="shared" si="43"/>
        <v>8.3507789999999993</v>
      </c>
      <c r="H138" s="179">
        <f t="shared" si="43"/>
        <v>9.6659794002709365</v>
      </c>
      <c r="I138" s="179">
        <f t="shared" si="43"/>
        <v>11.148292477035213</v>
      </c>
      <c r="J138" s="179">
        <f t="shared" si="43"/>
        <v>12.523474878002563</v>
      </c>
      <c r="K138" s="179">
        <f t="shared" si="43"/>
        <v>13.692586780562621</v>
      </c>
      <c r="L138" s="179">
        <f t="shared" si="43"/>
        <v>14.560061925519163</v>
      </c>
    </row>
    <row r="139" spans="3:13" ht="13.5" customHeight="1" outlineLevel="1">
      <c r="C139" s="180" t="s">
        <v>157</v>
      </c>
      <c r="D139" s="180"/>
      <c r="E139" s="180"/>
      <c r="F139" s="181">
        <f t="shared" ref="F139:L139" si="44">F133-F138</f>
        <v>10.608446000000006</v>
      </c>
      <c r="G139" s="181">
        <f t="shared" si="44"/>
        <v>15.439919</v>
      </c>
      <c r="H139" s="181">
        <f t="shared" si="44"/>
        <v>15.928754099958622</v>
      </c>
      <c r="I139" s="181">
        <f t="shared" si="44"/>
        <v>18.371486442039696</v>
      </c>
      <c r="J139" s="181">
        <f t="shared" si="44"/>
        <v>20.637676074823897</v>
      </c>
      <c r="K139" s="181">
        <f t="shared" si="44"/>
        <v>22.56427815414262</v>
      </c>
      <c r="L139" s="181">
        <f t="shared" si="44"/>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5">G139-F139</f>
        <v>4.8314729999999937</v>
      </c>
      <c r="H141" s="182">
        <f t="shared" si="45"/>
        <v>0.48883509995862262</v>
      </c>
      <c r="I141" s="182">
        <f t="shared" si="45"/>
        <v>2.442732342081074</v>
      </c>
      <c r="J141" s="182">
        <f t="shared" si="45"/>
        <v>2.2661896327842008</v>
      </c>
      <c r="K141" s="182">
        <f t="shared" si="45"/>
        <v>1.9266020793187231</v>
      </c>
      <c r="L141" s="182">
        <f t="shared" si="45"/>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6">F13</f>
        <v>78.565675999999996</v>
      </c>
      <c r="G145" s="209">
        <f t="shared" si="46"/>
        <v>90.614007999999998</v>
      </c>
      <c r="H145" s="209">
        <f t="shared" si="46"/>
        <v>104.5099955077592</v>
      </c>
      <c r="I145" s="209">
        <f t="shared" si="46"/>
        <v>120.53698321160066</v>
      </c>
      <c r="J145" s="209">
        <f t="shared" si="46"/>
        <v>135.4056582414087</v>
      </c>
      <c r="K145" s="209">
        <f t="shared" si="46"/>
        <v>148.04626863637753</v>
      </c>
      <c r="L145" s="209">
        <f t="shared" si="46"/>
        <v>157.42553790111026</v>
      </c>
      <c r="M145" s="50"/>
    </row>
    <row r="146" spans="1:19" ht="13.5" customHeight="1" outlineLevel="1">
      <c r="C146" s="68" t="s">
        <v>66</v>
      </c>
      <c r="D146" s="68"/>
      <c r="E146" s="68"/>
      <c r="F146" s="177">
        <f t="shared" si="46"/>
        <v>51.562188999999996</v>
      </c>
      <c r="G146" s="177">
        <f t="shared" si="46"/>
        <v>61.618676000000001</v>
      </c>
      <c r="H146" s="177">
        <f t="shared" si="46"/>
        <v>69.828708282059708</v>
      </c>
      <c r="I146" s="177">
        <f t="shared" si="46"/>
        <v>80.537194523728473</v>
      </c>
      <c r="J146" s="177">
        <f t="shared" si="46"/>
        <v>90.471750220079329</v>
      </c>
      <c r="K146" s="177">
        <f t="shared" si="46"/>
        <v>98.917616966977391</v>
      </c>
      <c r="L146" s="177">
        <f t="shared" si="46"/>
        <v>105.18440756632523</v>
      </c>
      <c r="M146" s="50"/>
    </row>
    <row r="147" spans="1:19" ht="13.5" customHeight="1" outlineLevel="1">
      <c r="C147" s="68" t="s">
        <v>69</v>
      </c>
      <c r="D147" s="68"/>
      <c r="E147" s="68"/>
      <c r="F147" s="177">
        <f t="shared" ref="F147:L147" si="47">F17</f>
        <v>14.179914999999999</v>
      </c>
      <c r="G147" s="177">
        <f t="shared" si="47"/>
        <v>15.4366889395</v>
      </c>
      <c r="H147" s="177">
        <f t="shared" si="47"/>
        <v>18.333216581804578</v>
      </c>
      <c r="I147" s="177">
        <f t="shared" si="47"/>
        <v>21.144681985672378</v>
      </c>
      <c r="J147" s="177">
        <f t="shared" si="47"/>
        <v>23.752955369300096</v>
      </c>
      <c r="K147" s="177">
        <f t="shared" si="47"/>
        <v>25.970380094765407</v>
      </c>
      <c r="L147" s="177">
        <f t="shared" si="47"/>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8">I149</f>
        <v>83.863776892169696</v>
      </c>
      <c r="K149" s="211">
        <f t="shared" si="48"/>
        <v>83.863776892169696</v>
      </c>
      <c r="L149" s="211">
        <f t="shared" si="48"/>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9">I151</f>
        <v>2.0684944550576352E-2</v>
      </c>
      <c r="K151" s="139">
        <f t="shared" si="49"/>
        <v>2.0684944550576352E-2</v>
      </c>
      <c r="L151" s="139">
        <f t="shared" si="49"/>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0">H153</f>
        <v>16.922818383787302</v>
      </c>
      <c r="J153" s="211">
        <f t="shared" si="50"/>
        <v>16.922818383787302</v>
      </c>
      <c r="K153" s="211">
        <f t="shared" si="50"/>
        <v>16.922818383787302</v>
      </c>
      <c r="L153" s="211">
        <f t="shared" si="50"/>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0"/>
        <v>0.17436577105792128</v>
      </c>
      <c r="K154" s="139">
        <f t="shared" si="50"/>
        <v>0.17436577105792128</v>
      </c>
      <c r="L154" s="139">
        <f t="shared" si="50"/>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0"/>
        <v>0.1762791418223944</v>
      </c>
      <c r="K155" s="139">
        <f t="shared" si="50"/>
        <v>0.1762791418223944</v>
      </c>
      <c r="L155" s="139">
        <f t="shared" si="50"/>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7 Answer Key'!F13</f>
        <v>0</v>
      </c>
      <c r="G162" s="122">
        <f>'Financials from CIP'!E13/1000-'Step 7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7 Answer Key'!F15</f>
        <v>0</v>
      </c>
      <c r="G163" s="122">
        <f>'Financials from CIP'!E19/1000-'Step 7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7 Answer Key'!F18</f>
        <v>0</v>
      </c>
      <c r="G164" s="122">
        <f>'Financials from CIP'!E36/1000-'Step 7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7 Answer Key'!F33</f>
        <v>0</v>
      </c>
      <c r="G165" s="122">
        <f>'Financials from CIP'!E34/1000-'Step 7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7 Answer Key'!F60</f>
        <v>0</v>
      </c>
      <c r="G168" s="122">
        <f>'Financials from CIP'!E46/1000-'Step 7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7 Answer Key'!F64</f>
        <v>0</v>
      </c>
      <c r="G169" s="122">
        <f>'Financials from CIP'!E51/1000-'Step 7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7 Answer Key'!F70</f>
        <v>0</v>
      </c>
      <c r="G170" s="122">
        <f>'Financials from CIP'!E56/1000-'Step 7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7 Answer Key'!F77</f>
        <v>0</v>
      </c>
      <c r="G171" s="122">
        <f>'Financials from CIP'!E61/1000-'Step 7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7 Answer Key'!F84</f>
        <v>0</v>
      </c>
      <c r="G172" s="122">
        <f>'Financials from CIP'!E69/1000-'Step 7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7 Answer Key'!F85:F86)</f>
        <v>0</v>
      </c>
      <c r="G173" s="122">
        <f>'Financials from CIP'!E73/1000-SUM('Step 7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1">H$11</f>
        <v>46022</v>
      </c>
      <c r="I185" s="58">
        <f t="shared" si="51"/>
        <v>46387</v>
      </c>
      <c r="J185" s="58">
        <f t="shared" si="51"/>
        <v>46752</v>
      </c>
      <c r="K185" s="58">
        <f t="shared" si="51"/>
        <v>47118</v>
      </c>
      <c r="L185" s="58">
        <f t="shared" si="51"/>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2">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2"/>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2"/>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2"/>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2"/>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2"/>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3">-SUM(I187:I193)</f>
        <v>6.1302957891314076</v>
      </c>
      <c r="J194" s="156">
        <f t="shared" ca="1" si="53"/>
        <v>6.4683165246530567</v>
      </c>
      <c r="K194" s="156">
        <f t="shared" ca="1" si="53"/>
        <v>6.8378927245374452</v>
      </c>
      <c r="L194" s="156">
        <f t="shared" ca="1" si="53"/>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4">H$11</f>
        <v>46022</v>
      </c>
      <c r="I201" s="58">
        <f t="shared" si="54"/>
        <v>46387</v>
      </c>
      <c r="J201" s="58">
        <f t="shared" si="54"/>
        <v>46752</v>
      </c>
      <c r="K201" s="58">
        <f t="shared" si="54"/>
        <v>47118</v>
      </c>
      <c r="L201" s="58">
        <f t="shared" si="54"/>
        <v>47483</v>
      </c>
    </row>
    <row r="202" spans="1:19" ht="5.0999999999999996" customHeight="1" outlineLevel="1">
      <c r="A202" s="125"/>
      <c r="M202" s="50"/>
    </row>
    <row r="203" spans="1:19" ht="13.5" customHeight="1" outlineLevel="1">
      <c r="A203" s="125"/>
      <c r="C203" s="68" t="s">
        <v>247</v>
      </c>
      <c r="D203" s="68"/>
      <c r="E203" s="68"/>
      <c r="F203" s="68"/>
      <c r="G203" s="132"/>
      <c r="H203" s="221">
        <f>G60</f>
        <v>2.9579920000000004</v>
      </c>
      <c r="I203" s="221">
        <f ca="1">H60</f>
        <v>10</v>
      </c>
      <c r="J203" s="221">
        <f ca="1">I60</f>
        <v>10</v>
      </c>
      <c r="K203" s="221">
        <f ca="1">J60</f>
        <v>20.161229667020034</v>
      </c>
      <c r="L203" s="221">
        <f ca="1">K60</f>
        <v>32.683172574382148</v>
      </c>
      <c r="M203" s="50" t="s">
        <v>248</v>
      </c>
    </row>
    <row r="204" spans="1:19" ht="13.5" customHeight="1" outlineLevel="1">
      <c r="A204" s="125"/>
      <c r="C204" s="68" t="s">
        <v>249</v>
      </c>
      <c r="D204" s="68"/>
      <c r="E204" s="68"/>
      <c r="F204" s="68"/>
      <c r="G204" s="250"/>
      <c r="H204" s="130">
        <v>-10</v>
      </c>
      <c r="I204" s="130">
        <v>-10</v>
      </c>
      <c r="J204" s="130">
        <v>-10</v>
      </c>
      <c r="K204" s="130">
        <v>-10</v>
      </c>
      <c r="L204" s="130">
        <v>-10</v>
      </c>
      <c r="M204" s="50" t="s">
        <v>250</v>
      </c>
    </row>
    <row r="205" spans="1:19" ht="13.5" customHeight="1" outlineLevel="1">
      <c r="A205" s="125"/>
      <c r="C205" s="65" t="s">
        <v>251</v>
      </c>
      <c r="D205" s="65"/>
      <c r="E205" s="65"/>
      <c r="F205" s="65"/>
      <c r="G205" s="197"/>
      <c r="H205" s="251">
        <f>SUM(H203:H204)</f>
        <v>-7.0420079999999992</v>
      </c>
      <c r="I205" s="251">
        <f ca="1">SUM(I203:I204)</f>
        <v>0</v>
      </c>
      <c r="J205" s="251">
        <f ca="1">SUM(J203:J204)</f>
        <v>0</v>
      </c>
      <c r="K205" s="251">
        <f ca="1">SUM(K203:K204)</f>
        <v>10.161229667020034</v>
      </c>
      <c r="L205" s="251">
        <f ca="1">SUM(L203:L204)</f>
        <v>22.683172574382148</v>
      </c>
      <c r="M205" s="50" t="s">
        <v>252</v>
      </c>
    </row>
    <row r="206" spans="1:19" ht="13.5" customHeight="1" outlineLevel="1">
      <c r="A206" s="125"/>
      <c r="C206" s="68" t="s">
        <v>253</v>
      </c>
      <c r="D206" s="68"/>
      <c r="E206" s="68"/>
      <c r="F206" s="68"/>
      <c r="G206" s="250"/>
      <c r="H206" s="129">
        <f>H105+H109</f>
        <v>10.047940342237592</v>
      </c>
      <c r="I206" s="129">
        <f t="shared" ref="I206:L206" si="55">I105+I109</f>
        <v>9.5137979697035551</v>
      </c>
      <c r="J206" s="129">
        <f t="shared" ca="1" si="55"/>
        <v>11.025821905078885</v>
      </c>
      <c r="K206" s="129">
        <f t="shared" ca="1" si="55"/>
        <v>12.526376357362114</v>
      </c>
      <c r="L206" s="129">
        <f t="shared" ca="1" si="55"/>
        <v>13.921875688162071</v>
      </c>
      <c r="M206" s="50" t="s">
        <v>254</v>
      </c>
    </row>
    <row r="207" spans="1:19" ht="13.5" customHeight="1" outlineLevel="1">
      <c r="A207" s="125"/>
      <c r="C207" s="70" t="s">
        <v>255</v>
      </c>
      <c r="D207" s="70"/>
      <c r="E207" s="70"/>
      <c r="F207" s="70"/>
      <c r="G207" s="252"/>
      <c r="H207" s="253">
        <f>SUM(H205:H206)</f>
        <v>3.0059323422375925</v>
      </c>
      <c r="I207" s="253">
        <f ca="1">SUM(I205:I206)</f>
        <v>9.5137979697035551</v>
      </c>
      <c r="J207" s="253">
        <f ca="1">SUM(J205:J206)</f>
        <v>11.025821905078885</v>
      </c>
      <c r="K207" s="253">
        <f ca="1">SUM(K205:K206)</f>
        <v>22.687606024382148</v>
      </c>
      <c r="L207" s="253">
        <f ca="1">SUM(L205:L206)</f>
        <v>36.605048262544216</v>
      </c>
      <c r="M207" s="50" t="s">
        <v>256</v>
      </c>
    </row>
    <row r="208" spans="1:19" ht="5.0999999999999996" customHeight="1" outlineLevel="1">
      <c r="A208" s="125"/>
      <c r="C208" s="68"/>
      <c r="D208" s="68"/>
      <c r="E208" s="68"/>
      <c r="F208" s="68"/>
      <c r="G208" s="154"/>
      <c r="H208" s="151"/>
      <c r="I208" s="151"/>
      <c r="J208" s="151"/>
      <c r="K208" s="151"/>
      <c r="L208" s="151"/>
    </row>
    <row r="209" spans="1:13" ht="13.5" customHeight="1" outlineLevel="1">
      <c r="A209" s="125"/>
      <c r="C209" s="72" t="s">
        <v>257</v>
      </c>
      <c r="D209" s="68"/>
      <c r="E209" s="68"/>
      <c r="F209" s="68"/>
      <c r="G209" s="154"/>
      <c r="H209" s="151"/>
      <c r="I209" s="151"/>
      <c r="J209" s="151"/>
      <c r="K209" s="151"/>
      <c r="L209" s="151"/>
    </row>
    <row r="210" spans="1:13" ht="13.5" customHeight="1" outlineLevel="1">
      <c r="A210" s="125"/>
      <c r="C210" s="91" t="str">
        <f>+C237</f>
        <v>Term Loan A</v>
      </c>
      <c r="D210" s="118"/>
      <c r="E210" s="118"/>
      <c r="G210" s="250"/>
      <c r="H210" s="129">
        <f>H239</f>
        <v>-2.4002902000000002</v>
      </c>
      <c r="I210" s="129">
        <f ca="1">I239</f>
        <v>-2.4002902000000002</v>
      </c>
      <c r="J210" s="129">
        <f ca="1">J239</f>
        <v>-0.80642258805885092</v>
      </c>
      <c r="K210" s="129">
        <f ca="1">K239</f>
        <v>0</v>
      </c>
      <c r="L210" s="129">
        <f ca="1">L239</f>
        <v>0</v>
      </c>
      <c r="M210" s="50" t="s">
        <v>258</v>
      </c>
    </row>
    <row r="211" spans="1:13" ht="13.5" customHeight="1" outlineLevel="1">
      <c r="A211" s="125"/>
      <c r="C211" s="91" t="str">
        <f>+C243</f>
        <v>Subordinated - Note 1</v>
      </c>
      <c r="D211" s="118"/>
      <c r="E211" s="118"/>
      <c r="G211" s="250"/>
      <c r="H211" s="129">
        <f>H245</f>
        <v>-1.7067599999999999E-2</v>
      </c>
      <c r="I211" s="129">
        <f ca="1">I245</f>
        <v>-1.7067599999999999E-2</v>
      </c>
      <c r="J211" s="129">
        <f ca="1">J245</f>
        <v>-1.7067599999999999E-2</v>
      </c>
      <c r="K211" s="129">
        <f ca="1">K245</f>
        <v>0</v>
      </c>
      <c r="L211" s="129">
        <f ca="1">L245</f>
        <v>0</v>
      </c>
      <c r="M211" s="50" t="s">
        <v>259</v>
      </c>
    </row>
    <row r="212" spans="1:13" ht="13.5" customHeight="1" outlineLevel="1">
      <c r="A212" s="125"/>
      <c r="C212" s="91" t="str">
        <f>+C249</f>
        <v>Subordinated - Note 2</v>
      </c>
      <c r="D212" s="118"/>
      <c r="E212" s="118"/>
      <c r="G212" s="250"/>
      <c r="H212" s="129">
        <f>H251</f>
        <v>-6.3334999999999997E-4</v>
      </c>
      <c r="I212" s="129">
        <f ca="1">I251</f>
        <v>-6.3334999999999997E-4</v>
      </c>
      <c r="J212" s="129">
        <f ca="1">J251</f>
        <v>-6.3334999999999997E-4</v>
      </c>
      <c r="K212" s="129">
        <f ca="1">K251</f>
        <v>-6.3334999999999997E-4</v>
      </c>
      <c r="L212" s="129">
        <f ca="1">L251</f>
        <v>0</v>
      </c>
      <c r="M212" s="50" t="s">
        <v>260</v>
      </c>
    </row>
    <row r="213" spans="1:13" ht="13.5" customHeight="1" outlineLevel="1">
      <c r="A213" s="125"/>
      <c r="C213" s="65" t="s">
        <v>261</v>
      </c>
      <c r="D213" s="65"/>
      <c r="E213" s="65"/>
      <c r="F213" s="65"/>
      <c r="G213" s="197"/>
      <c r="H213" s="251">
        <f>SUM(H210:H212)</f>
        <v>-2.4179911500000002</v>
      </c>
      <c r="I213" s="251">
        <f ca="1">SUM(I210:I212)</f>
        <v>-2.4179911500000002</v>
      </c>
      <c r="J213" s="251">
        <f ca="1">SUM(J210:J212)</f>
        <v>-0.82412353805885086</v>
      </c>
      <c r="K213" s="251">
        <f ca="1">SUM(K210:K212)</f>
        <v>-6.3334999999999997E-4</v>
      </c>
      <c r="L213" s="251">
        <f ca="1">SUM(L210:L212)</f>
        <v>0</v>
      </c>
      <c r="M213" s="50" t="s">
        <v>262</v>
      </c>
    </row>
    <row r="214" spans="1:13" ht="13.5" customHeight="1" outlineLevel="1">
      <c r="A214" s="125"/>
      <c r="C214" s="180" t="s">
        <v>263</v>
      </c>
      <c r="D214" s="180"/>
      <c r="E214" s="180"/>
      <c r="F214" s="180"/>
      <c r="G214" s="199"/>
      <c r="H214" s="254">
        <f>SUM(H213,H207)</f>
        <v>0.58794119223759234</v>
      </c>
      <c r="I214" s="254">
        <f ca="1">SUM(I213,I207)</f>
        <v>7.0958068197035544</v>
      </c>
      <c r="J214" s="254">
        <f ca="1">SUM(J213,J207)</f>
        <v>10.201698367020034</v>
      </c>
      <c r="K214" s="254">
        <f ca="1">SUM(K213,K207)</f>
        <v>22.686972674382147</v>
      </c>
      <c r="L214" s="254">
        <f ca="1">SUM(L213,L207)</f>
        <v>36.605048262544216</v>
      </c>
      <c r="M214" s="50" t="s">
        <v>264</v>
      </c>
    </row>
    <row r="215" spans="1:13" ht="13.5" customHeight="1" outlineLevel="1">
      <c r="A215" s="125"/>
      <c r="C215" s="59"/>
      <c r="D215" s="59"/>
      <c r="E215" s="59"/>
      <c r="F215" s="60"/>
      <c r="G215" s="60"/>
      <c r="H215" s="255"/>
      <c r="I215" s="255"/>
      <c r="J215" s="255"/>
      <c r="K215" s="255"/>
      <c r="L215" s="256"/>
    </row>
    <row r="216" spans="1:13" ht="13.5" customHeight="1" outlineLevel="1">
      <c r="A216" s="125"/>
      <c r="C216" s="68" t="s">
        <v>265</v>
      </c>
      <c r="D216" s="59"/>
      <c r="E216" s="59"/>
      <c r="F216" s="60"/>
      <c r="G216" s="60"/>
      <c r="H216" s="129">
        <f ca="1">MIN(MAX(0,-H214),H235-H229)</f>
        <v>0</v>
      </c>
      <c r="I216" s="129">
        <f ca="1">MIN(MAX(0,-I214),I235-I229)</f>
        <v>0</v>
      </c>
      <c r="J216" s="129">
        <f ca="1">MIN(MAX(0,-J214),J235-J229)</f>
        <v>0</v>
      </c>
      <c r="K216" s="129">
        <f ca="1">MIN(MAX(0,-K214),K235-K229)</f>
        <v>0</v>
      </c>
      <c r="L216" s="129">
        <f ca="1">MIN(MAX(0,-L214),L235-L229)</f>
        <v>0</v>
      </c>
      <c r="M216" s="50" t="s">
        <v>266</v>
      </c>
    </row>
    <row r="217" spans="1:13" ht="13.5" customHeight="1" outlineLevel="1">
      <c r="A217" s="125"/>
      <c r="C217" s="59"/>
      <c r="D217" s="59"/>
      <c r="E217" s="59"/>
      <c r="F217" s="60"/>
      <c r="G217" s="60"/>
      <c r="H217" s="129"/>
      <c r="I217" s="129"/>
      <c r="J217" s="129"/>
      <c r="K217" s="129"/>
      <c r="L217" s="129"/>
    </row>
    <row r="218" spans="1:13" ht="13.5" customHeight="1" outlineLevel="1">
      <c r="A218" s="125"/>
      <c r="C218" s="72" t="s">
        <v>267</v>
      </c>
      <c r="D218" s="68"/>
      <c r="E218" s="68"/>
      <c r="F218" s="68"/>
      <c r="G218" s="147"/>
      <c r="H218" s="129"/>
      <c r="I218" s="129"/>
      <c r="J218" s="129"/>
      <c r="K218" s="129"/>
      <c r="L218" s="129"/>
    </row>
    <row r="219" spans="1:13" ht="13.5" customHeight="1" outlineLevel="1">
      <c r="A219" s="125"/>
      <c r="C219" s="68" t="s">
        <v>268</v>
      </c>
      <c r="D219" s="68"/>
      <c r="E219" s="68"/>
      <c r="F219" s="68"/>
      <c r="G219" s="132"/>
      <c r="H219" s="129">
        <f ca="1">-MAX(0,MIN(H229,SUM(H$214:H218),H229*$L267))</f>
        <v>-0.58794119223759234</v>
      </c>
      <c r="I219" s="129">
        <f ca="1">-MAX(0,MIN(I229,SUM(I$214:I218),I229*$L267))</f>
        <v>-0.70135880776240755</v>
      </c>
      <c r="J219" s="129">
        <f ca="1">-MAX(0,MIN(J229,SUM(J$214:J218),J229*$L267))</f>
        <v>0</v>
      </c>
      <c r="K219" s="129">
        <f ca="1">-MAX(0,MIN(K229,SUM(K$214:K218),K229*$L267))</f>
        <v>0</v>
      </c>
      <c r="L219" s="129">
        <f ca="1">-MAX(0,MIN(L229,SUM(L$214:L218),L229*$L267))</f>
        <v>0</v>
      </c>
      <c r="M219" s="50" t="s">
        <v>269</v>
      </c>
    </row>
    <row r="220" spans="1:13" ht="13.5" customHeight="1" outlineLevel="1">
      <c r="A220" s="125"/>
      <c r="C220" s="68" t="str">
        <f>+C210</f>
        <v>Term Loan A</v>
      </c>
      <c r="D220" s="68"/>
      <c r="E220" s="68"/>
      <c r="F220" s="68"/>
      <c r="G220" s="154"/>
      <c r="H220" s="129">
        <f ca="1">-MAX(0,MIN(SUM(H238:H239),SUM(H$214:H219),$G241*$L268))</f>
        <v>0</v>
      </c>
      <c r="I220" s="129">
        <f ca="1">-MAX(0,MIN(SUM(I238:I239),SUM(I$214:I219),$G241*$L268))</f>
        <v>-6.3944480119411473</v>
      </c>
      <c r="J220" s="129">
        <f ca="1">-MAX(0,MIN(SUM(J238:J239),SUM(J$214:J219),$G241*$L268))</f>
        <v>0</v>
      </c>
      <c r="K220" s="129">
        <f ca="1">-MAX(0,MIN(SUM(K238:K239),SUM(K$214:K219),$G241*$L268))</f>
        <v>0</v>
      </c>
      <c r="L220" s="129">
        <f ca="1">-MAX(0,MIN(SUM(L238:L239),SUM(L$214:L219),$G241*$L268))</f>
        <v>0</v>
      </c>
      <c r="M220" s="50" t="s">
        <v>270</v>
      </c>
    </row>
    <row r="221" spans="1:13" ht="13.5" customHeight="1" outlineLevel="1">
      <c r="A221" s="125"/>
      <c r="C221" s="68" t="str">
        <f>+C211</f>
        <v>Subordinated - Note 1</v>
      </c>
      <c r="D221" s="68"/>
      <c r="E221" s="68"/>
      <c r="F221" s="68"/>
      <c r="G221" s="154"/>
      <c r="H221" s="129">
        <f ca="1">-MAX(0,MIN(SUM(H244:H245),SUM(H$214:H220),$G247*$L269))</f>
        <v>0</v>
      </c>
      <c r="I221" s="129">
        <f ca="1">-MAX(0,MIN(SUM(I244:I245),SUM(I$214:I220),$G247*$L269))</f>
        <v>0</v>
      </c>
      <c r="J221" s="129">
        <f ca="1">-MAX(0,MIN(SUM(J244:J245),SUM(J$214:J220),$G247*$L269))</f>
        <v>-3.4135199999999991E-2</v>
      </c>
      <c r="K221" s="129">
        <f ca="1">-MAX(0,MIN(SUM(K244:K245),SUM(K$214:K220),$G247*$L269))</f>
        <v>0</v>
      </c>
      <c r="L221" s="129">
        <f ca="1">-MAX(0,MIN(SUM(L244:L245),SUM(L$214:L220),$G247*$L269))</f>
        <v>0</v>
      </c>
      <c r="M221" s="50" t="s">
        <v>271</v>
      </c>
    </row>
    <row r="222" spans="1:13" ht="13.5" customHeight="1" outlineLevel="1">
      <c r="A222" s="125"/>
      <c r="C222" s="68" t="str">
        <f>+C212</f>
        <v>Subordinated - Note 2</v>
      </c>
      <c r="D222" s="68"/>
      <c r="E222" s="68"/>
      <c r="F222" s="68"/>
      <c r="G222" s="154"/>
      <c r="H222" s="129">
        <f ca="1">-MAX(0,MIN(SUM(H250:H251),SUM(H$214:H221),$G253*$L270))</f>
        <v>0</v>
      </c>
      <c r="I222" s="129">
        <f ca="1">-MAX(0,MIN(SUM(I250:I251),SUM(I$214:I221),$G253*$L270))</f>
        <v>0</v>
      </c>
      <c r="J222" s="129">
        <f ca="1">-MAX(0,MIN(SUM(J250:J251),SUM(J$214:J221),$G253*$L270))</f>
        <v>-6.3334999999999997E-3</v>
      </c>
      <c r="K222" s="129">
        <f ca="1">-MAX(0,MIN(SUM(K250:K251),SUM(K$214:K221),$G253*$L270))</f>
        <v>-3.8001000000000011E-3</v>
      </c>
      <c r="L222" s="129">
        <f ca="1">-MAX(0,MIN(SUM(L250:L251),SUM(L$214:L221),$G253*$L270))</f>
        <v>0</v>
      </c>
      <c r="M222" s="50" t="s">
        <v>272</v>
      </c>
    </row>
    <row r="223" spans="1:13" ht="13.5" customHeight="1" outlineLevel="1">
      <c r="A223" s="125"/>
      <c r="C223" s="65" t="s">
        <v>273</v>
      </c>
      <c r="D223" s="65"/>
      <c r="E223" s="65"/>
      <c r="F223" s="65"/>
      <c r="G223" s="257"/>
      <c r="H223" s="251">
        <f ca="1">+SUM(H219:H222)</f>
        <v>-0.58794119223759234</v>
      </c>
      <c r="I223" s="251">
        <f t="shared" ref="I223:L223" ca="1" si="56">+SUM(I219:I222)</f>
        <v>-7.0958068197035544</v>
      </c>
      <c r="J223" s="251">
        <f t="shared" ca="1" si="56"/>
        <v>-4.0468699999999989E-2</v>
      </c>
      <c r="K223" s="251">
        <f t="shared" ca="1" si="56"/>
        <v>-3.8001000000000011E-3</v>
      </c>
      <c r="L223" s="251">
        <f t="shared" ca="1" si="56"/>
        <v>0</v>
      </c>
      <c r="M223" s="50" t="s">
        <v>274</v>
      </c>
    </row>
    <row r="224" spans="1:13" ht="13.5" customHeight="1" outlineLevel="1">
      <c r="A224" s="125"/>
      <c r="C224" s="258"/>
      <c r="D224" s="53"/>
      <c r="E224" s="53"/>
      <c r="F224" s="259"/>
      <c r="G224" s="259"/>
      <c r="H224" s="259"/>
      <c r="I224" s="259"/>
      <c r="J224" s="259"/>
      <c r="K224" s="259"/>
      <c r="L224" s="259"/>
    </row>
    <row r="225" spans="1:13" ht="5.0999999999999996" customHeight="1" outlineLevel="1">
      <c r="A225" s="125"/>
      <c r="C225" s="59"/>
      <c r="D225" s="59"/>
      <c r="E225" s="59"/>
      <c r="F225" s="60"/>
      <c r="G225" s="60"/>
      <c r="H225" s="60"/>
      <c r="I225" s="60"/>
      <c r="J225" s="60"/>
      <c r="K225" s="60"/>
    </row>
    <row r="226" spans="1:13" ht="13.5" customHeight="1" outlineLevel="1">
      <c r="A226" s="125"/>
      <c r="C226" s="84" t="s">
        <v>201</v>
      </c>
      <c r="D226" s="85"/>
      <c r="E226" s="86"/>
      <c r="F226" s="86"/>
      <c r="G226" s="86"/>
      <c r="H226" s="86"/>
      <c r="I226" s="86"/>
      <c r="J226" s="86"/>
      <c r="K226" s="86"/>
      <c r="L226" s="87"/>
    </row>
    <row r="227" spans="1:13" ht="13.5" customHeight="1" outlineLevel="1">
      <c r="A227" s="125"/>
      <c r="M227" s="30"/>
    </row>
    <row r="228" spans="1:13" ht="13.5" customHeight="1" outlineLevel="1">
      <c r="A228" s="125"/>
      <c r="C228" s="216" t="str">
        <f>+C113</f>
        <v>Revolver</v>
      </c>
      <c r="D228" s="217"/>
      <c r="E228" s="217"/>
      <c r="F228" s="218"/>
      <c r="G228" s="219"/>
      <c r="H228" s="220"/>
      <c r="I228" s="220"/>
      <c r="J228" s="220"/>
      <c r="K228" s="220"/>
      <c r="L228" s="220"/>
    </row>
    <row r="229" spans="1:13" ht="13.5" customHeight="1" outlineLevel="1">
      <c r="A229" s="125"/>
      <c r="C229" s="98" t="s">
        <v>202</v>
      </c>
      <c r="D229" s="118"/>
      <c r="E229" s="118"/>
      <c r="G229" s="149"/>
      <c r="H229" s="152">
        <f>G232</f>
        <v>1.2892999999999999</v>
      </c>
      <c r="I229" s="152">
        <f ca="1">H232</f>
        <v>0.70135880776240755</v>
      </c>
      <c r="J229" s="152">
        <f ca="1">I232</f>
        <v>0</v>
      </c>
      <c r="K229" s="152">
        <f ca="1">J232</f>
        <v>0</v>
      </c>
      <c r="L229" s="152">
        <f ca="1">K232</f>
        <v>0</v>
      </c>
      <c r="M229" s="50"/>
    </row>
    <row r="230" spans="1:13" ht="13.5" customHeight="1" outlineLevel="1">
      <c r="A230" s="125"/>
      <c r="C230" s="91" t="s">
        <v>204</v>
      </c>
      <c r="D230" s="118"/>
      <c r="E230" s="118"/>
      <c r="G230" s="149"/>
      <c r="H230" s="129">
        <f ca="1">H216</f>
        <v>0</v>
      </c>
      <c r="I230" s="129">
        <f ca="1">I216</f>
        <v>0</v>
      </c>
      <c r="J230" s="129">
        <f ca="1">J216</f>
        <v>0</v>
      </c>
      <c r="K230" s="129">
        <f ca="1">K216</f>
        <v>0</v>
      </c>
      <c r="L230" s="129">
        <f ca="1">L216</f>
        <v>0</v>
      </c>
      <c r="M230" s="50" t="s">
        <v>275</v>
      </c>
    </row>
    <row r="231" spans="1:13" ht="13.5" customHeight="1" outlineLevel="1">
      <c r="A231" s="125"/>
      <c r="C231" s="91" t="s">
        <v>206</v>
      </c>
      <c r="D231" s="118"/>
      <c r="E231" s="118"/>
      <c r="G231" s="149"/>
      <c r="H231" s="129">
        <f ca="1">H219</f>
        <v>-0.58794119223759234</v>
      </c>
      <c r="I231" s="129">
        <f ca="1">I219</f>
        <v>-0.70135880776240755</v>
      </c>
      <c r="J231" s="129">
        <f ca="1">J219</f>
        <v>0</v>
      </c>
      <c r="K231" s="129">
        <f ca="1">K219</f>
        <v>0</v>
      </c>
      <c r="L231" s="129">
        <f ca="1">L219</f>
        <v>0</v>
      </c>
      <c r="M231" s="50" t="s">
        <v>276</v>
      </c>
    </row>
    <row r="232" spans="1:13" ht="13.5" customHeight="1" outlineLevel="1">
      <c r="A232" s="125"/>
      <c r="C232" s="65" t="s">
        <v>207</v>
      </c>
      <c r="D232" s="65"/>
      <c r="E232" s="65"/>
      <c r="F232" s="65"/>
      <c r="G232" s="260">
        <f>G78</f>
        <v>1.2892999999999999</v>
      </c>
      <c r="H232" s="260">
        <f ca="1">SUM(H229:H231)</f>
        <v>0.70135880776240755</v>
      </c>
      <c r="I232" s="260">
        <f ca="1">SUM(I229:I231)</f>
        <v>0</v>
      </c>
      <c r="J232" s="260">
        <f ca="1">SUM(J229:J231)</f>
        <v>0</v>
      </c>
      <c r="K232" s="260">
        <f ca="1">SUM(K229:K231)</f>
        <v>0</v>
      </c>
      <c r="L232" s="260">
        <f ca="1">SUM(L229:L231)</f>
        <v>0</v>
      </c>
      <c r="M232" s="50"/>
    </row>
    <row r="233" spans="1:13" ht="13.5" customHeight="1" outlineLevel="1">
      <c r="A233" s="125"/>
      <c r="C233" s="68"/>
      <c r="D233" s="68"/>
      <c r="E233" s="68"/>
      <c r="F233" s="68"/>
      <c r="G233" s="147"/>
      <c r="H233" s="154"/>
      <c r="I233" s="68"/>
      <c r="J233" s="68"/>
      <c r="K233" s="68"/>
      <c r="L233" s="68"/>
    </row>
    <row r="234" spans="1:13" ht="13.5" customHeight="1" outlineLevel="1">
      <c r="A234" s="125"/>
      <c r="C234" s="68" t="s">
        <v>209</v>
      </c>
      <c r="D234" s="68"/>
      <c r="E234" s="68"/>
      <c r="F234" s="68"/>
      <c r="G234" s="159">
        <v>30</v>
      </c>
      <c r="H234" s="159">
        <v>30</v>
      </c>
      <c r="I234" s="159">
        <v>30</v>
      </c>
      <c r="J234" s="159">
        <v>30</v>
      </c>
      <c r="K234" s="159">
        <v>30</v>
      </c>
      <c r="L234" s="159">
        <v>30</v>
      </c>
      <c r="M234" s="50"/>
    </row>
    <row r="235" spans="1:13" ht="13.5" customHeight="1" outlineLevel="1">
      <c r="A235" s="125"/>
      <c r="C235" s="98" t="s">
        <v>211</v>
      </c>
      <c r="D235" s="223"/>
      <c r="E235" s="223"/>
      <c r="F235" s="223"/>
      <c r="G235" s="177">
        <f t="shared" ref="G235:L235" si="57">G234-G232</f>
        <v>28.710699999999999</v>
      </c>
      <c r="H235" s="177">
        <f t="shared" ca="1" si="57"/>
        <v>29.298641192237593</v>
      </c>
      <c r="I235" s="177">
        <f t="shared" ca="1" si="57"/>
        <v>30</v>
      </c>
      <c r="J235" s="177">
        <f t="shared" ca="1" si="57"/>
        <v>30</v>
      </c>
      <c r="K235" s="177">
        <f t="shared" ca="1" si="57"/>
        <v>30</v>
      </c>
      <c r="L235" s="177">
        <f t="shared" ca="1" si="57"/>
        <v>30</v>
      </c>
      <c r="M235" s="50"/>
    </row>
    <row r="236" spans="1:13" ht="13.5" customHeight="1" outlineLevel="1">
      <c r="A236" s="125"/>
      <c r="C236" s="68"/>
      <c r="G236" s="68"/>
      <c r="H236" s="68"/>
      <c r="I236" s="68"/>
      <c r="J236" s="68"/>
      <c r="K236" s="68"/>
      <c r="L236" s="68"/>
    </row>
    <row r="237" spans="1:13" ht="13.5" customHeight="1" outlineLevel="1">
      <c r="A237" s="125"/>
      <c r="C237" s="216" t="str">
        <f>+C114</f>
        <v>Term Loan A</v>
      </c>
      <c r="D237" s="217"/>
      <c r="E237" s="217"/>
      <c r="F237" s="218"/>
      <c r="G237" s="219"/>
      <c r="H237" s="224"/>
      <c r="I237" s="224"/>
      <c r="J237" s="225"/>
      <c r="K237" s="225"/>
      <c r="L237" s="225"/>
    </row>
    <row r="238" spans="1:13" ht="13.5" customHeight="1" outlineLevel="1">
      <c r="A238" s="125"/>
      <c r="C238" s="98" t="s">
        <v>202</v>
      </c>
      <c r="D238" s="118"/>
      <c r="E238" s="118"/>
      <c r="G238" s="149"/>
      <c r="H238" s="152">
        <f>G241</f>
        <v>12.001450999999999</v>
      </c>
      <c r="I238" s="152">
        <f ca="1">H241</f>
        <v>9.6011607999999988</v>
      </c>
      <c r="J238" s="152">
        <f ca="1">I241</f>
        <v>0.80642258805885092</v>
      </c>
      <c r="K238" s="152">
        <f ca="1">J241</f>
        <v>0</v>
      </c>
      <c r="L238" s="152">
        <f ca="1">K241</f>
        <v>0</v>
      </c>
      <c r="M238" s="50"/>
    </row>
    <row r="239" spans="1:13" ht="13.5" customHeight="1" outlineLevel="1">
      <c r="A239" s="125"/>
      <c r="C239" s="91" t="s">
        <v>214</v>
      </c>
      <c r="D239" s="118"/>
      <c r="E239" s="118"/>
      <c r="G239" s="149"/>
      <c r="H239" s="177">
        <f>-MIN(($G241*H258),H238)</f>
        <v>-2.4002902000000002</v>
      </c>
      <c r="I239" s="177">
        <f ca="1">-MIN(($G241*I258),I238)</f>
        <v>-2.4002902000000002</v>
      </c>
      <c r="J239" s="177">
        <f ca="1">-MIN(($G241*J258),J238)</f>
        <v>-0.80642258805885092</v>
      </c>
      <c r="K239" s="177">
        <f ca="1">-MIN(($G241*K258),K238)</f>
        <v>0</v>
      </c>
      <c r="L239" s="177">
        <f ca="1">-MIN(($G241*L258),L238)</f>
        <v>0</v>
      </c>
      <c r="M239" s="50"/>
    </row>
    <row r="240" spans="1:13" ht="13.5" customHeight="1" outlineLevel="1">
      <c r="A240" s="125"/>
      <c r="C240" s="91" t="s">
        <v>216</v>
      </c>
      <c r="D240" s="118"/>
      <c r="E240" s="118"/>
      <c r="G240" s="149"/>
      <c r="H240" s="165">
        <f ca="1">H220</f>
        <v>0</v>
      </c>
      <c r="I240" s="165">
        <f t="shared" ref="I240:L240" ca="1" si="58">I220</f>
        <v>-6.3944480119411473</v>
      </c>
      <c r="J240" s="165">
        <f t="shared" ca="1" si="58"/>
        <v>0</v>
      </c>
      <c r="K240" s="165">
        <f t="shared" ca="1" si="58"/>
        <v>0</v>
      </c>
      <c r="L240" s="165">
        <f t="shared" ca="1" si="58"/>
        <v>0</v>
      </c>
      <c r="M240" s="50" t="s">
        <v>277</v>
      </c>
    </row>
    <row r="241" spans="1:13" ht="13.5" customHeight="1" outlineLevel="1">
      <c r="A241" s="125"/>
      <c r="C241" s="65" t="s">
        <v>207</v>
      </c>
      <c r="D241" s="65"/>
      <c r="E241" s="65"/>
      <c r="F241" s="65"/>
      <c r="G241" s="260">
        <f>G79</f>
        <v>12.001450999999999</v>
      </c>
      <c r="H241" s="261">
        <f ca="1">SUM(H238:H240)</f>
        <v>9.6011607999999988</v>
      </c>
      <c r="I241" s="261">
        <f ca="1">SUM(I238:I240)</f>
        <v>0.80642258805885092</v>
      </c>
      <c r="J241" s="261">
        <f ca="1">SUM(J238:J240)</f>
        <v>0</v>
      </c>
      <c r="K241" s="261">
        <f ca="1">SUM(K238:K240)</f>
        <v>0</v>
      </c>
      <c r="L241" s="261">
        <f ca="1">SUM(L238:L240)</f>
        <v>0</v>
      </c>
      <c r="M241" s="50"/>
    </row>
    <row r="242" spans="1:13" ht="13.5" customHeight="1" outlineLevel="1">
      <c r="A242" s="125"/>
      <c r="C242" s="68"/>
      <c r="G242" s="68"/>
      <c r="H242" s="68"/>
      <c r="I242" s="68"/>
      <c r="J242" s="68"/>
      <c r="K242" s="68"/>
      <c r="L242" s="68"/>
    </row>
    <row r="243" spans="1:13" ht="13.5" customHeight="1" outlineLevel="1">
      <c r="A243" s="125"/>
      <c r="C243" s="216" t="str">
        <f>+C115</f>
        <v>Subordinated - Note 1</v>
      </c>
      <c r="D243" s="217"/>
      <c r="E243" s="217"/>
      <c r="F243" s="218"/>
      <c r="G243" s="219"/>
      <c r="H243" s="224"/>
      <c r="I243" s="224"/>
      <c r="J243" s="225"/>
      <c r="K243" s="225"/>
      <c r="L243" s="225"/>
    </row>
    <row r="244" spans="1:13" ht="13.5" customHeight="1" outlineLevel="1">
      <c r="A244" s="125"/>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1:13" ht="13.5" customHeight="1" outlineLevel="1">
      <c r="A245" s="125"/>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1:13" ht="13.5" customHeight="1" outlineLevel="1">
      <c r="A246" s="125"/>
      <c r="C246" s="91" t="s">
        <v>216</v>
      </c>
      <c r="D246" s="118"/>
      <c r="E246" s="118"/>
      <c r="G246" s="154"/>
      <c r="H246" s="165">
        <f ca="1">H221</f>
        <v>0</v>
      </c>
      <c r="I246" s="165">
        <f ca="1">I221</f>
        <v>0</v>
      </c>
      <c r="J246" s="165">
        <f ca="1">J221</f>
        <v>-3.4135199999999991E-2</v>
      </c>
      <c r="K246" s="165">
        <f ca="1">K221</f>
        <v>0</v>
      </c>
      <c r="L246" s="165">
        <f ca="1">L221</f>
        <v>0</v>
      </c>
      <c r="M246" s="50" t="s">
        <v>278</v>
      </c>
    </row>
    <row r="247" spans="1:13" ht="13.5" customHeight="1" outlineLevel="1">
      <c r="A247" s="125"/>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1:13" ht="13.5" customHeight="1" outlineLevel="1">
      <c r="A248" s="125"/>
      <c r="C248" s="68"/>
      <c r="G248" s="68"/>
      <c r="H248" s="68"/>
      <c r="I248" s="68"/>
      <c r="J248" s="68"/>
      <c r="K248" s="68"/>
      <c r="L248" s="68"/>
    </row>
    <row r="249" spans="1:13" ht="13.5" customHeight="1" outlineLevel="1">
      <c r="A249" s="125"/>
      <c r="C249" s="216" t="str">
        <f>+C116</f>
        <v>Subordinated - Note 2</v>
      </c>
      <c r="D249" s="217"/>
      <c r="E249" s="217"/>
      <c r="F249" s="218"/>
      <c r="G249" s="219"/>
      <c r="H249" s="224"/>
      <c r="I249" s="224"/>
      <c r="J249" s="225"/>
      <c r="K249" s="225"/>
      <c r="L249" s="225"/>
    </row>
    <row r="250" spans="1:13" ht="13.5" customHeight="1" outlineLevel="1">
      <c r="A250" s="125"/>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1:13" ht="13.5" customHeight="1" outlineLevel="1">
      <c r="A251" s="125"/>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1:13" ht="13.5" customHeight="1" outlineLevel="1">
      <c r="A252" s="125"/>
      <c r="C252" s="91" t="s">
        <v>216</v>
      </c>
      <c r="D252" s="118"/>
      <c r="E252" s="118"/>
      <c r="G252" s="154"/>
      <c r="H252" s="165">
        <f ca="1">H222</f>
        <v>0</v>
      </c>
      <c r="I252" s="165">
        <f t="shared" ref="I252:L252" ca="1" si="59">I222</f>
        <v>0</v>
      </c>
      <c r="J252" s="165">
        <f t="shared" ca="1" si="59"/>
        <v>-6.3334999999999997E-3</v>
      </c>
      <c r="K252" s="165">
        <f t="shared" ca="1" si="59"/>
        <v>-3.8001000000000011E-3</v>
      </c>
      <c r="L252" s="165">
        <f t="shared" ca="1" si="59"/>
        <v>0</v>
      </c>
      <c r="M252" s="50" t="s">
        <v>279</v>
      </c>
    </row>
    <row r="253" spans="1:13" ht="13.5" customHeight="1" outlineLevel="1">
      <c r="A253" s="125"/>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1:13" ht="13.5" customHeight="1" outlineLevel="1">
      <c r="A254" s="125"/>
      <c r="C254" s="68"/>
      <c r="G254" s="68"/>
      <c r="H254" s="68"/>
      <c r="I254" s="68"/>
      <c r="J254" s="68"/>
      <c r="K254" s="68"/>
      <c r="L254" s="68"/>
    </row>
    <row r="255" spans="1:13" ht="13.5" customHeight="1" outlineLevel="1">
      <c r="A255" s="125"/>
      <c r="C255" s="84" t="s">
        <v>221</v>
      </c>
      <c r="D255" s="85"/>
      <c r="E255" s="86"/>
      <c r="F255" s="86"/>
      <c r="G255" s="234" t="s">
        <v>222</v>
      </c>
      <c r="H255" s="86"/>
      <c r="I255" s="86"/>
      <c r="J255" s="86"/>
      <c r="K255" s="86"/>
      <c r="L255" s="87"/>
    </row>
    <row r="256" spans="1:13" ht="13.5" customHeight="1" outlineLevel="1">
      <c r="A256" s="125"/>
      <c r="C256" s="68"/>
    </row>
    <row r="257" spans="1:13" ht="13.5" customHeight="1" outlineLevel="1">
      <c r="A257" s="125"/>
      <c r="C257" s="68"/>
      <c r="G257" s="235" t="s">
        <v>222</v>
      </c>
      <c r="H257" s="236" t="s">
        <v>223</v>
      </c>
      <c r="I257" s="237"/>
      <c r="J257" s="237"/>
      <c r="K257" s="237"/>
      <c r="L257" s="237"/>
    </row>
    <row r="258" spans="1:13" ht="13.5" customHeight="1" outlineLevel="1">
      <c r="A258" s="125"/>
      <c r="C258" s="68" t="str">
        <f>+C237</f>
        <v>Term Loan A</v>
      </c>
      <c r="G258" s="152">
        <f>G241</f>
        <v>12.001450999999999</v>
      </c>
      <c r="H258" s="263">
        <v>0.2</v>
      </c>
      <c r="I258" s="263">
        <v>0.2</v>
      </c>
      <c r="J258" s="263">
        <v>0.2</v>
      </c>
      <c r="K258" s="263">
        <v>0.2</v>
      </c>
      <c r="L258" s="263">
        <v>0.2</v>
      </c>
      <c r="M258" s="50"/>
    </row>
    <row r="259" spans="1:13" ht="13.5" customHeight="1" outlineLevel="1">
      <c r="A259" s="125"/>
      <c r="C259" s="68" t="str">
        <f>+C243</f>
        <v>Subordinated - Note 1</v>
      </c>
      <c r="G259" s="152">
        <f>G247</f>
        <v>8.5337999999999997E-2</v>
      </c>
      <c r="H259" s="263">
        <v>0.2</v>
      </c>
      <c r="I259" s="263">
        <v>0.2</v>
      </c>
      <c r="J259" s="263">
        <v>0.2</v>
      </c>
      <c r="K259" s="263">
        <v>0.2</v>
      </c>
      <c r="L259" s="263">
        <v>0.2</v>
      </c>
      <c r="M259" s="50"/>
    </row>
    <row r="260" spans="1:13" ht="13.5" customHeight="1" outlineLevel="1">
      <c r="A260" s="125"/>
      <c r="C260" s="68" t="str">
        <f>+C249</f>
        <v>Subordinated - Note 2</v>
      </c>
      <c r="G260" s="152">
        <f>G253</f>
        <v>1.2666999999999999E-2</v>
      </c>
      <c r="H260" s="263">
        <v>0.05</v>
      </c>
      <c r="I260" s="263">
        <v>0.05</v>
      </c>
      <c r="J260" s="263">
        <v>0.05</v>
      </c>
      <c r="K260" s="263">
        <v>0.05</v>
      </c>
      <c r="L260" s="263">
        <v>0.8</v>
      </c>
      <c r="M260" s="50"/>
    </row>
    <row r="261" spans="1:13" ht="13.5" customHeight="1" outlineLevel="1">
      <c r="A261" s="125"/>
      <c r="C261" s="68"/>
    </row>
    <row r="262" spans="1:13" ht="13.5" customHeight="1" outlineLevel="1">
      <c r="A262" s="125"/>
      <c r="C262" s="84" t="s">
        <v>227</v>
      </c>
      <c r="D262" s="85"/>
      <c r="E262" s="86"/>
      <c r="F262" s="86"/>
      <c r="G262" s="86"/>
      <c r="H262" s="86"/>
      <c r="I262" s="86"/>
      <c r="J262" s="86"/>
      <c r="K262" s="86"/>
      <c r="L262" s="87"/>
    </row>
    <row r="263" spans="1:13" ht="13.5" customHeight="1" outlineLevel="1">
      <c r="A263" s="125"/>
      <c r="C263" s="68"/>
    </row>
    <row r="264" spans="1:13" ht="13.5" customHeight="1" outlineLevel="1">
      <c r="A264" s="125"/>
      <c r="C264" s="239"/>
      <c r="D264" s="240"/>
      <c r="E264" s="240"/>
      <c r="H264" s="54"/>
      <c r="I264" s="54" t="s">
        <v>228</v>
      </c>
      <c r="J264" s="54" t="s">
        <v>229</v>
      </c>
      <c r="K264" s="54" t="s">
        <v>230</v>
      </c>
      <c r="L264" s="54" t="s">
        <v>98</v>
      </c>
    </row>
    <row r="265" spans="1:13" ht="13.5" customHeight="1" outlineLevel="1" thickBot="1">
      <c r="A265" s="125"/>
      <c r="C265" s="241"/>
      <c r="D265" s="242"/>
      <c r="E265" s="242"/>
      <c r="F265" s="243"/>
      <c r="G265" s="244" t="s">
        <v>231</v>
      </c>
      <c r="H265" s="243" t="s">
        <v>232</v>
      </c>
      <c r="I265" s="243" t="s">
        <v>232</v>
      </c>
      <c r="J265" s="243" t="s">
        <v>232</v>
      </c>
      <c r="K265" s="243" t="s">
        <v>233</v>
      </c>
      <c r="L265" s="243" t="s">
        <v>234</v>
      </c>
      <c r="M265" s="50"/>
    </row>
    <row r="266" spans="1:13" ht="5.0999999999999996" customHeight="1" outlineLevel="1">
      <c r="A266" s="125"/>
      <c r="C266" s="98"/>
      <c r="D266" s="118"/>
      <c r="E266" s="118"/>
      <c r="F266" s="245"/>
      <c r="G266" s="245"/>
      <c r="H266" s="245"/>
      <c r="I266" s="245"/>
      <c r="J266" s="245"/>
      <c r="K266" s="118"/>
    </row>
    <row r="267" spans="1:13" ht="13.5" customHeight="1" outlineLevel="1">
      <c r="A267" s="125"/>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1:13" ht="13.5" customHeight="1" outlineLevel="1">
      <c r="A268" s="125"/>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1:13" ht="13.5" customHeight="1" outlineLevel="1">
      <c r="A269" s="125"/>
      <c r="C269" s="98" t="str">
        <f>+C243</f>
        <v>Subordinated - Note 1</v>
      </c>
      <c r="D269" s="118"/>
      <c r="E269" s="118"/>
      <c r="F269" s="264"/>
      <c r="G269" s="265" t="s">
        <v>242</v>
      </c>
      <c r="H269" s="265" t="s">
        <v>241</v>
      </c>
      <c r="I269" s="265" t="s">
        <v>241</v>
      </c>
      <c r="J269" s="265" t="s">
        <v>241</v>
      </c>
      <c r="K269" s="265">
        <v>0.12</v>
      </c>
      <c r="L269" s="267">
        <v>1</v>
      </c>
      <c r="M269" s="50"/>
    </row>
    <row r="270" spans="1:13" ht="13.5" customHeight="1" outlineLevel="1">
      <c r="A270" s="125"/>
      <c r="C270" s="98" t="str">
        <f>+C249</f>
        <v>Subordinated - Note 2</v>
      </c>
      <c r="D270" s="118"/>
      <c r="E270" s="118"/>
      <c r="F270" s="264"/>
      <c r="G270" s="265" t="s">
        <v>242</v>
      </c>
      <c r="H270" s="265" t="s">
        <v>241</v>
      </c>
      <c r="I270" s="265" t="s">
        <v>241</v>
      </c>
      <c r="J270" s="265" t="s">
        <v>241</v>
      </c>
      <c r="K270" s="265">
        <v>0.14499999999999999</v>
      </c>
      <c r="L270" s="267">
        <v>0.5</v>
      </c>
      <c r="M270" s="50"/>
    </row>
    <row r="271" spans="1:13" ht="5.0999999999999996" customHeight="1" outlineLevel="1" thickBot="1">
      <c r="C271" s="157"/>
      <c r="D271" s="157"/>
      <c r="E271" s="157"/>
      <c r="F271" s="83"/>
      <c r="G271" s="83"/>
      <c r="H271" s="83"/>
      <c r="I271" s="83"/>
      <c r="J271" s="83"/>
      <c r="K271" s="83"/>
      <c r="L271" s="83"/>
    </row>
    <row r="273" spans="1:19" ht="19.5" customHeight="1">
      <c r="A273" s="82"/>
      <c r="B273" s="82"/>
      <c r="C273" s="121"/>
      <c r="D273" s="82"/>
      <c r="E273" s="82"/>
      <c r="F273" s="82"/>
      <c r="G273" s="82"/>
      <c r="H273" s="82"/>
      <c r="I273" s="82"/>
      <c r="J273" s="82"/>
      <c r="K273" s="82"/>
      <c r="L273" s="82"/>
      <c r="M273" s="82"/>
      <c r="N273" s="82"/>
      <c r="O273" s="82"/>
      <c r="P273" s="82"/>
      <c r="Q273" s="82"/>
      <c r="R273" s="82"/>
      <c r="S273" s="82"/>
    </row>
    <row r="274" spans="1:19" ht="5.0999999999999996" customHeight="1">
      <c r="A274" s="82"/>
      <c r="B274" s="82"/>
      <c r="C274" s="82"/>
      <c r="D274" s="82"/>
      <c r="E274" s="82"/>
      <c r="F274" s="82"/>
      <c r="G274" s="82"/>
      <c r="H274" s="82"/>
      <c r="I274" s="82"/>
      <c r="J274" s="82"/>
      <c r="K274" s="82"/>
      <c r="L274" s="82"/>
      <c r="M274" s="82"/>
      <c r="N274" s="82"/>
      <c r="O274" s="82"/>
      <c r="P274" s="82"/>
      <c r="Q274" s="82"/>
      <c r="R274" s="82"/>
      <c r="S274" s="82"/>
    </row>
    <row r="275" spans="1:19" ht="13.5" customHeight="1">
      <c r="A275" s="82"/>
      <c r="B275" s="82"/>
      <c r="C275" s="123"/>
      <c r="D275" s="82"/>
      <c r="E275" s="82"/>
      <c r="F275" s="82"/>
      <c r="G275" s="82"/>
      <c r="H275" s="82"/>
      <c r="I275" s="82"/>
      <c r="J275" s="82"/>
      <c r="K275" s="82"/>
      <c r="L275" s="82"/>
      <c r="M275" s="82"/>
      <c r="N275" s="82"/>
      <c r="O275" s="82"/>
      <c r="P275" s="82"/>
      <c r="Q275" s="82"/>
      <c r="R275" s="82"/>
      <c r="S275" s="82"/>
    </row>
    <row r="276" spans="1:19" ht="13.5" customHeight="1">
      <c r="A276" s="82"/>
      <c r="B276" s="82"/>
      <c r="C276" s="82"/>
      <c r="D276" s="82"/>
      <c r="E276" s="82"/>
      <c r="F276" s="124"/>
      <c r="G276" s="124"/>
      <c r="H276" s="82"/>
      <c r="I276" s="82"/>
      <c r="J276" s="82"/>
      <c r="K276" s="82"/>
      <c r="L276" s="82"/>
      <c r="M276" s="82"/>
      <c r="N276" s="82"/>
      <c r="O276" s="82"/>
      <c r="P276" s="82"/>
      <c r="Q276" s="82"/>
      <c r="R276" s="82"/>
      <c r="S276" s="82"/>
    </row>
    <row r="277" spans="1:19" ht="13.5" customHeight="1">
      <c r="A277" s="82"/>
      <c r="B277" s="82"/>
      <c r="C277" s="82"/>
      <c r="D277" s="82"/>
      <c r="E277" s="82"/>
      <c r="F277" s="124"/>
      <c r="G277" s="124"/>
      <c r="H277" s="82"/>
      <c r="I277" s="82"/>
      <c r="J277" s="82"/>
      <c r="K277" s="82"/>
      <c r="L277" s="82"/>
      <c r="M277" s="82"/>
      <c r="N277" s="82"/>
      <c r="O277" s="82"/>
      <c r="P277" s="82"/>
      <c r="Q277" s="82"/>
      <c r="R277" s="82"/>
      <c r="S277" s="82"/>
    </row>
    <row r="278" spans="1:19" ht="13.5" customHeight="1">
      <c r="A278" s="82"/>
      <c r="B278" s="82"/>
      <c r="C278" s="82"/>
      <c r="D278" s="82"/>
      <c r="E278" s="82"/>
      <c r="F278" s="124"/>
      <c r="G278" s="124"/>
      <c r="H278" s="82"/>
      <c r="I278" s="82"/>
      <c r="J278" s="82"/>
      <c r="K278" s="82"/>
      <c r="L278" s="82"/>
      <c r="M278" s="82"/>
      <c r="N278" s="82"/>
      <c r="O278" s="82"/>
      <c r="P278" s="82"/>
      <c r="Q278" s="82"/>
      <c r="R278" s="82"/>
      <c r="S278" s="82"/>
    </row>
    <row r="279" spans="1:19" ht="13.5" customHeight="1">
      <c r="A279" s="82"/>
      <c r="B279" s="82"/>
      <c r="C279" s="82"/>
      <c r="D279" s="82"/>
      <c r="E279" s="82"/>
      <c r="F279" s="124"/>
      <c r="G279" s="124"/>
      <c r="H279" s="82"/>
      <c r="I279" s="82"/>
      <c r="J279" s="82"/>
      <c r="K279" s="82"/>
      <c r="L279" s="82"/>
      <c r="M279" s="82"/>
      <c r="N279" s="82"/>
      <c r="O279" s="82"/>
      <c r="P279" s="82"/>
      <c r="Q279" s="82"/>
      <c r="R279" s="82"/>
      <c r="S279" s="82"/>
    </row>
    <row r="280" spans="1:19" ht="13.5" customHeight="1">
      <c r="A280" s="82"/>
      <c r="B280" s="82"/>
      <c r="C280" s="82"/>
      <c r="D280" s="82"/>
      <c r="E280" s="82"/>
      <c r="F280" s="82"/>
      <c r="G280" s="82"/>
      <c r="H280" s="82"/>
      <c r="I280" s="82"/>
      <c r="J280" s="82"/>
      <c r="K280" s="82"/>
      <c r="L280" s="82"/>
      <c r="M280" s="82"/>
      <c r="N280" s="82"/>
      <c r="O280" s="82"/>
      <c r="P280" s="82"/>
      <c r="Q280" s="82"/>
      <c r="R280" s="82"/>
      <c r="S280" s="82"/>
    </row>
    <row r="281" spans="1:19" ht="13.5" customHeight="1">
      <c r="A281" s="82"/>
      <c r="B281" s="82"/>
      <c r="C281" s="123"/>
      <c r="D281" s="82"/>
      <c r="E281" s="82"/>
      <c r="F281" s="82"/>
      <c r="G281" s="82"/>
      <c r="H281" s="82"/>
      <c r="I281" s="82"/>
      <c r="J281" s="82"/>
      <c r="K281" s="82"/>
      <c r="L281" s="82"/>
      <c r="M281" s="82"/>
      <c r="N281" s="82"/>
      <c r="O281" s="82"/>
      <c r="P281" s="82"/>
      <c r="Q281" s="82"/>
      <c r="R281" s="82"/>
      <c r="S281" s="82"/>
    </row>
    <row r="282" spans="1:19" ht="13.5" customHeight="1">
      <c r="A282" s="82"/>
      <c r="B282" s="82"/>
      <c r="C282" s="82"/>
      <c r="D282" s="82"/>
      <c r="E282" s="82"/>
      <c r="F282" s="124"/>
      <c r="G282" s="124"/>
      <c r="H282" s="82"/>
      <c r="I282" s="82"/>
      <c r="J282" s="82"/>
      <c r="K282" s="82"/>
      <c r="L282" s="82"/>
      <c r="M282" s="82"/>
      <c r="N282" s="82"/>
      <c r="O282" s="82"/>
      <c r="P282" s="82"/>
      <c r="Q282" s="82"/>
      <c r="R282" s="82"/>
      <c r="S282" s="82"/>
    </row>
    <row r="283" spans="1:19" ht="13.5" customHeight="1">
      <c r="A283" s="82"/>
      <c r="B283" s="82"/>
      <c r="C283" s="82"/>
      <c r="D283" s="82"/>
      <c r="E283" s="82"/>
      <c r="F283" s="124"/>
      <c r="G283" s="124"/>
      <c r="H283" s="82"/>
      <c r="I283" s="82"/>
      <c r="J283" s="82"/>
      <c r="K283" s="82"/>
      <c r="L283" s="82"/>
      <c r="M283" s="82"/>
      <c r="N283" s="82"/>
      <c r="O283" s="82"/>
      <c r="P283" s="82"/>
      <c r="Q283" s="82"/>
      <c r="R283" s="82"/>
      <c r="S283" s="82"/>
    </row>
    <row r="284" spans="1:19" ht="13.5" customHeight="1">
      <c r="A284" s="82"/>
      <c r="B284" s="82"/>
      <c r="C284" s="82"/>
      <c r="D284" s="82"/>
      <c r="E284" s="82"/>
      <c r="F284" s="124"/>
      <c r="G284" s="124"/>
      <c r="H284" s="82"/>
      <c r="I284" s="82"/>
      <c r="J284" s="82"/>
      <c r="K284" s="82"/>
      <c r="L284" s="82"/>
      <c r="M284" s="82"/>
      <c r="N284" s="82"/>
      <c r="O284" s="82"/>
      <c r="P284" s="82"/>
      <c r="Q284" s="82"/>
      <c r="R284" s="82"/>
      <c r="S284" s="82"/>
    </row>
    <row r="285" spans="1:19" ht="13.5" customHeight="1">
      <c r="A285" s="82"/>
      <c r="B285" s="82"/>
      <c r="C285" s="82"/>
      <c r="D285" s="82"/>
      <c r="E285" s="82"/>
      <c r="F285" s="124"/>
      <c r="G285" s="124"/>
      <c r="H285" s="82"/>
      <c r="I285" s="82"/>
      <c r="J285" s="82"/>
      <c r="K285" s="82"/>
      <c r="L285" s="82"/>
      <c r="M285" s="82"/>
      <c r="N285" s="82"/>
      <c r="O285" s="82"/>
      <c r="P285" s="82"/>
      <c r="Q285" s="82"/>
      <c r="R285" s="82"/>
      <c r="S285" s="82"/>
    </row>
    <row r="286" spans="1:19" ht="5.0999999999999996" customHeight="1">
      <c r="A286" s="82"/>
      <c r="B286" s="82"/>
      <c r="C286" s="82"/>
      <c r="D286" s="82"/>
      <c r="E286" s="82"/>
      <c r="F286" s="82"/>
      <c r="G286" s="82"/>
      <c r="H286" s="82"/>
      <c r="I286" s="82"/>
      <c r="J286" s="82"/>
      <c r="K286" s="82"/>
      <c r="L286" s="82"/>
      <c r="M286" s="82"/>
      <c r="N286" s="82"/>
      <c r="O286" s="82"/>
      <c r="P286" s="82"/>
      <c r="Q286" s="82"/>
      <c r="R286" s="82"/>
      <c r="S286" s="82"/>
    </row>
    <row r="287" spans="1:19" ht="13.5" customHeight="1">
      <c r="A287" s="82"/>
      <c r="B287" s="82"/>
      <c r="C287" s="82"/>
      <c r="D287" s="82"/>
      <c r="E287" s="82"/>
      <c r="F287" s="124"/>
      <c r="G287" s="124"/>
      <c r="H287" s="82"/>
      <c r="I287" s="82"/>
      <c r="J287" s="82"/>
      <c r="K287" s="82"/>
      <c r="L287" s="82"/>
      <c r="M287" s="82"/>
      <c r="N287" s="82"/>
      <c r="O287" s="82"/>
      <c r="P287" s="82"/>
      <c r="Q287" s="82"/>
      <c r="R287" s="82"/>
      <c r="S287" s="82"/>
    </row>
    <row r="288" spans="1:19" ht="13.5" customHeight="1">
      <c r="A288" s="82"/>
      <c r="B288" s="82"/>
      <c r="C288" s="82"/>
      <c r="D288" s="82"/>
      <c r="E288" s="82"/>
      <c r="F288" s="124"/>
      <c r="G288" s="124"/>
      <c r="H288" s="82"/>
      <c r="I288" s="82"/>
      <c r="J288" s="82"/>
      <c r="K288" s="82"/>
      <c r="L288" s="82"/>
      <c r="M288" s="82"/>
      <c r="N288" s="82"/>
      <c r="O288" s="82"/>
      <c r="P288" s="82"/>
      <c r="Q288" s="82"/>
      <c r="R288" s="82"/>
      <c r="S288" s="82"/>
    </row>
    <row r="289" spans="1:19" ht="13.5" customHeight="1">
      <c r="A289" s="82"/>
      <c r="B289" s="82"/>
      <c r="C289" s="82"/>
      <c r="D289" s="82"/>
      <c r="E289" s="82"/>
      <c r="F289" s="82"/>
      <c r="G289" s="82"/>
      <c r="H289" s="82"/>
      <c r="I289" s="82"/>
      <c r="J289" s="82"/>
      <c r="K289" s="82"/>
      <c r="L289" s="82"/>
      <c r="M289" s="82"/>
      <c r="N289" s="82"/>
      <c r="O289" s="82"/>
      <c r="P289" s="82"/>
      <c r="Q289" s="82"/>
      <c r="R289" s="82"/>
      <c r="S289" s="82"/>
    </row>
    <row r="290" spans="1:19" ht="13.5" customHeight="1">
      <c r="F290" s="124"/>
      <c r="G290" s="124"/>
    </row>
  </sheetData>
  <dataValidations count="1">
    <dataValidation type="whole" showInputMessage="1" showErrorMessage="1" errorTitle="Validation Error" error="Enter either 0 or 1." sqref="F267:F270" xr:uid="{1D75DB84-6004-44D4-8363-C362E39470F4}">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BD3C-BD32-47A9-B486-FD2338C2CE63}">
  <sheetPr>
    <outlinePr summaryBelow="0"/>
    <pageSetUpPr fitToPage="1"/>
  </sheetPr>
  <dimension ref="A1:S312"/>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280</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1: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1: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1: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1: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1: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1:13" ht="13.5" customHeight="1" outlineLevel="1">
      <c r="A23" s="125"/>
      <c r="C23" s="72" t="s">
        <v>281</v>
      </c>
      <c r="D23" s="39"/>
      <c r="E23" s="39"/>
      <c r="F23" s="45"/>
      <c r="G23" s="73"/>
      <c r="H23" s="73"/>
      <c r="I23" s="73"/>
      <c r="J23" s="73"/>
      <c r="K23" s="73"/>
      <c r="L23" s="73"/>
      <c r="M23" s="60"/>
    </row>
    <row r="24" spans="1:13" ht="13.5" customHeight="1" outlineLevel="1">
      <c r="A24" s="125"/>
      <c r="C24" s="74" t="s">
        <v>74</v>
      </c>
      <c r="D24" s="39"/>
      <c r="E24" s="39"/>
      <c r="F24" s="45"/>
      <c r="G24" s="75"/>
      <c r="H24" s="129"/>
      <c r="I24" s="129"/>
      <c r="J24" s="129"/>
      <c r="K24" s="129"/>
      <c r="L24" s="129"/>
      <c r="M24" s="50" t="s">
        <v>282</v>
      </c>
    </row>
    <row r="25" spans="1:13" ht="13.5" customHeight="1" outlineLevel="1">
      <c r="A25" s="204"/>
      <c r="C25" s="74" t="s">
        <v>75</v>
      </c>
      <c r="D25" s="39"/>
      <c r="E25" s="39"/>
      <c r="F25" s="45"/>
      <c r="G25" s="75"/>
      <c r="H25" s="129"/>
      <c r="I25" s="129"/>
      <c r="J25" s="129"/>
      <c r="K25" s="129"/>
      <c r="L25" s="129"/>
      <c r="M25" s="50" t="s">
        <v>283</v>
      </c>
    </row>
    <row r="26" spans="1:13" ht="13.5" customHeight="1" outlineLevel="1">
      <c r="A26" s="204"/>
      <c r="C26" s="74" t="str">
        <f>+C79</f>
        <v>Term Loan A</v>
      </c>
      <c r="D26" s="39"/>
      <c r="E26" s="39"/>
      <c r="F26" s="45"/>
      <c r="G26" s="75"/>
      <c r="H26" s="129"/>
      <c r="I26" s="129"/>
      <c r="J26" s="129"/>
      <c r="K26" s="129"/>
      <c r="L26" s="129"/>
      <c r="M26" s="50" t="s">
        <v>283</v>
      </c>
    </row>
    <row r="27" spans="1:13" ht="13.5" customHeight="1" outlineLevel="1">
      <c r="A27" s="204"/>
      <c r="C27" s="74" t="str">
        <f t="shared" ref="C27:C28" si="9">+C80</f>
        <v>Subordinated - Note 1</v>
      </c>
      <c r="D27" s="39"/>
      <c r="E27" s="39"/>
      <c r="F27" s="45"/>
      <c r="G27" s="75"/>
      <c r="H27" s="129"/>
      <c r="I27" s="129"/>
      <c r="J27" s="129"/>
      <c r="K27" s="129"/>
      <c r="L27" s="129"/>
      <c r="M27" s="50" t="s">
        <v>283</v>
      </c>
    </row>
    <row r="28" spans="1:13" ht="13.5" customHeight="1" outlineLevel="1">
      <c r="A28" s="204"/>
      <c r="C28" s="74" t="str">
        <f t="shared" si="9"/>
        <v>Subordinated - Note 2</v>
      </c>
      <c r="D28" s="39"/>
      <c r="E28" s="39"/>
      <c r="F28" s="45"/>
      <c r="G28" s="75"/>
      <c r="H28" s="129"/>
      <c r="I28" s="129"/>
      <c r="J28" s="129"/>
      <c r="K28" s="129"/>
      <c r="L28" s="129"/>
      <c r="M28" s="50" t="s">
        <v>283</v>
      </c>
    </row>
    <row r="29" spans="1:13" ht="13.5" customHeight="1" outlineLevel="1">
      <c r="A29" s="204"/>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1: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1: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1: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5"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20.161229667020034</v>
      </c>
      <c r="K60" s="214">
        <f ca="1">J60+K119</f>
        <v>32.683172574382148</v>
      </c>
      <c r="L60" s="214">
        <f ca="1">K60+L119</f>
        <v>46.605048262544216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ca="1" si="19">SUM(H60:H63)</f>
        <v>35.594733500229559</v>
      </c>
      <c r="I64" s="93">
        <f t="shared" ca="1" si="19"/>
        <v>39.519778919074916</v>
      </c>
      <c r="J64" s="93">
        <f t="shared" ca="1" si="19"/>
        <v>53.322380619846498</v>
      </c>
      <c r="K64" s="93">
        <f t="shared" ca="1" si="19"/>
        <v>68.940037509087375</v>
      </c>
      <c r="L64" s="93">
        <f t="shared" ca="1" si="19"/>
        <v>85.158917384182999</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0">SUM(H64,H67:H69)</f>
        <v>92.32568454586314</v>
      </c>
      <c r="I70" s="102">
        <f t="shared" ca="1" si="20"/>
        <v>92.891514460631626</v>
      </c>
      <c r="J70" s="102">
        <f t="shared" ca="1" si="20"/>
        <v>103.36805499196664</v>
      </c>
      <c r="K70" s="102">
        <f t="shared" ca="1" si="20"/>
        <v>115.60562915551395</v>
      </c>
      <c r="L70" s="102">
        <f t="shared" ca="1" si="20"/>
        <v>128.28557606604585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 ca="1">H232</f>
        <v>0.70135880776240755</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0.80642258805885092</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4">SUM(H78:H81)</f>
        <v>10.382823657762405</v>
      </c>
      <c r="I82" s="93">
        <f t="shared" ca="1" si="24"/>
        <v>0.86902568805885094</v>
      </c>
      <c r="J82" s="93">
        <f t="shared" ca="1" si="24"/>
        <v>4.4334500000000011E-3</v>
      </c>
      <c r="K82" s="93">
        <f t="shared" ca="1" si="24"/>
        <v>0</v>
      </c>
      <c r="L82" s="93">
        <f t="shared" ca="1"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5">SUM(H77,H82:H83)</f>
        <v>20.478691058033341</v>
      </c>
      <c r="I84" s="93">
        <f t="shared" ca="1" si="25"/>
        <v>12.447206165094064</v>
      </c>
      <c r="J84" s="93">
        <f t="shared" ca="1" si="25"/>
        <v>12.957796328002564</v>
      </c>
      <c r="K84" s="93">
        <f t="shared" ca="1" si="25"/>
        <v>14.122474780562621</v>
      </c>
      <c r="L84" s="93">
        <f t="shared" ca="1"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ca="1" si="26">SUM(H84:H86)</f>
        <v>92.325684041671323</v>
      </c>
      <c r="I87" s="105">
        <f t="shared" ca="1" si="26"/>
        <v>92.891513956439809</v>
      </c>
      <c r="J87" s="105">
        <f t="shared" ca="1" si="26"/>
        <v>103.36805448777483</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ca="1" si="27"/>
        <v>-5.0419181718552863E-7</v>
      </c>
      <c r="I89" s="178">
        <f t="shared" ca="1" si="27"/>
        <v>-5.0419181718552863E-7</v>
      </c>
      <c r="J89" s="178">
        <f t="shared" ca="1" si="27"/>
        <v>-5.0419181718552863E-7</v>
      </c>
      <c r="K89" s="178">
        <f t="shared" ca="1" si="27"/>
        <v>-5.0419180297467392E-7</v>
      </c>
      <c r="L89" s="178">
        <f t="shared" ca="1" si="27"/>
        <v>-5.0419183139638335E-7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3:13" ht="5.0999999999999996" customHeight="1" outlineLevel="1">
      <c r="C97" s="59"/>
      <c r="D97" s="59"/>
      <c r="E97" s="59"/>
      <c r="F97" s="60"/>
      <c r="G97" s="60"/>
      <c r="H97" s="60"/>
      <c r="I97" s="60"/>
      <c r="J97" s="60"/>
      <c r="K97" s="60"/>
    </row>
    <row r="98" spans="3:13" ht="13.5" customHeight="1" outlineLevel="1">
      <c r="C98" s="84" t="s">
        <v>179</v>
      </c>
      <c r="D98" s="85"/>
      <c r="E98" s="86"/>
      <c r="F98" s="86"/>
      <c r="G98" s="86"/>
      <c r="H98" s="86"/>
      <c r="I98" s="86"/>
      <c r="J98" s="86"/>
      <c r="K98" s="86"/>
      <c r="L98" s="87"/>
      <c r="M98" s="50"/>
    </row>
    <row r="99" spans="3:13" ht="13.5" customHeight="1" outlineLevel="1">
      <c r="C99" s="118"/>
      <c r="D99" s="118"/>
      <c r="E99" s="118"/>
    </row>
    <row r="100" spans="3: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3: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3: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3: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3: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3: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3:13" ht="13.5" customHeight="1" outlineLevel="1">
      <c r="C106" s="68"/>
      <c r="D106" s="68"/>
      <c r="E106" s="68"/>
      <c r="F106" s="68"/>
      <c r="G106" s="154"/>
      <c r="H106" s="154"/>
      <c r="I106" s="154"/>
      <c r="J106" s="154"/>
      <c r="K106" s="154"/>
      <c r="L106" s="154"/>
    </row>
    <row r="107" spans="3:13" ht="13.5" customHeight="1" outlineLevel="1">
      <c r="C107" s="84" t="s">
        <v>190</v>
      </c>
      <c r="D107" s="85"/>
      <c r="E107" s="86"/>
      <c r="F107" s="86"/>
      <c r="G107" s="86"/>
      <c r="H107" s="201"/>
      <c r="I107" s="201"/>
      <c r="J107" s="201"/>
      <c r="K107" s="201"/>
      <c r="L107" s="202"/>
    </row>
    <row r="108" spans="3:13" ht="13.5" customHeight="1" outlineLevel="1">
      <c r="C108" s="118"/>
      <c r="D108" s="118"/>
      <c r="E108" s="118"/>
      <c r="H108" s="68"/>
      <c r="I108" s="68"/>
      <c r="J108" s="68"/>
      <c r="K108" s="68"/>
      <c r="L108" s="68"/>
    </row>
    <row r="109" spans="3: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3:13" ht="13.5" customHeight="1" outlineLevel="1">
      <c r="C110" s="68"/>
      <c r="D110" s="68"/>
      <c r="E110" s="68"/>
      <c r="F110" s="68"/>
      <c r="G110" s="154"/>
      <c r="H110" s="154"/>
      <c r="I110" s="154"/>
      <c r="J110" s="154"/>
      <c r="K110" s="154"/>
      <c r="L110" s="154"/>
    </row>
    <row r="111" spans="3:13" ht="13.5" customHeight="1" outlineLevel="1">
      <c r="C111" s="84" t="s">
        <v>193</v>
      </c>
      <c r="D111" s="85"/>
      <c r="E111" s="86"/>
      <c r="F111" s="86"/>
      <c r="G111" s="86"/>
      <c r="H111" s="201"/>
      <c r="I111" s="201"/>
      <c r="J111" s="201"/>
      <c r="K111" s="201"/>
      <c r="L111" s="202"/>
    </row>
    <row r="112" spans="3:13" ht="13.5" customHeight="1" outlineLevel="1">
      <c r="C112" s="118"/>
      <c r="D112" s="118"/>
      <c r="E112" s="118"/>
      <c r="H112" s="68"/>
      <c r="I112" s="68"/>
      <c r="J112" s="68"/>
      <c r="K112" s="68"/>
      <c r="L112" s="68"/>
    </row>
    <row r="113" spans="2:13" s="205" customFormat="1" ht="13.5" customHeight="1" outlineLevel="1">
      <c r="C113" s="68" t="s">
        <v>41</v>
      </c>
      <c r="D113" s="118"/>
      <c r="E113" s="118"/>
      <c r="F113" s="29"/>
      <c r="G113" s="132"/>
      <c r="H113" s="149">
        <f ca="1">H78-G78</f>
        <v>-0.58794119223759234</v>
      </c>
      <c r="I113" s="149">
        <f t="shared" ref="I113:L116" ca="1" si="32">I78-H78</f>
        <v>-0.70135880776240755</v>
      </c>
      <c r="J113" s="149">
        <f t="shared" ca="1" si="32"/>
        <v>0</v>
      </c>
      <c r="K113" s="149">
        <f t="shared" ca="1" si="32"/>
        <v>0</v>
      </c>
      <c r="L113" s="149">
        <f t="shared" ca="1" si="32"/>
        <v>0</v>
      </c>
      <c r="M113" s="50"/>
    </row>
    <row r="114" spans="2:13" s="205" customFormat="1" ht="13.5" customHeight="1" outlineLevel="1">
      <c r="C114" s="68" t="str">
        <f>+C79</f>
        <v>Term Loan A</v>
      </c>
      <c r="D114" s="118"/>
      <c r="E114" s="118"/>
      <c r="F114" s="29"/>
      <c r="G114" s="207"/>
      <c r="H114" s="149">
        <f ca="1">H79-G79</f>
        <v>-2.4002902000000006</v>
      </c>
      <c r="I114" s="149">
        <f t="shared" ca="1" si="32"/>
        <v>-8.7947382119411479</v>
      </c>
      <c r="J114" s="149">
        <f t="shared" ca="1" si="32"/>
        <v>-0.80642258805885092</v>
      </c>
      <c r="K114" s="149">
        <f t="shared" ca="1" si="32"/>
        <v>0</v>
      </c>
      <c r="L114" s="149">
        <f t="shared" ca="1" si="32"/>
        <v>0</v>
      </c>
      <c r="M114" s="50"/>
    </row>
    <row r="115" spans="2:13" s="205" customFormat="1" ht="13.5" customHeight="1" outlineLevel="1">
      <c r="C115" s="68" t="str">
        <f>+C80</f>
        <v>Subordinated - Note 1</v>
      </c>
      <c r="D115" s="118"/>
      <c r="E115" s="118"/>
      <c r="F115" s="29"/>
      <c r="G115" s="207"/>
      <c r="H115" s="149">
        <f ca="1">H80-G80</f>
        <v>-1.7067600000000002E-2</v>
      </c>
      <c r="I115" s="149">
        <f t="shared" ca="1" si="32"/>
        <v>-1.7067600000000002E-2</v>
      </c>
      <c r="J115" s="149">
        <f t="shared" ca="1" si="32"/>
        <v>-5.1202799999999993E-2</v>
      </c>
      <c r="K115" s="149">
        <f t="shared" ca="1" si="32"/>
        <v>0</v>
      </c>
      <c r="L115" s="149">
        <f t="shared" ca="1" si="32"/>
        <v>0</v>
      </c>
      <c r="M115" s="50"/>
    </row>
    <row r="116" spans="2:13" s="205" customFormat="1" ht="13.5" customHeight="1" outlineLevel="1">
      <c r="C116" s="68" t="str">
        <f t="shared" ref="C116" si="33">+C81</f>
        <v>Subordinated - Note 2</v>
      </c>
      <c r="D116" s="118"/>
      <c r="E116" s="118"/>
      <c r="F116" s="29"/>
      <c r="G116" s="207"/>
      <c r="H116" s="149">
        <f ca="1">H81-G81</f>
        <v>-6.3334999999999954E-4</v>
      </c>
      <c r="I116" s="149">
        <f t="shared" ca="1" si="32"/>
        <v>-6.3334999999999954E-4</v>
      </c>
      <c r="J116" s="149">
        <f t="shared" ca="1" si="32"/>
        <v>-6.9668499999999993E-3</v>
      </c>
      <c r="K116" s="149">
        <f t="shared" ca="1" si="32"/>
        <v>-4.4334500000000011E-3</v>
      </c>
      <c r="L116" s="149">
        <f t="shared" ca="1" si="32"/>
        <v>0</v>
      </c>
      <c r="M116" s="50"/>
    </row>
    <row r="117" spans="2:13" s="205" customFormat="1" ht="13.5" customHeight="1" outlineLevel="1">
      <c r="C117" s="180" t="s">
        <v>194</v>
      </c>
      <c r="D117" s="180"/>
      <c r="E117" s="180"/>
      <c r="F117" s="180"/>
      <c r="G117" s="199"/>
      <c r="H117" s="200">
        <f ca="1">SUM(H113:H116)</f>
        <v>-3.005932342237593</v>
      </c>
      <c r="I117" s="200">
        <f t="shared" ref="I117:L117" ca="1" si="34">SUM(I113:I116)</f>
        <v>-9.5137979697035551</v>
      </c>
      <c r="J117" s="200">
        <f t="shared" ca="1" si="34"/>
        <v>-0.86459223805885088</v>
      </c>
      <c r="K117" s="200">
        <f t="shared" ca="1" si="34"/>
        <v>-4.4334500000000011E-3</v>
      </c>
      <c r="L117" s="200">
        <f t="shared" ca="1" si="34"/>
        <v>0</v>
      </c>
    </row>
    <row r="118" spans="2:13" s="205" customFormat="1" ht="13.5" customHeight="1" outlineLevel="1">
      <c r="C118" s="118"/>
      <c r="D118" s="118"/>
      <c r="E118" s="118"/>
      <c r="F118" s="29"/>
      <c r="G118" s="29"/>
      <c r="H118" s="68"/>
      <c r="I118" s="68"/>
      <c r="J118" s="68"/>
      <c r="K118" s="68"/>
      <c r="L118" s="68"/>
    </row>
    <row r="119" spans="2:13" s="205" customFormat="1" ht="13.5" customHeight="1" outlineLevel="1">
      <c r="C119" s="39" t="s">
        <v>195</v>
      </c>
      <c r="D119" s="118"/>
      <c r="E119" s="118"/>
      <c r="F119" s="30"/>
      <c r="G119" s="208"/>
      <c r="H119" s="215">
        <f ca="1">H117+H109+H105</f>
        <v>7.0420079999999992</v>
      </c>
      <c r="I119" s="215">
        <f ca="1">I117+I109+I105</f>
        <v>0</v>
      </c>
      <c r="J119" s="215">
        <f ca="1">J117+J109+J105</f>
        <v>10.161229667020034</v>
      </c>
      <c r="K119" s="215">
        <f ca="1">K117+K109+K105</f>
        <v>12.521942907362115</v>
      </c>
      <c r="L119" s="215">
        <f ca="1">L117+L109+L105</f>
        <v>13.921875688162071</v>
      </c>
      <c r="M119" s="50"/>
    </row>
    <row r="120" spans="2:13" s="205" customFormat="1" ht="5.0999999999999996" customHeight="1" outlineLevel="1" thickBot="1">
      <c r="C120" s="157"/>
      <c r="D120" s="157"/>
      <c r="E120" s="157"/>
      <c r="F120" s="83"/>
      <c r="G120" s="83"/>
      <c r="H120" s="83"/>
      <c r="I120" s="83"/>
      <c r="J120" s="83"/>
      <c r="K120" s="83"/>
      <c r="L120" s="83"/>
    </row>
    <row r="121" spans="2:13" s="205" customFormat="1" ht="13.5" customHeight="1" outlineLevel="1">
      <c r="C121" s="29"/>
      <c r="D121" s="29"/>
      <c r="E121" s="29"/>
      <c r="F121" s="29"/>
      <c r="G121" s="29"/>
      <c r="H121" s="29"/>
      <c r="I121" s="29"/>
      <c r="J121" s="29"/>
      <c r="K121" s="29"/>
      <c r="L121" s="29"/>
    </row>
    <row r="122" spans="2:13" ht="13.5" customHeight="1" outlineLevel="1" thickBot="1"/>
    <row r="123" spans="2:13" ht="21.75" thickTop="1">
      <c r="B123" s="46" t="s">
        <v>61</v>
      </c>
      <c r="C123" s="47" t="s">
        <v>148</v>
      </c>
      <c r="D123" s="48"/>
      <c r="E123" s="49"/>
      <c r="F123" s="49"/>
      <c r="G123" s="49"/>
      <c r="H123" s="49"/>
      <c r="I123" s="49"/>
      <c r="J123" s="49"/>
      <c r="K123" s="49"/>
      <c r="L123" s="49"/>
    </row>
    <row r="124" spans="2:13" ht="5.0999999999999996" customHeight="1" outlineLevel="1">
      <c r="C124" s="51"/>
      <c r="D124" s="52"/>
    </row>
    <row r="125" spans="2:13" ht="13.5" customHeight="1" outlineLevel="1">
      <c r="C125" s="53"/>
      <c r="D125" s="53"/>
      <c r="E125" s="53"/>
      <c r="F125" s="54" t="s">
        <v>63</v>
      </c>
      <c r="G125" s="54" t="s">
        <v>63</v>
      </c>
      <c r="H125" s="55" t="s">
        <v>64</v>
      </c>
      <c r="I125" s="55"/>
      <c r="J125" s="55"/>
      <c r="K125" s="55"/>
      <c r="L125" s="55"/>
    </row>
    <row r="126" spans="2:13" ht="13.5" customHeight="1" outlineLevel="1" thickBot="1">
      <c r="C126" s="56" t="s">
        <v>65</v>
      </c>
      <c r="D126" s="57"/>
      <c r="E126" s="57"/>
      <c r="F126" s="58">
        <f>F$11</f>
        <v>45291</v>
      </c>
      <c r="G126" s="58">
        <f>G$11</f>
        <v>45657</v>
      </c>
      <c r="H126" s="58">
        <f t="shared" ref="H126:L126" si="35">H$11</f>
        <v>46022</v>
      </c>
      <c r="I126" s="58">
        <f t="shared" si="35"/>
        <v>46387</v>
      </c>
      <c r="J126" s="58">
        <f t="shared" si="35"/>
        <v>46752</v>
      </c>
      <c r="K126" s="58">
        <f t="shared" si="35"/>
        <v>47118</v>
      </c>
      <c r="L126" s="58">
        <f t="shared" si="35"/>
        <v>47483</v>
      </c>
    </row>
    <row r="127" spans="2:13" ht="5.0999999999999996" customHeight="1" outlineLevel="1">
      <c r="C127" s="59"/>
      <c r="D127" s="59"/>
      <c r="E127" s="59"/>
      <c r="F127" s="60"/>
      <c r="G127" s="60"/>
      <c r="H127" s="60"/>
      <c r="I127" s="60"/>
      <c r="J127" s="60"/>
      <c r="K127" s="60"/>
    </row>
    <row r="128" spans="2: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6">F61</f>
        <v>16.781419000000003</v>
      </c>
      <c r="G130" s="177">
        <f t="shared" si="36"/>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6"/>
        <v>0.80490099999999998</v>
      </c>
      <c r="G131" s="177">
        <f t="shared" si="36"/>
        <v>1.161057</v>
      </c>
      <c r="H131" s="177">
        <f>(H146/365)*H150</f>
        <v>1.2029011201180084</v>
      </c>
      <c r="I131" s="177">
        <f t="shared" ref="I131:L131" si="37">(I146/365)*I150</f>
        <v>1.3873703794209342</v>
      </c>
      <c r="J131" s="177">
        <f t="shared" si="37"/>
        <v>1.558507558799139</v>
      </c>
      <c r="K131" s="177">
        <f t="shared" si="37"/>
        <v>1.7039999045715051</v>
      </c>
      <c r="L131" s="177">
        <f t="shared" si="37"/>
        <v>1.8119544925477122</v>
      </c>
      <c r="M131" s="50"/>
    </row>
    <row r="132" spans="3:13" ht="13.5" customHeight="1" outlineLevel="1">
      <c r="C132" s="91" t="str">
        <f>C63</f>
        <v>Prepaids and Other Current Assets</v>
      </c>
      <c r="D132" s="68"/>
      <c r="E132" s="68"/>
      <c r="F132" s="177">
        <f t="shared" si="36"/>
        <v>0.26978399999999997</v>
      </c>
      <c r="G132" s="177">
        <f t="shared" si="36"/>
        <v>0.34491899999999998</v>
      </c>
      <c r="H132" s="177">
        <f>H151*H147</f>
        <v>0.3792215684283346</v>
      </c>
      <c r="I132" s="177">
        <f t="shared" ref="I132:L132" si="38">I151*I147</f>
        <v>0.43737657441320382</v>
      </c>
      <c r="J132" s="177">
        <f t="shared" si="38"/>
        <v>0.49132856472628733</v>
      </c>
      <c r="K132" s="177">
        <f t="shared" si="38"/>
        <v>0.53719587221761422</v>
      </c>
      <c r="L132" s="177">
        <f t="shared" si="38"/>
        <v>0.57122918342390505</v>
      </c>
      <c r="M132" s="50"/>
    </row>
    <row r="133" spans="3:13" ht="13.5" customHeight="1" outlineLevel="1">
      <c r="C133" s="65" t="s">
        <v>152</v>
      </c>
      <c r="D133" s="65"/>
      <c r="E133" s="65"/>
      <c r="F133" s="179">
        <f t="shared" ref="F133:L133" si="39">SUM(F130:F132)</f>
        <v>17.856104000000006</v>
      </c>
      <c r="G133" s="179">
        <f t="shared" si="39"/>
        <v>23.790697999999999</v>
      </c>
      <c r="H133" s="179">
        <f t="shared" si="39"/>
        <v>25.594733500229559</v>
      </c>
      <c r="I133" s="179">
        <f t="shared" si="39"/>
        <v>29.519778919074909</v>
      </c>
      <c r="J133" s="179">
        <f t="shared" si="39"/>
        <v>33.161150952826461</v>
      </c>
      <c r="K133" s="179">
        <f t="shared" si="39"/>
        <v>36.256864934705241</v>
      </c>
      <c r="L133" s="179">
        <f t="shared" si="39"/>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0">F74</f>
        <v>2.8058170000000002</v>
      </c>
      <c r="G135" s="177">
        <f t="shared" si="40"/>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0"/>
        <v>2.3839329999999999</v>
      </c>
      <c r="G136" s="177">
        <f t="shared" si="40"/>
        <v>2.7880379999999998</v>
      </c>
      <c r="H136" s="177">
        <f>H154*H147</f>
        <v>3.1966854452582232</v>
      </c>
      <c r="I136" s="177">
        <f t="shared" ref="I136:L136" si="41">I154*I147</f>
        <v>3.6869087782063024</v>
      </c>
      <c r="J136" s="177">
        <f t="shared" si="41"/>
        <v>4.1417023778724023</v>
      </c>
      <c r="K136" s="177">
        <f t="shared" si="41"/>
        <v>4.5283453498910609</v>
      </c>
      <c r="L136" s="177">
        <f t="shared" si="41"/>
        <v>4.8152324882940372</v>
      </c>
      <c r="M136" s="50"/>
    </row>
    <row r="137" spans="3:13" ht="13.5" customHeight="1" outlineLevel="1">
      <c r="C137" s="91" t="str">
        <f>C76</f>
        <v>Accrued Expenses &amp; Other</v>
      </c>
      <c r="D137" s="68"/>
      <c r="E137" s="68"/>
      <c r="F137" s="177">
        <f t="shared" si="40"/>
        <v>2.0579079999999998</v>
      </c>
      <c r="G137" s="177">
        <f t="shared" si="40"/>
        <v>3.2020309999999998</v>
      </c>
      <c r="H137" s="177">
        <f>H155*H147</f>
        <v>3.2317636858846019</v>
      </c>
      <c r="I137" s="177">
        <f t="shared" ref="I137:L137" si="42">I155*I147</f>
        <v>3.727366394541769</v>
      </c>
      <c r="J137" s="177">
        <f t="shared" si="42"/>
        <v>4.1871505882458564</v>
      </c>
      <c r="K137" s="177">
        <f t="shared" si="42"/>
        <v>4.5780363159066395</v>
      </c>
      <c r="L137" s="177">
        <f t="shared" si="42"/>
        <v>4.8680715576328382</v>
      </c>
      <c r="M137" s="50"/>
    </row>
    <row r="138" spans="3:13" ht="13.5" customHeight="1" outlineLevel="1">
      <c r="C138" s="65" t="s">
        <v>156</v>
      </c>
      <c r="D138" s="65"/>
      <c r="E138" s="65"/>
      <c r="F138" s="179">
        <f t="shared" ref="F138:L138" si="43">SUM(F135:F137)</f>
        <v>7.2476579999999995</v>
      </c>
      <c r="G138" s="179">
        <f t="shared" si="43"/>
        <v>8.3507789999999993</v>
      </c>
      <c r="H138" s="179">
        <f t="shared" si="43"/>
        <v>9.6659794002709365</v>
      </c>
      <c r="I138" s="179">
        <f t="shared" si="43"/>
        <v>11.148292477035213</v>
      </c>
      <c r="J138" s="179">
        <f t="shared" si="43"/>
        <v>12.523474878002563</v>
      </c>
      <c r="K138" s="179">
        <f t="shared" si="43"/>
        <v>13.692586780562621</v>
      </c>
      <c r="L138" s="179">
        <f t="shared" si="43"/>
        <v>14.560061925519163</v>
      </c>
    </row>
    <row r="139" spans="3:13" ht="13.5" customHeight="1" outlineLevel="1">
      <c r="C139" s="180" t="s">
        <v>157</v>
      </c>
      <c r="D139" s="180"/>
      <c r="E139" s="180"/>
      <c r="F139" s="181">
        <f t="shared" ref="F139:L139" si="44">F133-F138</f>
        <v>10.608446000000006</v>
      </c>
      <c r="G139" s="181">
        <f t="shared" si="44"/>
        <v>15.439919</v>
      </c>
      <c r="H139" s="181">
        <f t="shared" si="44"/>
        <v>15.928754099958622</v>
      </c>
      <c r="I139" s="181">
        <f t="shared" si="44"/>
        <v>18.371486442039696</v>
      </c>
      <c r="J139" s="181">
        <f t="shared" si="44"/>
        <v>20.637676074823897</v>
      </c>
      <c r="K139" s="181">
        <f t="shared" si="44"/>
        <v>22.56427815414262</v>
      </c>
      <c r="L139" s="181">
        <f t="shared" si="44"/>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5">G139-F139</f>
        <v>4.8314729999999937</v>
      </c>
      <c r="H141" s="182">
        <f t="shared" si="45"/>
        <v>0.48883509995862262</v>
      </c>
      <c r="I141" s="182">
        <f t="shared" si="45"/>
        <v>2.442732342081074</v>
      </c>
      <c r="J141" s="182">
        <f t="shared" si="45"/>
        <v>2.2661896327842008</v>
      </c>
      <c r="K141" s="182">
        <f t="shared" si="45"/>
        <v>1.9266020793187231</v>
      </c>
      <c r="L141" s="182">
        <f t="shared" si="45"/>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6">F13</f>
        <v>78.565675999999996</v>
      </c>
      <c r="G145" s="209">
        <f t="shared" si="46"/>
        <v>90.614007999999998</v>
      </c>
      <c r="H145" s="209">
        <f t="shared" si="46"/>
        <v>104.5099955077592</v>
      </c>
      <c r="I145" s="209">
        <f t="shared" si="46"/>
        <v>120.53698321160066</v>
      </c>
      <c r="J145" s="209">
        <f t="shared" si="46"/>
        <v>135.4056582414087</v>
      </c>
      <c r="K145" s="209">
        <f t="shared" si="46"/>
        <v>148.04626863637753</v>
      </c>
      <c r="L145" s="209">
        <f t="shared" si="46"/>
        <v>157.42553790111026</v>
      </c>
      <c r="M145" s="50"/>
    </row>
    <row r="146" spans="1:19" ht="13.5" customHeight="1" outlineLevel="1">
      <c r="C146" s="68" t="s">
        <v>66</v>
      </c>
      <c r="D146" s="68"/>
      <c r="E146" s="68"/>
      <c r="F146" s="177">
        <f t="shared" si="46"/>
        <v>51.562188999999996</v>
      </c>
      <c r="G146" s="177">
        <f t="shared" si="46"/>
        <v>61.618676000000001</v>
      </c>
      <c r="H146" s="177">
        <f t="shared" si="46"/>
        <v>69.828708282059708</v>
      </c>
      <c r="I146" s="177">
        <f t="shared" si="46"/>
        <v>80.537194523728473</v>
      </c>
      <c r="J146" s="177">
        <f t="shared" si="46"/>
        <v>90.471750220079329</v>
      </c>
      <c r="K146" s="177">
        <f t="shared" si="46"/>
        <v>98.917616966977391</v>
      </c>
      <c r="L146" s="177">
        <f t="shared" si="46"/>
        <v>105.18440756632523</v>
      </c>
      <c r="M146" s="50"/>
    </row>
    <row r="147" spans="1:19" ht="13.5" customHeight="1" outlineLevel="1">
      <c r="C147" s="68" t="s">
        <v>69</v>
      </c>
      <c r="D147" s="68"/>
      <c r="E147" s="68"/>
      <c r="F147" s="177">
        <f t="shared" ref="F147:L147" si="47">F17</f>
        <v>14.179914999999999</v>
      </c>
      <c r="G147" s="177">
        <f t="shared" si="47"/>
        <v>15.4366889395</v>
      </c>
      <c r="H147" s="177">
        <f t="shared" si="47"/>
        <v>18.333216581804578</v>
      </c>
      <c r="I147" s="177">
        <f t="shared" si="47"/>
        <v>21.144681985672378</v>
      </c>
      <c r="J147" s="177">
        <f t="shared" si="47"/>
        <v>23.752955369300096</v>
      </c>
      <c r="K147" s="177">
        <f t="shared" si="47"/>
        <v>25.970380094765407</v>
      </c>
      <c r="L147" s="177">
        <f t="shared" si="47"/>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8">I149</f>
        <v>83.863776892169696</v>
      </c>
      <c r="K149" s="211">
        <f t="shared" si="48"/>
        <v>83.863776892169696</v>
      </c>
      <c r="L149" s="211">
        <f t="shared" si="48"/>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9">I151</f>
        <v>2.0684944550576352E-2</v>
      </c>
      <c r="K151" s="139">
        <f t="shared" si="49"/>
        <v>2.0684944550576352E-2</v>
      </c>
      <c r="L151" s="139">
        <f t="shared" si="49"/>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0">H153</f>
        <v>16.922818383787302</v>
      </c>
      <c r="J153" s="211">
        <f t="shared" si="50"/>
        <v>16.922818383787302</v>
      </c>
      <c r="K153" s="211">
        <f t="shared" si="50"/>
        <v>16.922818383787302</v>
      </c>
      <c r="L153" s="211">
        <f t="shared" si="50"/>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0"/>
        <v>0.17436577105792128</v>
      </c>
      <c r="K154" s="139">
        <f t="shared" si="50"/>
        <v>0.17436577105792128</v>
      </c>
      <c r="L154" s="139">
        <f t="shared" si="50"/>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0"/>
        <v>0.1762791418223944</v>
      </c>
      <c r="K155" s="139">
        <f t="shared" si="50"/>
        <v>0.1762791418223944</v>
      </c>
      <c r="L155" s="139">
        <f t="shared" si="50"/>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8'!F13</f>
        <v>0</v>
      </c>
      <c r="G162" s="122">
        <f>'Financials from CIP'!E13/1000-'Step 8'!G13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8'!F15</f>
        <v>0</v>
      </c>
      <c r="G163" s="122">
        <f>'Financials from CIP'!E19/1000-'Step 8'!G15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8'!F18</f>
        <v>0</v>
      </c>
      <c r="G164" s="122">
        <f>'Financials from CIP'!E36/1000-'Step 8'!G18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8'!F33</f>
        <v>0</v>
      </c>
      <c r="G165" s="122">
        <f>'Financials from CIP'!E34/1000-'Step 8'!G33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8'!F60</f>
        <v>0</v>
      </c>
      <c r="G168" s="122">
        <f>'Financials from CIP'!E46/1000-'Step 8'!G60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8'!F64</f>
        <v>0</v>
      </c>
      <c r="G169" s="122">
        <f>'Financials from CIP'!E51/1000-'Step 8'!G64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8'!F70</f>
        <v>0</v>
      </c>
      <c r="G170" s="122">
        <f>'Financials from CIP'!E56/1000-'Step 8'!G70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8'!F77</f>
        <v>0</v>
      </c>
      <c r="G171" s="122">
        <f>'Financials from CIP'!E61/1000-'Step 8'!G77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8'!F84</f>
        <v>0</v>
      </c>
      <c r="G172" s="122">
        <f>'Financials from CIP'!E69/1000-'Step 8'!G84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8'!F85:F86)</f>
        <v>0</v>
      </c>
      <c r="G173" s="122">
        <f>'Financials from CIP'!E73/1000-SUM('Step 8'!G85:G86)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1">H$11</f>
        <v>46022</v>
      </c>
      <c r="I185" s="58">
        <f t="shared" si="51"/>
        <v>46387</v>
      </c>
      <c r="J185" s="58">
        <f t="shared" si="51"/>
        <v>46752</v>
      </c>
      <c r="K185" s="58">
        <f t="shared" si="51"/>
        <v>47118</v>
      </c>
      <c r="L185" s="58">
        <f t="shared" si="51"/>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2">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2"/>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2"/>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2"/>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2"/>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2"/>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3">-SUM(I187:I193)</f>
        <v>6.1302957891314076</v>
      </c>
      <c r="J194" s="156">
        <f t="shared" ca="1" si="53"/>
        <v>6.4683165246530567</v>
      </c>
      <c r="K194" s="156">
        <f t="shared" ca="1" si="53"/>
        <v>6.8378927245374452</v>
      </c>
      <c r="L194" s="156">
        <f t="shared" ca="1" si="53"/>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B198" s="46" t="s">
        <v>61</v>
      </c>
      <c r="C198" s="47" t="s">
        <v>199</v>
      </c>
      <c r="D198" s="48"/>
      <c r="E198" s="49"/>
      <c r="F198" s="49"/>
      <c r="G198" s="49"/>
      <c r="H198" s="49"/>
      <c r="I198" s="49"/>
      <c r="J198" s="49"/>
      <c r="K198" s="49"/>
      <c r="L198" s="49"/>
      <c r="M198" s="50"/>
    </row>
    <row r="199" spans="1:19" ht="5.0999999999999996" customHeight="1" outlineLevel="1">
      <c r="M199" s="50"/>
    </row>
    <row r="200" spans="1:19" ht="13.5" customHeight="1" outlineLevel="1">
      <c r="C200" s="53"/>
      <c r="D200" s="53"/>
      <c r="E200" s="53"/>
      <c r="F200" s="54" t="s">
        <v>63</v>
      </c>
      <c r="G200" s="54" t="s">
        <v>63</v>
      </c>
      <c r="H200" s="55" t="s">
        <v>64</v>
      </c>
      <c r="I200" s="55"/>
      <c r="J200" s="55"/>
      <c r="K200" s="55"/>
      <c r="L200" s="55"/>
    </row>
    <row r="201" spans="1:19" ht="13.5" customHeight="1" outlineLevel="1" thickBot="1">
      <c r="C201" s="56" t="s">
        <v>65</v>
      </c>
      <c r="D201" s="57"/>
      <c r="E201" s="57"/>
      <c r="F201" s="58">
        <f>F$11</f>
        <v>45291</v>
      </c>
      <c r="G201" s="58">
        <f>G$11</f>
        <v>45657</v>
      </c>
      <c r="H201" s="58">
        <f t="shared" ref="H201:L201" si="54">H$11</f>
        <v>46022</v>
      </c>
      <c r="I201" s="58">
        <f t="shared" si="54"/>
        <v>46387</v>
      </c>
      <c r="J201" s="58">
        <f t="shared" si="54"/>
        <v>46752</v>
      </c>
      <c r="K201" s="58">
        <f t="shared" si="54"/>
        <v>47118</v>
      </c>
      <c r="L201" s="58">
        <f t="shared" si="54"/>
        <v>47483</v>
      </c>
    </row>
    <row r="202" spans="1:19" ht="5.0999999999999996" customHeight="1" outlineLevel="1">
      <c r="M202" s="50"/>
    </row>
    <row r="203" spans="1:19" ht="13.5" customHeight="1" outlineLevel="1">
      <c r="C203" s="68" t="s">
        <v>247</v>
      </c>
      <c r="D203" s="68"/>
      <c r="E203" s="68"/>
      <c r="F203" s="68"/>
      <c r="G203" s="132"/>
      <c r="H203" s="152">
        <f>G60</f>
        <v>2.9579920000000004</v>
      </c>
      <c r="I203" s="152">
        <f ca="1">H60</f>
        <v>10</v>
      </c>
      <c r="J203" s="152">
        <f ca="1">I60</f>
        <v>10</v>
      </c>
      <c r="K203" s="152">
        <f ca="1">J60</f>
        <v>20.161229667020034</v>
      </c>
      <c r="L203" s="152">
        <f ca="1">K60</f>
        <v>32.683172574382148</v>
      </c>
      <c r="M203" s="50"/>
    </row>
    <row r="204" spans="1:19" ht="13.5" customHeight="1" outlineLevel="1">
      <c r="C204" s="68" t="s">
        <v>249</v>
      </c>
      <c r="D204" s="68"/>
      <c r="E204" s="68"/>
      <c r="F204" s="68"/>
      <c r="G204" s="250"/>
      <c r="H204" s="159">
        <v>-10</v>
      </c>
      <c r="I204" s="159">
        <v>-10</v>
      </c>
      <c r="J204" s="159">
        <v>-10</v>
      </c>
      <c r="K204" s="159">
        <v>-10</v>
      </c>
      <c r="L204" s="159">
        <v>-10</v>
      </c>
      <c r="M204" s="50"/>
    </row>
    <row r="205" spans="1:19" ht="13.5" customHeight="1" outlineLevel="1">
      <c r="C205" s="65" t="s">
        <v>251</v>
      </c>
      <c r="D205" s="65"/>
      <c r="E205" s="65"/>
      <c r="F205" s="65"/>
      <c r="G205" s="197"/>
      <c r="H205" s="179">
        <f>SUM(H203:H204)</f>
        <v>-7.0420079999999992</v>
      </c>
      <c r="I205" s="179">
        <f ca="1">SUM(I203:I204)</f>
        <v>0</v>
      </c>
      <c r="J205" s="179">
        <f ca="1">SUM(J203:J204)</f>
        <v>0</v>
      </c>
      <c r="K205" s="179">
        <f ca="1">SUM(K203:K204)</f>
        <v>10.161229667020034</v>
      </c>
      <c r="L205" s="179">
        <f ca="1">SUM(L203:L204)</f>
        <v>22.683172574382148</v>
      </c>
      <c r="M205" s="50"/>
    </row>
    <row r="206" spans="1:19" ht="13.5" customHeight="1" outlineLevel="1">
      <c r="C206" s="68" t="s">
        <v>253</v>
      </c>
      <c r="D206" s="68"/>
      <c r="E206" s="68"/>
      <c r="F206" s="68"/>
      <c r="G206" s="250"/>
      <c r="H206" s="149">
        <f>H105+H109</f>
        <v>10.047940342237592</v>
      </c>
      <c r="I206" s="149">
        <f t="shared" ref="I206:L206" si="55">I105+I109</f>
        <v>9.5137979697035551</v>
      </c>
      <c r="J206" s="149">
        <f t="shared" ca="1" si="55"/>
        <v>11.025821905078885</v>
      </c>
      <c r="K206" s="149">
        <f t="shared" ca="1" si="55"/>
        <v>12.526376357362114</v>
      </c>
      <c r="L206" s="149">
        <f t="shared" ca="1" si="55"/>
        <v>13.921875688162071</v>
      </c>
      <c r="M206" s="50"/>
    </row>
    <row r="207" spans="1:19" ht="13.5" customHeight="1" outlineLevel="1">
      <c r="C207" s="70" t="s">
        <v>255</v>
      </c>
      <c r="D207" s="70"/>
      <c r="E207" s="70"/>
      <c r="F207" s="70"/>
      <c r="G207" s="252"/>
      <c r="H207" s="198">
        <f>SUM(H205:H206)</f>
        <v>3.0059323422375925</v>
      </c>
      <c r="I207" s="198">
        <f ca="1">SUM(I205:I206)</f>
        <v>9.5137979697035551</v>
      </c>
      <c r="J207" s="198">
        <f ca="1">SUM(J205:J206)</f>
        <v>11.025821905078885</v>
      </c>
      <c r="K207" s="198">
        <f ca="1">SUM(K205:K206)</f>
        <v>22.687606024382148</v>
      </c>
      <c r="L207" s="198">
        <f ca="1">SUM(L205:L206)</f>
        <v>36.605048262544216</v>
      </c>
      <c r="M207" s="50"/>
    </row>
    <row r="208" spans="1:19" ht="5.0999999999999996" customHeight="1" outlineLevel="1">
      <c r="C208" s="68"/>
      <c r="D208" s="68"/>
      <c r="E208" s="68"/>
      <c r="F208" s="68"/>
      <c r="G208" s="154"/>
      <c r="H208" s="154"/>
      <c r="I208" s="154"/>
      <c r="J208" s="154"/>
      <c r="K208" s="154"/>
      <c r="L208" s="154"/>
    </row>
    <row r="209" spans="3:13" ht="13.5" customHeight="1" outlineLevel="1">
      <c r="C209" s="72" t="s">
        <v>257</v>
      </c>
      <c r="D209" s="68"/>
      <c r="E209" s="68"/>
      <c r="F209" s="68"/>
      <c r="G209" s="154"/>
      <c r="H209" s="154"/>
      <c r="I209" s="154"/>
      <c r="J209" s="154"/>
      <c r="K209" s="154"/>
      <c r="L209" s="154"/>
    </row>
    <row r="210" spans="3:13" ht="13.5" customHeight="1" outlineLevel="1">
      <c r="C210" s="91" t="str">
        <f>+C237</f>
        <v>Term Loan A</v>
      </c>
      <c r="D210" s="118"/>
      <c r="E210" s="118"/>
      <c r="G210" s="250"/>
      <c r="H210" s="149">
        <f>H239</f>
        <v>-2.4002902000000002</v>
      </c>
      <c r="I210" s="149">
        <f ca="1">I239</f>
        <v>-2.4002902000000002</v>
      </c>
      <c r="J210" s="149">
        <f ca="1">J239</f>
        <v>-0.80642258805885092</v>
      </c>
      <c r="K210" s="149">
        <f ca="1">K239</f>
        <v>0</v>
      </c>
      <c r="L210" s="149">
        <f ca="1">L239</f>
        <v>0</v>
      </c>
      <c r="M210" s="50"/>
    </row>
    <row r="211" spans="3:13" ht="13.5" customHeight="1" outlineLevel="1">
      <c r="C211" s="91" t="str">
        <f>+C243</f>
        <v>Subordinated - Note 1</v>
      </c>
      <c r="D211" s="118"/>
      <c r="E211" s="118"/>
      <c r="G211" s="250"/>
      <c r="H211" s="149">
        <f>H245</f>
        <v>-1.7067599999999999E-2</v>
      </c>
      <c r="I211" s="149">
        <f ca="1">I245</f>
        <v>-1.7067599999999999E-2</v>
      </c>
      <c r="J211" s="149">
        <f ca="1">J245</f>
        <v>-1.7067599999999999E-2</v>
      </c>
      <c r="K211" s="149">
        <f ca="1">K245</f>
        <v>0</v>
      </c>
      <c r="L211" s="149">
        <f ca="1">L245</f>
        <v>0</v>
      </c>
      <c r="M211" s="50"/>
    </row>
    <row r="212" spans="3:13" ht="13.5" customHeight="1" outlineLevel="1">
      <c r="C212" s="91" t="str">
        <f>+C249</f>
        <v>Subordinated - Note 2</v>
      </c>
      <c r="D212" s="118"/>
      <c r="E212" s="118"/>
      <c r="G212" s="250"/>
      <c r="H212" s="149">
        <f>H251</f>
        <v>-6.3334999999999997E-4</v>
      </c>
      <c r="I212" s="149">
        <f ca="1">I251</f>
        <v>-6.3334999999999997E-4</v>
      </c>
      <c r="J212" s="149">
        <f ca="1">J251</f>
        <v>-6.3334999999999997E-4</v>
      </c>
      <c r="K212" s="149">
        <f ca="1">K251</f>
        <v>-6.3334999999999997E-4</v>
      </c>
      <c r="L212" s="149">
        <f ca="1">L251</f>
        <v>0</v>
      </c>
      <c r="M212" s="50"/>
    </row>
    <row r="213" spans="3:13" ht="13.5" customHeight="1" outlineLevel="1">
      <c r="C213" s="65" t="s">
        <v>261</v>
      </c>
      <c r="D213" s="65"/>
      <c r="E213" s="65"/>
      <c r="F213" s="65"/>
      <c r="G213" s="197"/>
      <c r="H213" s="179">
        <f>SUM(H210:H212)</f>
        <v>-2.4179911500000002</v>
      </c>
      <c r="I213" s="179">
        <f ca="1">SUM(I210:I212)</f>
        <v>-2.4179911500000002</v>
      </c>
      <c r="J213" s="179">
        <f ca="1">SUM(J210:J212)</f>
        <v>-0.82412353805885086</v>
      </c>
      <c r="K213" s="179">
        <f ca="1">SUM(K210:K212)</f>
        <v>-6.3334999999999997E-4</v>
      </c>
      <c r="L213" s="179">
        <f ca="1">SUM(L210:L212)</f>
        <v>0</v>
      </c>
      <c r="M213" s="50"/>
    </row>
    <row r="214" spans="3:13" ht="13.5" customHeight="1" outlineLevel="1">
      <c r="C214" s="180" t="s">
        <v>263</v>
      </c>
      <c r="D214" s="180"/>
      <c r="E214" s="180"/>
      <c r="F214" s="180"/>
      <c r="G214" s="199"/>
      <c r="H214" s="200">
        <f>SUM(H213,H207)</f>
        <v>0.58794119223759234</v>
      </c>
      <c r="I214" s="200">
        <f ca="1">SUM(I213,I207)</f>
        <v>7.0958068197035544</v>
      </c>
      <c r="J214" s="200">
        <f ca="1">SUM(J213,J207)</f>
        <v>10.201698367020034</v>
      </c>
      <c r="K214" s="200">
        <f ca="1">SUM(K213,K207)</f>
        <v>22.686972674382147</v>
      </c>
      <c r="L214" s="200">
        <f ca="1">SUM(L213,L207)</f>
        <v>36.605048262544216</v>
      </c>
      <c r="M214" s="50"/>
    </row>
    <row r="215" spans="3:13" ht="13.5" customHeight="1" outlineLevel="1">
      <c r="C215" s="59"/>
      <c r="D215" s="59"/>
      <c r="E215" s="59"/>
      <c r="F215" s="60"/>
      <c r="G215" s="60"/>
      <c r="H215" s="268"/>
      <c r="I215" s="268"/>
      <c r="J215" s="268"/>
      <c r="K215" s="268"/>
      <c r="L215" s="68"/>
    </row>
    <row r="216" spans="3:13" ht="13.5" customHeight="1" outlineLevel="1">
      <c r="C216" s="68" t="s">
        <v>265</v>
      </c>
      <c r="D216" s="59"/>
      <c r="E216" s="59"/>
      <c r="F216" s="60"/>
      <c r="G216" s="60"/>
      <c r="H216" s="149">
        <f ca="1">MIN(MAX(0,-H214),H235-H229)</f>
        <v>0</v>
      </c>
      <c r="I216" s="149">
        <f ca="1">MIN(MAX(0,-I214),I235-I229)</f>
        <v>0</v>
      </c>
      <c r="J216" s="149">
        <f ca="1">MIN(MAX(0,-J214),J235-J229)</f>
        <v>0</v>
      </c>
      <c r="K216" s="149">
        <f ca="1">MIN(MAX(0,-K214),K235-K229)</f>
        <v>0</v>
      </c>
      <c r="L216" s="149">
        <f ca="1">MIN(MAX(0,-L214),L235-L229)</f>
        <v>0</v>
      </c>
      <c r="M216" s="50"/>
    </row>
    <row r="217" spans="3:13" ht="13.5" customHeight="1" outlineLevel="1">
      <c r="C217" s="59"/>
      <c r="D217" s="59"/>
      <c r="E217" s="59"/>
      <c r="F217" s="60"/>
      <c r="G217" s="60"/>
      <c r="H217" s="149"/>
      <c r="I217" s="149"/>
      <c r="J217" s="149"/>
      <c r="K217" s="149"/>
      <c r="L217" s="149"/>
    </row>
    <row r="218" spans="3:13" ht="13.5" customHeight="1" outlineLevel="1">
      <c r="C218" s="72" t="s">
        <v>267</v>
      </c>
      <c r="D218" s="68"/>
      <c r="E218" s="68"/>
      <c r="F218" s="68"/>
      <c r="G218" s="147"/>
      <c r="H218" s="149"/>
      <c r="I218" s="149"/>
      <c r="J218" s="149"/>
      <c r="K218" s="149"/>
      <c r="L218" s="149"/>
    </row>
    <row r="219" spans="3:13" ht="13.5" customHeight="1" outlineLevel="1">
      <c r="C219" s="68" t="s">
        <v>268</v>
      </c>
      <c r="D219" s="68"/>
      <c r="E219" s="68"/>
      <c r="F219" s="68"/>
      <c r="G219" s="132"/>
      <c r="H219" s="149">
        <f ca="1">-MAX(0,MIN(H229,SUM(H$214:H218),H229*$L267))</f>
        <v>-0.58794119223759234</v>
      </c>
      <c r="I219" s="149">
        <f ca="1">-MAX(0,MIN(I229,SUM(I$214:I218),I229*$L267))</f>
        <v>-0.70135880776240755</v>
      </c>
      <c r="J219" s="149">
        <f ca="1">-MAX(0,MIN(J229,SUM(J$214:J218),J229*$L267))</f>
        <v>0</v>
      </c>
      <c r="K219" s="149">
        <f ca="1">-MAX(0,MIN(K229,SUM(K$214:K218),K229*$L267))</f>
        <v>0</v>
      </c>
      <c r="L219" s="149">
        <f ca="1">-MAX(0,MIN(L229,SUM(L$214:L218),L229*$L267))</f>
        <v>0</v>
      </c>
      <c r="M219" s="50"/>
    </row>
    <row r="220" spans="3:13" ht="13.5" customHeight="1" outlineLevel="1">
      <c r="C220" s="68" t="str">
        <f>+C210</f>
        <v>Term Loan A</v>
      </c>
      <c r="D220" s="68"/>
      <c r="E220" s="68"/>
      <c r="F220" s="68"/>
      <c r="G220" s="154"/>
      <c r="H220" s="149">
        <f ca="1">-MAX(0,MIN(SUM(H238:H239),SUM(H$214:H219),$G241*$L268))</f>
        <v>0</v>
      </c>
      <c r="I220" s="149">
        <f ca="1">-MAX(0,MIN(SUM(I238:I239),SUM(I$214:I219),$G241*$L268))</f>
        <v>-6.3944480119411473</v>
      </c>
      <c r="J220" s="149">
        <f ca="1">-MAX(0,MIN(SUM(J238:J239),SUM(J$214:J219),$G241*$L268))</f>
        <v>0</v>
      </c>
      <c r="K220" s="149">
        <f ca="1">-MAX(0,MIN(SUM(K238:K239),SUM(K$214:K219),$G241*$L268))</f>
        <v>0</v>
      </c>
      <c r="L220" s="149">
        <f ca="1">-MAX(0,MIN(SUM(L238:L239),SUM(L$214:L219),$G241*$L268))</f>
        <v>0</v>
      </c>
      <c r="M220" s="50"/>
    </row>
    <row r="221" spans="3:13" ht="13.5" customHeight="1" outlineLevel="1">
      <c r="C221" s="68" t="str">
        <f>+C211</f>
        <v>Subordinated - Note 1</v>
      </c>
      <c r="D221" s="68"/>
      <c r="E221" s="68"/>
      <c r="F221" s="68"/>
      <c r="G221" s="154"/>
      <c r="H221" s="149">
        <f ca="1">-MAX(0,MIN(SUM(H244:H245),SUM(H$214:H220),$G247*$L269))</f>
        <v>0</v>
      </c>
      <c r="I221" s="149">
        <f ca="1">-MAX(0,MIN(SUM(I244:I245),SUM(I$214:I220),$G247*$L269))</f>
        <v>0</v>
      </c>
      <c r="J221" s="149">
        <f ca="1">-MAX(0,MIN(SUM(J244:J245),SUM(J$214:J220),$G247*$L269))</f>
        <v>-3.4135199999999991E-2</v>
      </c>
      <c r="K221" s="149">
        <f ca="1">-MAX(0,MIN(SUM(K244:K245),SUM(K$214:K220),$G247*$L269))</f>
        <v>0</v>
      </c>
      <c r="L221" s="149">
        <f ca="1">-MAX(0,MIN(SUM(L244:L245),SUM(L$214:L220),$G247*$L269))</f>
        <v>0</v>
      </c>
      <c r="M221" s="50"/>
    </row>
    <row r="222" spans="3:13" ht="13.5" customHeight="1" outlineLevel="1">
      <c r="C222" s="68" t="str">
        <f>+C212</f>
        <v>Subordinated - Note 2</v>
      </c>
      <c r="D222" s="68"/>
      <c r="E222" s="68"/>
      <c r="F222" s="68"/>
      <c r="G222" s="154"/>
      <c r="H222" s="149">
        <f ca="1">-MAX(0,MIN(SUM(H250:H251),SUM(H$214:H221),$G253*$L270))</f>
        <v>0</v>
      </c>
      <c r="I222" s="149">
        <f ca="1">-MAX(0,MIN(SUM(I250:I251),SUM(I$214:I221),$G253*$L270))</f>
        <v>0</v>
      </c>
      <c r="J222" s="149">
        <f ca="1">-MAX(0,MIN(SUM(J250:J251),SUM(J$214:J221),$G253*$L270))</f>
        <v>-6.3334999999999997E-3</v>
      </c>
      <c r="K222" s="149">
        <f ca="1">-MAX(0,MIN(SUM(K250:K251),SUM(K$214:K221),$G253*$L270))</f>
        <v>-3.8001000000000011E-3</v>
      </c>
      <c r="L222" s="149">
        <f ca="1">-MAX(0,MIN(SUM(L250:L251),SUM(L$214:L221),$G253*$L270))</f>
        <v>0</v>
      </c>
      <c r="M222" s="50"/>
    </row>
    <row r="223" spans="3:13" ht="13.5" customHeight="1" outlineLevel="1">
      <c r="C223" s="65" t="s">
        <v>273</v>
      </c>
      <c r="D223" s="65"/>
      <c r="E223" s="65"/>
      <c r="F223" s="65"/>
      <c r="G223" s="257"/>
      <c r="H223" s="179">
        <f ca="1">+SUM(H219:H222)</f>
        <v>-0.58794119223759234</v>
      </c>
      <c r="I223" s="179">
        <f t="shared" ref="I223:L223" ca="1" si="56">+SUM(I219:I222)</f>
        <v>-7.0958068197035544</v>
      </c>
      <c r="J223" s="179">
        <f t="shared" ca="1" si="56"/>
        <v>-4.0468699999999989E-2</v>
      </c>
      <c r="K223" s="179">
        <f t="shared" ca="1" si="56"/>
        <v>-3.8001000000000011E-3</v>
      </c>
      <c r="L223" s="179">
        <f t="shared" ca="1" si="56"/>
        <v>0</v>
      </c>
      <c r="M223" s="50"/>
    </row>
    <row r="224" spans="3:13" ht="13.5" customHeight="1" outlineLevel="1">
      <c r="C224" s="258"/>
      <c r="D224" s="53"/>
      <c r="E224" s="53"/>
      <c r="F224" s="259"/>
      <c r="G224" s="259"/>
      <c r="H224" s="259"/>
      <c r="I224" s="259"/>
      <c r="J224" s="259"/>
      <c r="K224" s="259"/>
      <c r="L224" s="259"/>
    </row>
    <row r="225" spans="3:13" ht="5.0999999999999996" customHeight="1" outlineLevel="1">
      <c r="C225" s="59"/>
      <c r="D225" s="59"/>
      <c r="E225" s="59"/>
      <c r="F225" s="60"/>
      <c r="G225" s="60"/>
      <c r="H225" s="60"/>
      <c r="I225" s="60"/>
      <c r="J225" s="60"/>
      <c r="K225" s="60"/>
    </row>
    <row r="226" spans="3:13" ht="13.5" customHeight="1" outlineLevel="1">
      <c r="C226" s="84" t="s">
        <v>201</v>
      </c>
      <c r="D226" s="85"/>
      <c r="E226" s="86"/>
      <c r="F226" s="86"/>
      <c r="G226" s="86"/>
      <c r="H226" s="86"/>
      <c r="I226" s="86"/>
      <c r="J226" s="86"/>
      <c r="K226" s="86"/>
      <c r="L226" s="87"/>
    </row>
    <row r="227" spans="3:13" ht="13.5" customHeight="1" outlineLevel="1">
      <c r="M227" s="30"/>
    </row>
    <row r="228" spans="3:13" ht="13.5" customHeight="1" outlineLevel="1">
      <c r="C228" s="216" t="str">
        <f>+C113</f>
        <v>Revolver</v>
      </c>
      <c r="D228" s="217"/>
      <c r="E228" s="217"/>
      <c r="F228" s="218"/>
      <c r="G228" s="219"/>
      <c r="H228" s="220"/>
      <c r="I228" s="220"/>
      <c r="J228" s="220"/>
      <c r="K228" s="220"/>
      <c r="L228" s="220"/>
    </row>
    <row r="229" spans="3:13" ht="13.5" customHeight="1" outlineLevel="1">
      <c r="C229" s="98" t="s">
        <v>202</v>
      </c>
      <c r="D229" s="118"/>
      <c r="E229" s="118"/>
      <c r="G229" s="149"/>
      <c r="H229" s="152">
        <f>G232</f>
        <v>1.2892999999999999</v>
      </c>
      <c r="I229" s="152">
        <f ca="1">H232</f>
        <v>0.70135880776240755</v>
      </c>
      <c r="J229" s="152">
        <f ca="1">I232</f>
        <v>0</v>
      </c>
      <c r="K229" s="152">
        <f ca="1">J232</f>
        <v>0</v>
      </c>
      <c r="L229" s="152">
        <f ca="1">K232</f>
        <v>0</v>
      </c>
      <c r="M229" s="50"/>
    </row>
    <row r="230" spans="3:13" ht="13.5" customHeight="1" outlineLevel="1">
      <c r="C230" s="91" t="s">
        <v>204</v>
      </c>
      <c r="D230" s="118"/>
      <c r="E230" s="118"/>
      <c r="G230" s="149"/>
      <c r="H230" s="149">
        <f ca="1">H216</f>
        <v>0</v>
      </c>
      <c r="I230" s="149">
        <f ca="1">I216</f>
        <v>0</v>
      </c>
      <c r="J230" s="149">
        <f ca="1">J216</f>
        <v>0</v>
      </c>
      <c r="K230" s="149">
        <f ca="1">K216</f>
        <v>0</v>
      </c>
      <c r="L230" s="149">
        <f ca="1">L216</f>
        <v>0</v>
      </c>
      <c r="M230" s="50"/>
    </row>
    <row r="231" spans="3:13" ht="13.5" customHeight="1" outlineLevel="1">
      <c r="C231" s="91" t="s">
        <v>206</v>
      </c>
      <c r="D231" s="118"/>
      <c r="E231" s="118"/>
      <c r="G231" s="149"/>
      <c r="H231" s="149">
        <f ca="1">H219</f>
        <v>-0.58794119223759234</v>
      </c>
      <c r="I231" s="149">
        <f ca="1">I219</f>
        <v>-0.70135880776240755</v>
      </c>
      <c r="J231" s="149">
        <f ca="1">J219</f>
        <v>0</v>
      </c>
      <c r="K231" s="149">
        <f ca="1">K219</f>
        <v>0</v>
      </c>
      <c r="L231" s="149">
        <f ca="1">L219</f>
        <v>0</v>
      </c>
      <c r="M231" s="50"/>
    </row>
    <row r="232" spans="3:13" ht="13.5" customHeight="1" outlineLevel="1">
      <c r="C232" s="65" t="s">
        <v>207</v>
      </c>
      <c r="D232" s="65"/>
      <c r="E232" s="65"/>
      <c r="F232" s="65"/>
      <c r="G232" s="260">
        <f>G78</f>
        <v>1.2892999999999999</v>
      </c>
      <c r="H232" s="260">
        <f ca="1">SUM(H229:H231)</f>
        <v>0.70135880776240755</v>
      </c>
      <c r="I232" s="260">
        <f ca="1">SUM(I229:I231)</f>
        <v>0</v>
      </c>
      <c r="J232" s="260">
        <f ca="1">SUM(J229:J231)</f>
        <v>0</v>
      </c>
      <c r="K232" s="260">
        <f ca="1">SUM(K229:K231)</f>
        <v>0</v>
      </c>
      <c r="L232" s="260">
        <f ca="1">SUM(L229:L231)</f>
        <v>0</v>
      </c>
      <c r="M232" s="50"/>
    </row>
    <row r="233" spans="3:13" ht="13.5" customHeight="1" outlineLevel="1">
      <c r="C233" s="68"/>
      <c r="D233" s="68"/>
      <c r="E233" s="68"/>
      <c r="F233" s="68"/>
      <c r="G233" s="147"/>
      <c r="H233" s="154"/>
      <c r="I233" s="68"/>
      <c r="J233" s="68"/>
      <c r="K233" s="68"/>
      <c r="L233" s="68"/>
    </row>
    <row r="234" spans="3:13" ht="13.5" customHeight="1" outlineLevel="1">
      <c r="C234" s="68" t="s">
        <v>209</v>
      </c>
      <c r="D234" s="68"/>
      <c r="E234" s="68"/>
      <c r="F234" s="68"/>
      <c r="G234" s="159">
        <v>30</v>
      </c>
      <c r="H234" s="159">
        <v>30</v>
      </c>
      <c r="I234" s="159">
        <v>30</v>
      </c>
      <c r="J234" s="159">
        <v>30</v>
      </c>
      <c r="K234" s="159">
        <v>30</v>
      </c>
      <c r="L234" s="159">
        <v>30</v>
      </c>
      <c r="M234" s="50"/>
    </row>
    <row r="235" spans="3:13" ht="13.5" customHeight="1" outlineLevel="1">
      <c r="C235" s="98" t="s">
        <v>211</v>
      </c>
      <c r="D235" s="223"/>
      <c r="E235" s="223"/>
      <c r="F235" s="223"/>
      <c r="G235" s="177">
        <f t="shared" ref="G235:L235" si="57">G234-G232</f>
        <v>28.710699999999999</v>
      </c>
      <c r="H235" s="177">
        <f t="shared" ca="1" si="57"/>
        <v>29.298641192237593</v>
      </c>
      <c r="I235" s="177">
        <f t="shared" ca="1" si="57"/>
        <v>30</v>
      </c>
      <c r="J235" s="177">
        <f t="shared" ca="1" si="57"/>
        <v>30</v>
      </c>
      <c r="K235" s="177">
        <f t="shared" ca="1" si="57"/>
        <v>30</v>
      </c>
      <c r="L235" s="177">
        <f t="shared" ca="1" si="57"/>
        <v>30</v>
      </c>
      <c r="M235" s="50"/>
    </row>
    <row r="236" spans="3:13" ht="13.5" customHeight="1" outlineLevel="1">
      <c r="C236" s="68"/>
      <c r="G236" s="68"/>
      <c r="H236" s="68"/>
      <c r="I236" s="68"/>
      <c r="J236" s="68"/>
      <c r="K236" s="68"/>
      <c r="L236" s="68"/>
    </row>
    <row r="237" spans="3:13" ht="13.5" customHeight="1" outlineLevel="1">
      <c r="C237" s="216" t="str">
        <f>+C114</f>
        <v>Term Loan A</v>
      </c>
      <c r="D237" s="217"/>
      <c r="E237" s="217"/>
      <c r="F237" s="218"/>
      <c r="G237" s="219"/>
      <c r="H237" s="224"/>
      <c r="I237" s="224"/>
      <c r="J237" s="225"/>
      <c r="K237" s="225"/>
      <c r="L237" s="225"/>
    </row>
    <row r="238" spans="3:13" ht="13.5" customHeight="1" outlineLevel="1">
      <c r="C238" s="98" t="s">
        <v>202</v>
      </c>
      <c r="D238" s="118"/>
      <c r="E238" s="118"/>
      <c r="G238" s="149"/>
      <c r="H238" s="152">
        <f>G241</f>
        <v>12.001450999999999</v>
      </c>
      <c r="I238" s="152">
        <f ca="1">H241</f>
        <v>9.6011607999999988</v>
      </c>
      <c r="J238" s="152">
        <f ca="1">I241</f>
        <v>0.80642258805885092</v>
      </c>
      <c r="K238" s="152">
        <f ca="1">J241</f>
        <v>0</v>
      </c>
      <c r="L238" s="152">
        <f ca="1">K241</f>
        <v>0</v>
      </c>
      <c r="M238" s="50"/>
    </row>
    <row r="239" spans="3:13" ht="13.5" customHeight="1" outlineLevel="1">
      <c r="C239" s="91" t="s">
        <v>214</v>
      </c>
      <c r="D239" s="118"/>
      <c r="E239" s="118"/>
      <c r="G239" s="149"/>
      <c r="H239" s="177">
        <f>-MIN(($G241*H258),H238)</f>
        <v>-2.4002902000000002</v>
      </c>
      <c r="I239" s="177">
        <f ca="1">-MIN(($G241*I258),I238)</f>
        <v>-2.4002902000000002</v>
      </c>
      <c r="J239" s="177">
        <f ca="1">-MIN(($G241*J258),J238)</f>
        <v>-0.80642258805885092</v>
      </c>
      <c r="K239" s="177">
        <f ca="1">-MIN(($G241*K258),K238)</f>
        <v>0</v>
      </c>
      <c r="L239" s="177">
        <f ca="1">-MIN(($G241*L258),L238)</f>
        <v>0</v>
      </c>
      <c r="M239" s="50"/>
    </row>
    <row r="240" spans="3:13" ht="13.5" customHeight="1" outlineLevel="1">
      <c r="C240" s="91" t="s">
        <v>216</v>
      </c>
      <c r="D240" s="118"/>
      <c r="E240" s="118"/>
      <c r="G240" s="149"/>
      <c r="H240" s="177">
        <f ca="1">H220</f>
        <v>0</v>
      </c>
      <c r="I240" s="177">
        <f t="shared" ref="I240:L240" ca="1" si="58">I220</f>
        <v>-6.3944480119411473</v>
      </c>
      <c r="J240" s="177">
        <f t="shared" ca="1" si="58"/>
        <v>0</v>
      </c>
      <c r="K240" s="177">
        <f t="shared" ca="1" si="58"/>
        <v>0</v>
      </c>
      <c r="L240" s="177">
        <f t="shared" ca="1" si="58"/>
        <v>0</v>
      </c>
      <c r="M240" s="50"/>
    </row>
    <row r="241" spans="3:13" ht="13.5" customHeight="1" outlineLevel="1">
      <c r="C241" s="65" t="s">
        <v>207</v>
      </c>
      <c r="D241" s="65"/>
      <c r="E241" s="65"/>
      <c r="F241" s="65"/>
      <c r="G241" s="260">
        <f>G79</f>
        <v>12.001450999999999</v>
      </c>
      <c r="H241" s="261">
        <f ca="1">SUM(H238:H240)</f>
        <v>9.6011607999999988</v>
      </c>
      <c r="I241" s="261">
        <f ca="1">SUM(I238:I240)</f>
        <v>0.80642258805885092</v>
      </c>
      <c r="J241" s="261">
        <f ca="1">SUM(J238:J240)</f>
        <v>0</v>
      </c>
      <c r="K241" s="261">
        <f ca="1">SUM(K238:K240)</f>
        <v>0</v>
      </c>
      <c r="L241" s="261">
        <f ca="1">SUM(L238:L240)</f>
        <v>0</v>
      </c>
      <c r="M241" s="50"/>
    </row>
    <row r="242" spans="3:13" ht="13.5" customHeight="1" outlineLevel="1">
      <c r="C242" s="68"/>
      <c r="G242" s="68"/>
      <c r="H242" s="68"/>
      <c r="I242" s="68"/>
      <c r="J242" s="68"/>
      <c r="K242" s="68"/>
      <c r="L242" s="68"/>
    </row>
    <row r="243" spans="3:13" ht="13.5" customHeight="1" outlineLevel="1">
      <c r="C243" s="216" t="str">
        <f>+C115</f>
        <v>Subordinated - Note 1</v>
      </c>
      <c r="D243" s="217"/>
      <c r="E243" s="217"/>
      <c r="F243" s="218"/>
      <c r="G243" s="219"/>
      <c r="H243" s="224"/>
      <c r="I243" s="224"/>
      <c r="J243" s="225"/>
      <c r="K243" s="225"/>
      <c r="L243" s="225"/>
    </row>
    <row r="244" spans="3:13" ht="13.5" customHeight="1" outlineLevel="1">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3:13" ht="13.5" customHeight="1" outlineLevel="1">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3:13" ht="13.5" customHeight="1" outlineLevel="1">
      <c r="C246" s="91" t="s">
        <v>216</v>
      </c>
      <c r="D246" s="118"/>
      <c r="E246" s="118"/>
      <c r="G246" s="154"/>
      <c r="H246" s="177">
        <f ca="1">H221</f>
        <v>0</v>
      </c>
      <c r="I246" s="177">
        <f ca="1">I221</f>
        <v>0</v>
      </c>
      <c r="J246" s="177">
        <f ca="1">J221</f>
        <v>-3.4135199999999991E-2</v>
      </c>
      <c r="K246" s="177">
        <f ca="1">K221</f>
        <v>0</v>
      </c>
      <c r="L246" s="177">
        <f ca="1">L221</f>
        <v>0</v>
      </c>
      <c r="M246" s="50"/>
    </row>
    <row r="247" spans="3:13" ht="13.5" customHeight="1" outlineLevel="1">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3:13" ht="13.5" customHeight="1" outlineLevel="1">
      <c r="C248" s="68"/>
      <c r="G248" s="68"/>
      <c r="H248" s="68"/>
      <c r="I248" s="68"/>
      <c r="J248" s="68"/>
      <c r="K248" s="68"/>
      <c r="L248" s="68"/>
    </row>
    <row r="249" spans="3:13" ht="13.5" customHeight="1" outlineLevel="1">
      <c r="C249" s="216" t="str">
        <f>+C116</f>
        <v>Subordinated - Note 2</v>
      </c>
      <c r="D249" s="217"/>
      <c r="E249" s="217"/>
      <c r="F249" s="218"/>
      <c r="G249" s="219"/>
      <c r="H249" s="224"/>
      <c r="I249" s="224"/>
      <c r="J249" s="225"/>
      <c r="K249" s="225"/>
      <c r="L249" s="225"/>
    </row>
    <row r="250" spans="3:13" ht="13.5" customHeight="1" outlineLevel="1">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3:13" ht="13.5" customHeight="1" outlineLevel="1">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3:13" ht="13.5" customHeight="1" outlineLevel="1">
      <c r="C252" s="91" t="s">
        <v>216</v>
      </c>
      <c r="D252" s="118"/>
      <c r="E252" s="118"/>
      <c r="G252" s="154"/>
      <c r="H252" s="177">
        <f ca="1">H222</f>
        <v>0</v>
      </c>
      <c r="I252" s="177">
        <f t="shared" ref="I252:L252" ca="1" si="59">I222</f>
        <v>0</v>
      </c>
      <c r="J252" s="177">
        <f t="shared" ca="1" si="59"/>
        <v>-6.3334999999999997E-3</v>
      </c>
      <c r="K252" s="177">
        <f t="shared" ca="1" si="59"/>
        <v>-3.8001000000000011E-3</v>
      </c>
      <c r="L252" s="177">
        <f t="shared" ca="1" si="59"/>
        <v>0</v>
      </c>
      <c r="M252" s="50"/>
    </row>
    <row r="253" spans="3:13" ht="13.5" customHeight="1" outlineLevel="1">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3:13" ht="13.5" customHeight="1" outlineLevel="1">
      <c r="C254" s="68"/>
      <c r="G254" s="68"/>
      <c r="H254" s="68"/>
      <c r="I254" s="68"/>
      <c r="J254" s="68"/>
      <c r="K254" s="68"/>
      <c r="L254" s="68"/>
    </row>
    <row r="255" spans="3:13" ht="13.5" customHeight="1" outlineLevel="1">
      <c r="C255" s="84" t="s">
        <v>221</v>
      </c>
      <c r="D255" s="85"/>
      <c r="E255" s="86"/>
      <c r="F255" s="86"/>
      <c r="G255" s="234" t="s">
        <v>222</v>
      </c>
      <c r="H255" s="86"/>
      <c r="I255" s="86"/>
      <c r="J255" s="86"/>
      <c r="K255" s="86"/>
      <c r="L255" s="87"/>
    </row>
    <row r="256" spans="3:13" ht="13.5" customHeight="1" outlineLevel="1">
      <c r="C256" s="68"/>
    </row>
    <row r="257" spans="3:13" ht="13.5" customHeight="1" outlineLevel="1">
      <c r="C257" s="68"/>
      <c r="G257" s="235" t="s">
        <v>222</v>
      </c>
      <c r="H257" s="236" t="s">
        <v>223</v>
      </c>
      <c r="I257" s="237"/>
      <c r="J257" s="237"/>
      <c r="K257" s="237"/>
      <c r="L257" s="237"/>
    </row>
    <row r="258" spans="3:13" ht="13.5" customHeight="1" outlineLevel="1">
      <c r="C258" s="68" t="str">
        <f>+C237</f>
        <v>Term Loan A</v>
      </c>
      <c r="G258" s="152">
        <f>G241</f>
        <v>12.001450999999999</v>
      </c>
      <c r="H258" s="263">
        <v>0.2</v>
      </c>
      <c r="I258" s="263">
        <v>0.2</v>
      </c>
      <c r="J258" s="263">
        <v>0.2</v>
      </c>
      <c r="K258" s="263">
        <v>0.2</v>
      </c>
      <c r="L258" s="263">
        <v>0.2</v>
      </c>
      <c r="M258" s="50"/>
    </row>
    <row r="259" spans="3:13" ht="13.5" customHeight="1" outlineLevel="1">
      <c r="C259" s="68" t="str">
        <f>+C243</f>
        <v>Subordinated - Note 1</v>
      </c>
      <c r="G259" s="152">
        <f>G247</f>
        <v>8.5337999999999997E-2</v>
      </c>
      <c r="H259" s="263">
        <v>0.2</v>
      </c>
      <c r="I259" s="263">
        <v>0.2</v>
      </c>
      <c r="J259" s="263">
        <v>0.2</v>
      </c>
      <c r="K259" s="263">
        <v>0.2</v>
      </c>
      <c r="L259" s="263">
        <v>0.2</v>
      </c>
      <c r="M259" s="50"/>
    </row>
    <row r="260" spans="3:13" ht="13.5" customHeight="1" outlineLevel="1">
      <c r="C260" s="68" t="str">
        <f>+C249</f>
        <v>Subordinated - Note 2</v>
      </c>
      <c r="G260" s="152">
        <f>G253</f>
        <v>1.2666999999999999E-2</v>
      </c>
      <c r="H260" s="263">
        <v>0.05</v>
      </c>
      <c r="I260" s="263">
        <v>0.05</v>
      </c>
      <c r="J260" s="263">
        <v>0.05</v>
      </c>
      <c r="K260" s="263">
        <v>0.05</v>
      </c>
      <c r="L260" s="263">
        <v>0.8</v>
      </c>
      <c r="M260" s="50"/>
    </row>
    <row r="261" spans="3:13" ht="13.5" customHeight="1" outlineLevel="1">
      <c r="C261" s="68"/>
    </row>
    <row r="262" spans="3:13" ht="13.5" customHeight="1" outlineLevel="1">
      <c r="C262" s="84" t="s">
        <v>227</v>
      </c>
      <c r="D262" s="85"/>
      <c r="E262" s="86"/>
      <c r="F262" s="86"/>
      <c r="G262" s="86"/>
      <c r="H262" s="86"/>
      <c r="I262" s="86"/>
      <c r="J262" s="86"/>
      <c r="K262" s="86"/>
      <c r="L262" s="87"/>
    </row>
    <row r="263" spans="3:13" ht="13.5" customHeight="1" outlineLevel="1">
      <c r="C263" s="68"/>
    </row>
    <row r="264" spans="3:13" ht="13.5" customHeight="1" outlineLevel="1">
      <c r="C264" s="239"/>
      <c r="D264" s="240"/>
      <c r="E264" s="240"/>
      <c r="H264" s="54"/>
      <c r="I264" s="54" t="s">
        <v>228</v>
      </c>
      <c r="J264" s="54" t="s">
        <v>229</v>
      </c>
      <c r="K264" s="54" t="s">
        <v>230</v>
      </c>
      <c r="L264" s="54" t="s">
        <v>98</v>
      </c>
    </row>
    <row r="265" spans="3:13" ht="13.5" customHeight="1" outlineLevel="1" thickBot="1">
      <c r="C265" s="241"/>
      <c r="D265" s="242"/>
      <c r="E265" s="242"/>
      <c r="F265" s="243"/>
      <c r="G265" s="244" t="s">
        <v>231</v>
      </c>
      <c r="H265" s="243" t="s">
        <v>232</v>
      </c>
      <c r="I265" s="243" t="s">
        <v>232</v>
      </c>
      <c r="J265" s="243" t="s">
        <v>232</v>
      </c>
      <c r="K265" s="243" t="s">
        <v>233</v>
      </c>
      <c r="L265" s="243" t="s">
        <v>234</v>
      </c>
      <c r="M265" s="50"/>
    </row>
    <row r="266" spans="3:13" ht="5.0999999999999996" customHeight="1" outlineLevel="1">
      <c r="C266" s="98"/>
      <c r="D266" s="118"/>
      <c r="E266" s="118"/>
      <c r="F266" s="245"/>
      <c r="G266" s="245"/>
      <c r="H266" s="245"/>
      <c r="I266" s="245"/>
      <c r="J266" s="245"/>
      <c r="K266" s="118"/>
    </row>
    <row r="267" spans="3:13" ht="13.5" customHeight="1" outlineLevel="1">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3:13" ht="13.5" customHeight="1" outlineLevel="1">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3:13" ht="13.5" customHeight="1" outlineLevel="1">
      <c r="C269" s="98" t="str">
        <f>+C243</f>
        <v>Subordinated - Note 1</v>
      </c>
      <c r="D269" s="118"/>
      <c r="E269" s="118"/>
      <c r="F269" s="264"/>
      <c r="G269" s="265" t="s">
        <v>242</v>
      </c>
      <c r="H269" s="265" t="s">
        <v>241</v>
      </c>
      <c r="I269" s="265" t="s">
        <v>241</v>
      </c>
      <c r="J269" s="265" t="s">
        <v>241</v>
      </c>
      <c r="K269" s="265">
        <v>0.12</v>
      </c>
      <c r="L269" s="267">
        <v>1</v>
      </c>
      <c r="M269" s="50"/>
    </row>
    <row r="270" spans="3:13" ht="13.5" customHeight="1" outlineLevel="1">
      <c r="C270" s="98" t="str">
        <f>+C249</f>
        <v>Subordinated - Note 2</v>
      </c>
      <c r="D270" s="118"/>
      <c r="E270" s="118"/>
      <c r="F270" s="264"/>
      <c r="G270" s="265" t="s">
        <v>242</v>
      </c>
      <c r="H270" s="265" t="s">
        <v>241</v>
      </c>
      <c r="I270" s="265" t="s">
        <v>241</v>
      </c>
      <c r="J270" s="265" t="s">
        <v>241</v>
      </c>
      <c r="K270" s="265">
        <v>0.14499999999999999</v>
      </c>
      <c r="L270" s="267">
        <v>0.5</v>
      </c>
      <c r="M270" s="50"/>
    </row>
    <row r="271" spans="3:13" ht="5.0999999999999996" customHeight="1" outlineLevel="1" thickBot="1">
      <c r="C271" s="157"/>
      <c r="D271" s="157"/>
      <c r="E271" s="157"/>
      <c r="F271" s="83"/>
      <c r="G271" s="83"/>
      <c r="H271" s="83"/>
      <c r="I271" s="83"/>
      <c r="J271" s="83"/>
      <c r="K271" s="83"/>
      <c r="L271" s="83"/>
    </row>
    <row r="272" spans="3:13" ht="13.5" customHeight="1" outlineLevel="1"/>
    <row r="273" spans="1:13" ht="13.5" customHeight="1" outlineLevel="1">
      <c r="A273" s="125"/>
      <c r="C273" s="84" t="s">
        <v>284</v>
      </c>
      <c r="D273" s="85"/>
      <c r="E273" s="86"/>
      <c r="F273" s="86"/>
      <c r="G273" s="86"/>
      <c r="H273" s="86"/>
      <c r="I273" s="86"/>
      <c r="J273" s="86"/>
      <c r="K273" s="86"/>
      <c r="L273" s="87"/>
      <c r="M273" s="50" t="s">
        <v>285</v>
      </c>
    </row>
    <row r="274" spans="1:13" ht="13.5" customHeight="1" outlineLevel="1">
      <c r="A274" s="125"/>
      <c r="M274" s="30"/>
    </row>
    <row r="275" spans="1:13" ht="13.5" customHeight="1" outlineLevel="1">
      <c r="A275" s="125"/>
      <c r="C275" s="98" t="s">
        <v>232</v>
      </c>
      <c r="H275" s="269"/>
      <c r="I275" s="269"/>
      <c r="J275" s="269"/>
      <c r="K275" s="269"/>
      <c r="L275" s="269"/>
      <c r="M275" s="50" t="s">
        <v>286</v>
      </c>
    </row>
    <row r="276" spans="1:13" ht="13.5" customHeight="1" outlineLevel="1">
      <c r="A276" s="125"/>
      <c r="C276" s="98" t="s">
        <v>287</v>
      </c>
      <c r="H276" s="270"/>
      <c r="I276" s="270"/>
      <c r="J276" s="270"/>
      <c r="K276" s="270"/>
      <c r="L276" s="270"/>
      <c r="M276" s="50" t="s">
        <v>288</v>
      </c>
    </row>
    <row r="277" spans="1:13" ht="13.5" customHeight="1" outlineLevel="1">
      <c r="A277" s="125"/>
      <c r="C277" s="68"/>
      <c r="H277" s="270"/>
      <c r="I277" s="270"/>
      <c r="J277" s="270"/>
      <c r="K277" s="270"/>
      <c r="L277" s="270"/>
      <c r="M277" s="30"/>
    </row>
    <row r="278" spans="1:13" ht="13.5" customHeight="1" outlineLevel="1">
      <c r="A278" s="125"/>
      <c r="C278" s="68" t="str">
        <f>+C267</f>
        <v>Revolver</v>
      </c>
      <c r="H278" s="269"/>
      <c r="I278" s="269"/>
      <c r="J278" s="269"/>
      <c r="K278" s="269"/>
      <c r="L278" s="269"/>
      <c r="M278" s="50" t="s">
        <v>289</v>
      </c>
    </row>
    <row r="279" spans="1:13" ht="13.5" customHeight="1" outlineLevel="1">
      <c r="A279" s="125"/>
      <c r="C279" s="68" t="str">
        <f>+C268</f>
        <v>Term Loan A</v>
      </c>
      <c r="H279" s="269"/>
      <c r="I279" s="269"/>
      <c r="J279" s="269"/>
      <c r="K279" s="269"/>
      <c r="L279" s="269"/>
      <c r="M279" s="50" t="s">
        <v>290</v>
      </c>
    </row>
    <row r="280" spans="1:13" ht="13.5" customHeight="1" outlineLevel="1">
      <c r="A280" s="125"/>
      <c r="C280" s="68" t="str">
        <f t="shared" ref="C280:C281" si="60">+C269</f>
        <v>Subordinated - Note 1</v>
      </c>
      <c r="H280" s="269"/>
      <c r="I280" s="269"/>
      <c r="J280" s="269"/>
      <c r="K280" s="269"/>
      <c r="L280" s="269"/>
      <c r="M280" s="50" t="s">
        <v>290</v>
      </c>
    </row>
    <row r="281" spans="1:13" ht="13.5" customHeight="1" outlineLevel="1">
      <c r="A281" s="125"/>
      <c r="C281" s="68" t="str">
        <f t="shared" si="60"/>
        <v>Subordinated - Note 2</v>
      </c>
      <c r="H281" s="269"/>
      <c r="I281" s="269"/>
      <c r="J281" s="269"/>
      <c r="K281" s="269"/>
      <c r="L281" s="269"/>
      <c r="M281" s="50" t="s">
        <v>290</v>
      </c>
    </row>
    <row r="282" spans="1:13" ht="13.5" customHeight="1" outlineLevel="1">
      <c r="A282" s="125"/>
      <c r="C282" s="68"/>
      <c r="M282" s="30"/>
    </row>
    <row r="283" spans="1:13" ht="13.5" customHeight="1" outlineLevel="1">
      <c r="A283" s="125"/>
      <c r="C283" s="84" t="s">
        <v>291</v>
      </c>
      <c r="D283" s="85"/>
      <c r="E283" s="86"/>
      <c r="F283" s="86"/>
      <c r="G283" s="86"/>
      <c r="H283" s="86"/>
      <c r="I283" s="86"/>
      <c r="J283" s="86"/>
      <c r="K283" s="86"/>
      <c r="L283" s="87"/>
      <c r="M283" s="30"/>
    </row>
    <row r="284" spans="1:13" ht="13.5" customHeight="1" outlineLevel="1">
      <c r="A284" s="125"/>
      <c r="C284" s="68"/>
      <c r="M284" s="30"/>
    </row>
    <row r="285" spans="1:13" ht="13.5" customHeight="1" outlineLevel="1">
      <c r="A285" s="125"/>
      <c r="C285" s="98" t="s">
        <v>287</v>
      </c>
      <c r="H285" s="165"/>
      <c r="I285" s="165"/>
      <c r="J285" s="165"/>
      <c r="K285" s="165"/>
      <c r="L285" s="165"/>
      <c r="M285" s="50" t="s">
        <v>292</v>
      </c>
    </row>
    <row r="286" spans="1:13" ht="13.5" customHeight="1" outlineLevel="1">
      <c r="A286" s="125"/>
      <c r="C286" s="68"/>
      <c r="H286" s="129"/>
      <c r="I286" s="129"/>
      <c r="J286" s="129"/>
      <c r="K286" s="129"/>
      <c r="L286" s="129"/>
      <c r="M286" s="30"/>
    </row>
    <row r="287" spans="1:13" ht="13.5" customHeight="1" outlineLevel="1">
      <c r="A287" s="125"/>
      <c r="C287" s="68" t="str">
        <f>+C278</f>
        <v>Revolver</v>
      </c>
      <c r="H287" s="165"/>
      <c r="I287" s="165"/>
      <c r="J287" s="165"/>
      <c r="K287" s="165"/>
      <c r="L287" s="165"/>
      <c r="M287" s="50" t="s">
        <v>293</v>
      </c>
    </row>
    <row r="288" spans="1:13" ht="13.5" customHeight="1" outlineLevel="1">
      <c r="A288" s="125"/>
      <c r="C288" s="68" t="str">
        <f t="shared" ref="C288:C290" si="61">+C279</f>
        <v>Term Loan A</v>
      </c>
      <c r="H288" s="165"/>
      <c r="I288" s="165"/>
      <c r="J288" s="165"/>
      <c r="K288" s="165"/>
      <c r="L288" s="165"/>
      <c r="M288" s="50" t="s">
        <v>294</v>
      </c>
    </row>
    <row r="289" spans="1:19" ht="13.5" customHeight="1" outlineLevel="1">
      <c r="A289" s="125"/>
      <c r="C289" s="68" t="str">
        <f t="shared" si="61"/>
        <v>Subordinated - Note 1</v>
      </c>
      <c r="H289" s="165"/>
      <c r="I289" s="165"/>
      <c r="J289" s="165"/>
      <c r="K289" s="165"/>
      <c r="L289" s="165"/>
      <c r="M289" s="50" t="s">
        <v>295</v>
      </c>
    </row>
    <row r="290" spans="1:19" ht="13.5" customHeight="1" outlineLevel="1">
      <c r="A290" s="125"/>
      <c r="C290" s="68" t="str">
        <f t="shared" si="61"/>
        <v>Subordinated - Note 2</v>
      </c>
      <c r="H290" s="165"/>
      <c r="I290" s="165"/>
      <c r="J290" s="165"/>
      <c r="K290" s="165"/>
      <c r="L290" s="165"/>
      <c r="M290" s="50" t="s">
        <v>296</v>
      </c>
    </row>
    <row r="291" spans="1:19" ht="13.5" customHeight="1" outlineLevel="1">
      <c r="A291" s="125"/>
      <c r="C291" s="68"/>
      <c r="H291" s="129"/>
      <c r="I291" s="129"/>
      <c r="J291" s="129"/>
      <c r="K291" s="129"/>
      <c r="L291" s="129"/>
      <c r="M291" s="30"/>
    </row>
    <row r="292" spans="1:19" ht="13.5" customHeight="1" outlineLevel="1">
      <c r="A292" s="125"/>
      <c r="C292" s="98" t="s">
        <v>297</v>
      </c>
      <c r="H292" s="165"/>
      <c r="I292" s="165"/>
      <c r="J292" s="165"/>
      <c r="K292" s="165"/>
      <c r="L292" s="165"/>
      <c r="M292" s="50" t="s">
        <v>298</v>
      </c>
    </row>
    <row r="293" spans="1:19" ht="13.5" customHeight="1">
      <c r="M293" s="30"/>
    </row>
    <row r="295" spans="1:19" ht="19.5" customHeight="1">
      <c r="A295" s="82"/>
      <c r="B295" s="82"/>
      <c r="C295" s="121"/>
      <c r="D295" s="82"/>
      <c r="E295" s="82"/>
      <c r="F295" s="82"/>
      <c r="G295" s="82"/>
      <c r="H295" s="82"/>
      <c r="I295" s="82"/>
      <c r="J295" s="82"/>
      <c r="K295" s="82"/>
      <c r="L295" s="82"/>
      <c r="M295" s="82"/>
      <c r="N295" s="82"/>
      <c r="O295" s="82"/>
      <c r="P295" s="82"/>
      <c r="Q295" s="82"/>
      <c r="R295" s="82"/>
      <c r="S295" s="82"/>
    </row>
    <row r="296" spans="1:19" ht="5.0999999999999996" customHeight="1">
      <c r="A296" s="82"/>
      <c r="B296" s="82"/>
      <c r="C296" s="82"/>
      <c r="D296" s="82"/>
      <c r="E296" s="82"/>
      <c r="F296" s="82"/>
      <c r="G296" s="82"/>
      <c r="H296" s="82"/>
      <c r="I296" s="82"/>
      <c r="J296" s="82"/>
      <c r="K296" s="82"/>
      <c r="L296" s="82"/>
      <c r="M296" s="82"/>
      <c r="N296" s="82"/>
      <c r="O296" s="82"/>
      <c r="P296" s="82"/>
      <c r="Q296" s="82"/>
      <c r="R296" s="82"/>
      <c r="S296" s="82"/>
    </row>
    <row r="297" spans="1:19" ht="13.5" customHeight="1">
      <c r="A297" s="82"/>
      <c r="B297" s="82"/>
      <c r="C297" s="123"/>
      <c r="D297" s="82"/>
      <c r="E297" s="82"/>
      <c r="F297" s="82"/>
      <c r="G297" s="82"/>
      <c r="H297" s="82"/>
      <c r="I297" s="82"/>
      <c r="J297" s="82"/>
      <c r="K297" s="82"/>
      <c r="L297" s="82"/>
      <c r="M297" s="82"/>
      <c r="N297" s="82"/>
      <c r="O297" s="82"/>
      <c r="P297" s="82"/>
      <c r="Q297" s="82"/>
      <c r="R297" s="82"/>
      <c r="S297" s="82"/>
    </row>
    <row r="298" spans="1:19" ht="13.5" customHeight="1">
      <c r="A298" s="82"/>
      <c r="B298" s="82"/>
      <c r="C298" s="82"/>
      <c r="D298" s="82"/>
      <c r="E298" s="82"/>
      <c r="F298" s="124"/>
      <c r="G298" s="124"/>
      <c r="H298" s="82"/>
      <c r="I298" s="82"/>
      <c r="J298" s="82"/>
      <c r="K298" s="82"/>
      <c r="L298" s="82"/>
      <c r="M298" s="82"/>
      <c r="N298" s="82"/>
      <c r="O298" s="82"/>
      <c r="P298" s="82"/>
      <c r="Q298" s="82"/>
      <c r="R298" s="82"/>
      <c r="S298" s="82"/>
    </row>
    <row r="299" spans="1:19" ht="13.5" customHeight="1">
      <c r="A299" s="82"/>
      <c r="B299" s="82"/>
      <c r="C299" s="82"/>
      <c r="D299" s="82"/>
      <c r="E299" s="82"/>
      <c r="F299" s="124"/>
      <c r="G299" s="124"/>
      <c r="H299" s="82"/>
      <c r="I299" s="82"/>
      <c r="J299" s="82"/>
      <c r="K299" s="82"/>
      <c r="L299" s="82"/>
      <c r="M299" s="82"/>
      <c r="N299" s="82"/>
      <c r="O299" s="82"/>
      <c r="P299" s="82"/>
      <c r="Q299" s="82"/>
      <c r="R299" s="82"/>
      <c r="S299" s="82"/>
    </row>
    <row r="300" spans="1:19" ht="13.5" customHeight="1">
      <c r="A300" s="82"/>
      <c r="B300" s="82"/>
      <c r="C300" s="82"/>
      <c r="D300" s="82"/>
      <c r="E300" s="82"/>
      <c r="F300" s="124"/>
      <c r="G300" s="124"/>
      <c r="H300" s="82"/>
      <c r="I300" s="82"/>
      <c r="J300" s="82"/>
      <c r="K300" s="82"/>
      <c r="L300" s="82"/>
      <c r="M300" s="82"/>
      <c r="N300" s="82"/>
      <c r="O300" s="82"/>
      <c r="P300" s="82"/>
      <c r="Q300" s="82"/>
      <c r="R300" s="82"/>
      <c r="S300" s="82"/>
    </row>
    <row r="301" spans="1:19" ht="13.5" customHeight="1">
      <c r="A301" s="82"/>
      <c r="B301" s="82"/>
      <c r="C301" s="82"/>
      <c r="D301" s="82"/>
      <c r="E301" s="82"/>
      <c r="F301" s="124"/>
      <c r="G301" s="124"/>
      <c r="H301" s="82"/>
      <c r="I301" s="82"/>
      <c r="J301" s="82"/>
      <c r="K301" s="82"/>
      <c r="L301" s="82"/>
      <c r="M301" s="82"/>
      <c r="N301" s="82"/>
      <c r="O301" s="82"/>
      <c r="P301" s="82"/>
      <c r="Q301" s="82"/>
      <c r="R301" s="82"/>
      <c r="S301" s="82"/>
    </row>
    <row r="302" spans="1:19" ht="13.5" customHeight="1">
      <c r="A302" s="82"/>
      <c r="B302" s="82"/>
      <c r="C302" s="82"/>
      <c r="D302" s="82"/>
      <c r="E302" s="82"/>
      <c r="F302" s="82"/>
      <c r="G302" s="82"/>
      <c r="H302" s="82"/>
      <c r="I302" s="82"/>
      <c r="J302" s="82"/>
      <c r="K302" s="82"/>
      <c r="L302" s="82"/>
      <c r="M302" s="82"/>
      <c r="N302" s="82"/>
      <c r="O302" s="82"/>
      <c r="P302" s="82"/>
      <c r="Q302" s="82"/>
      <c r="R302" s="82"/>
      <c r="S302" s="82"/>
    </row>
    <row r="303" spans="1:19" ht="13.5" customHeight="1">
      <c r="A303" s="82"/>
      <c r="B303" s="82"/>
      <c r="C303" s="123"/>
      <c r="D303" s="82"/>
      <c r="E303" s="82"/>
      <c r="F303" s="82"/>
      <c r="G303" s="82"/>
      <c r="H303" s="82"/>
      <c r="I303" s="82"/>
      <c r="J303" s="82"/>
      <c r="K303" s="82"/>
      <c r="L303" s="82"/>
      <c r="M303" s="82"/>
      <c r="N303" s="82"/>
      <c r="O303" s="82"/>
      <c r="P303" s="82"/>
      <c r="Q303" s="82"/>
      <c r="R303" s="82"/>
      <c r="S303" s="82"/>
    </row>
    <row r="304" spans="1:19" ht="13.5" customHeight="1">
      <c r="A304" s="82"/>
      <c r="B304" s="82"/>
      <c r="C304" s="82"/>
      <c r="D304" s="82"/>
      <c r="E304" s="82"/>
      <c r="F304" s="124"/>
      <c r="G304" s="124"/>
      <c r="H304" s="82"/>
      <c r="I304" s="82"/>
      <c r="J304" s="82"/>
      <c r="K304" s="82"/>
      <c r="L304" s="82"/>
      <c r="M304" s="82"/>
      <c r="N304" s="82"/>
      <c r="O304" s="82"/>
      <c r="P304" s="82"/>
      <c r="Q304" s="82"/>
      <c r="R304" s="82"/>
      <c r="S304" s="82"/>
    </row>
    <row r="305" spans="1:19" ht="13.5" customHeight="1">
      <c r="A305" s="82"/>
      <c r="B305" s="82"/>
      <c r="C305" s="82"/>
      <c r="D305" s="82"/>
      <c r="E305" s="82"/>
      <c r="F305" s="124"/>
      <c r="G305" s="124"/>
      <c r="H305" s="82"/>
      <c r="I305" s="82"/>
      <c r="J305" s="82"/>
      <c r="K305" s="82"/>
      <c r="L305" s="82"/>
      <c r="M305" s="82"/>
      <c r="N305" s="82"/>
      <c r="O305" s="82"/>
      <c r="P305" s="82"/>
      <c r="Q305" s="82"/>
      <c r="R305" s="82"/>
      <c r="S305" s="82"/>
    </row>
    <row r="306" spans="1:19" ht="13.5" customHeight="1">
      <c r="A306" s="82"/>
      <c r="B306" s="82"/>
      <c r="C306" s="82"/>
      <c r="D306" s="82"/>
      <c r="E306" s="82"/>
      <c r="F306" s="124"/>
      <c r="G306" s="124"/>
      <c r="H306" s="82"/>
      <c r="I306" s="82"/>
      <c r="J306" s="82"/>
      <c r="K306" s="82"/>
      <c r="L306" s="82"/>
      <c r="M306" s="82"/>
      <c r="N306" s="82"/>
      <c r="O306" s="82"/>
      <c r="P306" s="82"/>
      <c r="Q306" s="82"/>
      <c r="R306" s="82"/>
      <c r="S306" s="82"/>
    </row>
    <row r="307" spans="1:19" ht="13.5" customHeight="1">
      <c r="A307" s="82"/>
      <c r="B307" s="82"/>
      <c r="C307" s="82"/>
      <c r="D307" s="82"/>
      <c r="E307" s="82"/>
      <c r="F307" s="124"/>
      <c r="G307" s="124"/>
      <c r="H307" s="82"/>
      <c r="I307" s="82"/>
      <c r="J307" s="82"/>
      <c r="K307" s="82"/>
      <c r="L307" s="82"/>
      <c r="M307" s="82"/>
      <c r="N307" s="82"/>
      <c r="O307" s="82"/>
      <c r="P307" s="82"/>
      <c r="Q307" s="82"/>
      <c r="R307" s="82"/>
      <c r="S307" s="82"/>
    </row>
    <row r="308" spans="1:19" ht="5.0999999999999996" customHeight="1">
      <c r="A308" s="82"/>
      <c r="B308" s="82"/>
      <c r="C308" s="82"/>
      <c r="D308" s="82"/>
      <c r="E308" s="82"/>
      <c r="F308" s="82"/>
      <c r="G308" s="82"/>
      <c r="H308" s="82"/>
      <c r="I308" s="82"/>
      <c r="J308" s="82"/>
      <c r="K308" s="82"/>
      <c r="L308" s="82"/>
      <c r="M308" s="82"/>
      <c r="N308" s="82"/>
      <c r="O308" s="82"/>
      <c r="P308" s="82"/>
      <c r="Q308" s="82"/>
      <c r="R308" s="82"/>
      <c r="S308" s="82"/>
    </row>
    <row r="309" spans="1:19" ht="13.5" customHeight="1">
      <c r="A309" s="82"/>
      <c r="B309" s="82"/>
      <c r="C309" s="82"/>
      <c r="D309" s="82"/>
      <c r="E309" s="82"/>
      <c r="F309" s="124"/>
      <c r="G309" s="124"/>
      <c r="H309" s="82"/>
      <c r="I309" s="82"/>
      <c r="J309" s="82"/>
      <c r="K309" s="82"/>
      <c r="L309" s="82"/>
      <c r="M309" s="82"/>
      <c r="N309" s="82"/>
      <c r="O309" s="82"/>
      <c r="P309" s="82"/>
      <c r="Q309" s="82"/>
      <c r="R309" s="82"/>
      <c r="S309" s="82"/>
    </row>
    <row r="310" spans="1:19" ht="13.5" customHeight="1">
      <c r="A310" s="82"/>
      <c r="B310" s="82"/>
      <c r="C310" s="82"/>
      <c r="D310" s="82"/>
      <c r="E310" s="82"/>
      <c r="F310" s="124"/>
      <c r="G310" s="124"/>
      <c r="H310" s="82"/>
      <c r="I310" s="82"/>
      <c r="J310" s="82"/>
      <c r="K310" s="82"/>
      <c r="L310" s="82"/>
      <c r="M310" s="82"/>
      <c r="N310" s="82"/>
      <c r="O310" s="82"/>
      <c r="P310" s="82"/>
      <c r="Q310" s="82"/>
      <c r="R310" s="82"/>
      <c r="S310" s="82"/>
    </row>
    <row r="311" spans="1:19" ht="13.5" customHeight="1">
      <c r="A311" s="82"/>
      <c r="B311" s="82"/>
      <c r="C311" s="82"/>
      <c r="D311" s="82"/>
      <c r="E311" s="82"/>
      <c r="F311" s="82"/>
      <c r="G311" s="82"/>
      <c r="H311" s="82"/>
      <c r="I311" s="82"/>
      <c r="J311" s="82"/>
      <c r="K311" s="82"/>
      <c r="L311" s="82"/>
      <c r="M311" s="82"/>
      <c r="N311" s="82"/>
      <c r="O311" s="82"/>
      <c r="P311" s="82"/>
      <c r="Q311" s="82"/>
      <c r="R311" s="82"/>
      <c r="S311" s="82"/>
    </row>
    <row r="312" spans="1:19" ht="13.5" customHeight="1">
      <c r="F312" s="124"/>
      <c r="G312" s="124"/>
    </row>
  </sheetData>
  <dataValidations count="1">
    <dataValidation type="whole" showInputMessage="1" showErrorMessage="1" errorTitle="Validation Error" error="Enter either 0 or 1." sqref="F267:F270" xr:uid="{F9ACBBF3-3EDF-4970-A248-C10023E88B1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ED6D-D15C-43BC-AB79-230E1F752395}">
  <sheetPr>
    <tabColor rgb="FF416D89"/>
    <outlinePr summaryBelow="0"/>
    <pageSetUpPr fitToPage="1"/>
  </sheetPr>
  <dimension ref="A1:S312"/>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280</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1: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1: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1: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1: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1: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1:13" ht="13.5" customHeight="1" outlineLevel="1">
      <c r="A23" s="125"/>
      <c r="C23" s="72" t="s">
        <v>281</v>
      </c>
      <c r="D23" s="39"/>
      <c r="E23" s="39"/>
      <c r="F23" s="45"/>
      <c r="G23" s="73"/>
      <c r="H23" s="73"/>
      <c r="I23" s="73"/>
      <c r="J23" s="73"/>
      <c r="K23" s="73"/>
      <c r="L23" s="73"/>
      <c r="M23" s="60"/>
    </row>
    <row r="24" spans="1:13" ht="13.5" customHeight="1" outlineLevel="1">
      <c r="A24" s="125"/>
      <c r="C24" s="74" t="s">
        <v>74</v>
      </c>
      <c r="D24" s="39"/>
      <c r="E24" s="39"/>
      <c r="F24" s="45"/>
      <c r="G24" s="75"/>
      <c r="H24" s="129">
        <f ca="1">H287</f>
        <v>0.10952645435403541</v>
      </c>
      <c r="I24" s="129">
        <f t="shared" ref="I24:L24" ca="1" si="9">I287</f>
        <v>5.8212314354035413E-2</v>
      </c>
      <c r="J24" s="129">
        <f t="shared" ca="1" si="9"/>
        <v>0</v>
      </c>
      <c r="K24" s="129">
        <f t="shared" ca="1" si="9"/>
        <v>0</v>
      </c>
      <c r="L24" s="129">
        <f t="shared" ca="1" si="9"/>
        <v>0</v>
      </c>
      <c r="M24" s="50" t="s">
        <v>282</v>
      </c>
    </row>
    <row r="25" spans="1:13" ht="13.5" customHeight="1" outlineLevel="1">
      <c r="A25" s="204"/>
      <c r="C25" s="74" t="s">
        <v>75</v>
      </c>
      <c r="D25" s="39"/>
      <c r="E25" s="39"/>
      <c r="F25" s="45"/>
      <c r="G25" s="75"/>
      <c r="H25" s="129">
        <f ca="1">H285</f>
        <v>7.1343447590826919E-2</v>
      </c>
      <c r="I25" s="129">
        <f t="shared" ref="I25:L25" ca="1" si="10">I285</f>
        <v>7.4999999999999997E-2</v>
      </c>
      <c r="J25" s="129">
        <f t="shared" ca="1" si="10"/>
        <v>7.4999999999999997E-2</v>
      </c>
      <c r="K25" s="129">
        <f t="shared" ca="1" si="10"/>
        <v>7.4999999999999997E-2</v>
      </c>
      <c r="L25" s="129">
        <f t="shared" ca="1" si="10"/>
        <v>7.4999999999999997E-2</v>
      </c>
      <c r="M25" s="50" t="s">
        <v>283</v>
      </c>
    </row>
    <row r="26" spans="1:13" ht="13.5" customHeight="1" outlineLevel="1">
      <c r="A26" s="204"/>
      <c r="C26" s="74" t="str">
        <f>+C79</f>
        <v>Term Loan A</v>
      </c>
      <c r="D26" s="39"/>
      <c r="E26" s="39"/>
      <c r="F26" s="45"/>
      <c r="G26" s="75"/>
      <c r="H26" s="129">
        <f ca="1">H288</f>
        <v>0.91379047914</v>
      </c>
      <c r="I26" s="129">
        <f ca="1">I288</f>
        <v>0.49087633335953551</v>
      </c>
      <c r="J26" s="129">
        <f ca="1">J288</f>
        <v>8.4747231519535518E-2</v>
      </c>
      <c r="K26" s="129">
        <f ca="1">K288</f>
        <v>0</v>
      </c>
      <c r="L26" s="129">
        <f ca="1">L288</f>
        <v>0</v>
      </c>
      <c r="M26" s="50" t="s">
        <v>283</v>
      </c>
    </row>
    <row r="27" spans="1:13" ht="13.5" customHeight="1" outlineLevel="1">
      <c r="A27" s="204"/>
      <c r="C27" s="74" t="str">
        <f t="shared" ref="C27:C28" si="11">+C80</f>
        <v>Subordinated - Note 1</v>
      </c>
      <c r="D27" s="39"/>
      <c r="E27" s="39"/>
      <c r="F27" s="45"/>
      <c r="G27" s="75"/>
      <c r="H27" s="129">
        <f ca="1">H289</f>
        <v>9.2165039999999986E-3</v>
      </c>
      <c r="I27" s="129">
        <f ca="1">I289</f>
        <v>7.1683919999999991E-3</v>
      </c>
      <c r="J27" s="129">
        <f ca="1">J289</f>
        <v>3.0721679999999993E-3</v>
      </c>
      <c r="K27" s="129">
        <f ca="1">K289</f>
        <v>0</v>
      </c>
      <c r="L27" s="129">
        <f ca="1">L289</f>
        <v>0</v>
      </c>
      <c r="M27" s="50" t="s">
        <v>283</v>
      </c>
    </row>
    <row r="28" spans="1:13" ht="13.5" customHeight="1" outlineLevel="1">
      <c r="A28" s="204"/>
      <c r="C28" s="74" t="str">
        <f t="shared" si="11"/>
        <v>Subordinated - Note 2</v>
      </c>
      <c r="D28" s="39"/>
      <c r="E28" s="39"/>
      <c r="F28" s="45"/>
      <c r="G28" s="75"/>
      <c r="H28" s="129">
        <f ca="1">H290</f>
        <v>1.7907971249999997E-3</v>
      </c>
      <c r="I28" s="129">
        <f ca="1">I290</f>
        <v>1.6989613749999999E-3</v>
      </c>
      <c r="J28" s="129">
        <f ca="1">J290</f>
        <v>1.1479468749999999E-3</v>
      </c>
      <c r="K28" s="129">
        <f ca="1">K290</f>
        <v>3.2142512500000006E-4</v>
      </c>
      <c r="L28" s="129">
        <f ca="1">L290</f>
        <v>0</v>
      </c>
      <c r="M28" s="50" t="s">
        <v>283</v>
      </c>
    </row>
    <row r="29" spans="1:13" ht="13.5" customHeight="1" outlineLevel="1">
      <c r="A29" s="204"/>
      <c r="C29" s="76" t="s">
        <v>73</v>
      </c>
      <c r="D29" s="77"/>
      <c r="E29" s="77"/>
      <c r="F29" s="131">
        <f>'Financials from CIP'!D27/1000</f>
        <v>2.224955</v>
      </c>
      <c r="G29" s="131">
        <f>'Financials from CIP'!E27/1000</f>
        <v>1.4727629999999998</v>
      </c>
      <c r="H29" s="93">
        <f ca="1">SUM(H24:H28)</f>
        <v>1.1056676822098623</v>
      </c>
      <c r="I29" s="93">
        <f t="shared" ref="I29:L29" ca="1" si="12">SUM(I24:I28)</f>
        <v>0.63295600108857097</v>
      </c>
      <c r="J29" s="93">
        <f t="shared" ca="1" si="12"/>
        <v>0.1639673463945355</v>
      </c>
      <c r="K29" s="93">
        <f t="shared" ca="1" si="12"/>
        <v>7.5321425124999994E-2</v>
      </c>
      <c r="L29" s="93">
        <f t="shared" ca="1" si="12"/>
        <v>7.4999999999999997E-2</v>
      </c>
      <c r="M29" s="60"/>
    </row>
    <row r="30" spans="1: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1:13" ht="13.5" customHeight="1" outlineLevel="1">
      <c r="C31" s="65" t="s">
        <v>77</v>
      </c>
      <c r="D31" s="65"/>
      <c r="E31" s="65"/>
      <c r="F31" s="66">
        <f>F22-F29-F30</f>
        <v>9.0628199000000009</v>
      </c>
      <c r="G31" s="66">
        <f>G22-G29-G30</f>
        <v>10.412724780499998</v>
      </c>
      <c r="H31" s="66">
        <f t="shared" ref="H31:L31" ca="1" si="13">H22-H29-H30</f>
        <v>9.175058401059097</v>
      </c>
      <c r="I31" s="66">
        <f t="shared" ca="1" si="13"/>
        <v>11.853902911979826</v>
      </c>
      <c r="J31" s="66">
        <f t="shared" ca="1" si="13"/>
        <v>14.310716780981684</v>
      </c>
      <c r="K31" s="66">
        <f t="shared" ca="1" si="13"/>
        <v>16.007105424972291</v>
      </c>
      <c r="L31" s="66">
        <f t="shared" ca="1" si="13"/>
        <v>17.081597338869614</v>
      </c>
      <c r="M31" s="50"/>
    </row>
    <row r="32" spans="1:13" ht="13.5" customHeight="1" outlineLevel="1">
      <c r="C32" s="63" t="s">
        <v>78</v>
      </c>
      <c r="D32" s="63"/>
      <c r="E32" s="63"/>
      <c r="F32" s="128">
        <f>'Financials from CIP'!D29/1000</f>
        <v>3.2010390000000002</v>
      </c>
      <c r="G32" s="128">
        <f>'Financials from CIP'!E29/1000</f>
        <v>2.809107</v>
      </c>
      <c r="H32" s="149">
        <f ca="1">H46*H31</f>
        <v>2.857948069136123</v>
      </c>
      <c r="I32" s="149">
        <f t="shared" ref="I32:L32" ca="1" si="14">I46*I31</f>
        <v>3.6923840108864288</v>
      </c>
      <c r="J32" s="149">
        <f t="shared" ca="1" si="14"/>
        <v>4.4576594070986433</v>
      </c>
      <c r="K32" s="149">
        <f t="shared" ca="1" si="14"/>
        <v>4.9860691934644459</v>
      </c>
      <c r="L32" s="149">
        <f t="shared" ca="1" si="14"/>
        <v>5.3207637486806565</v>
      </c>
      <c r="M32" s="50"/>
    </row>
    <row r="33" spans="1:13" ht="13.5" customHeight="1" outlineLevel="1">
      <c r="C33" s="79" t="s">
        <v>22</v>
      </c>
      <c r="D33" s="79"/>
      <c r="E33" s="79"/>
      <c r="F33" s="71">
        <f>F31-F32</f>
        <v>5.8617809000000012</v>
      </c>
      <c r="G33" s="71">
        <f>G31-G32</f>
        <v>7.6036177804999978</v>
      </c>
      <c r="H33" s="71">
        <f t="shared" ref="H33:L33" ca="1" si="15">H31-H32</f>
        <v>6.317110331922974</v>
      </c>
      <c r="I33" s="71">
        <f t="shared" ca="1" si="15"/>
        <v>8.1615189010933982</v>
      </c>
      <c r="J33" s="71">
        <f t="shared" ca="1" si="15"/>
        <v>9.8530573738830398</v>
      </c>
      <c r="K33" s="71">
        <f t="shared" ca="1" si="15"/>
        <v>11.021036231507846</v>
      </c>
      <c r="L33" s="71">
        <f t="shared" ca="1" si="15"/>
        <v>11.760833590188957</v>
      </c>
      <c r="M33" s="60"/>
    </row>
    <row r="34" spans="1:13" ht="13.5" customHeight="1" outlineLevel="1">
      <c r="C34" s="67" t="s">
        <v>79</v>
      </c>
      <c r="D34" s="39"/>
      <c r="E34" s="39"/>
      <c r="F34" s="69">
        <f>IFERROR(F33/F$13,"N/M")</f>
        <v>7.4609946715153336E-2</v>
      </c>
      <c r="G34" s="69">
        <f>IFERROR(G33/G$13,"N/M")</f>
        <v>8.3912167095621659E-2</v>
      </c>
      <c r="H34" s="69">
        <f t="shared" ref="H34:L34" ca="1" si="16">IFERROR(H33/H$13,"N/M")</f>
        <v>6.044503495796217E-2</v>
      </c>
      <c r="I34" s="69">
        <f t="shared" ca="1" si="16"/>
        <v>6.7709666225559906E-2</v>
      </c>
      <c r="J34" s="69">
        <f t="shared" ca="1" si="16"/>
        <v>7.2766954511727003E-2</v>
      </c>
      <c r="K34" s="69">
        <f t="shared" ca="1" si="16"/>
        <v>7.4443188153408058E-2</v>
      </c>
      <c r="L34" s="69">
        <f t="shared" ca="1" si="16"/>
        <v>7.4707279053902551E-2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5"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7">H43</f>
        <v>0.66815339473318969</v>
      </c>
      <c r="J43" s="139">
        <f t="shared" si="17"/>
        <v>0.66815339473318969</v>
      </c>
      <c r="K43" s="139">
        <f t="shared" si="17"/>
        <v>0.66815339473318969</v>
      </c>
      <c r="L43" s="139">
        <f t="shared" si="17"/>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7"/>
        <v>0.17542070012282657</v>
      </c>
      <c r="J44" s="139">
        <f t="shared" si="17"/>
        <v>0.17542070012282657</v>
      </c>
      <c r="K44" s="139">
        <f t="shared" si="17"/>
        <v>0.17542070012282657</v>
      </c>
      <c r="L44" s="139">
        <f t="shared" si="17"/>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8">G$11</f>
        <v>45657</v>
      </c>
      <c r="H56" s="58">
        <f t="shared" si="18"/>
        <v>46022</v>
      </c>
      <c r="I56" s="58">
        <f t="shared" si="18"/>
        <v>46387</v>
      </c>
      <c r="J56" s="58">
        <f t="shared" si="18"/>
        <v>46752</v>
      </c>
      <c r="K56" s="58">
        <f t="shared" si="18"/>
        <v>47118</v>
      </c>
      <c r="L56" s="58">
        <f t="shared" si="18"/>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18.851278609955365</v>
      </c>
      <c r="K60" s="214">
        <f ca="1">J60+K119</f>
        <v>31.32136203783805</v>
      </c>
      <c r="L60" s="214">
        <f ca="1">K60+L119</f>
        <v>45.191599550613738</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9">I130</f>
        <v>27.695031965240773</v>
      </c>
      <c r="J61" s="149">
        <f t="shared" si="19"/>
        <v>31.111314829301037</v>
      </c>
      <c r="K61" s="149">
        <f t="shared" si="19"/>
        <v>34.015669157916122</v>
      </c>
      <c r="L61" s="149">
        <f t="shared" si="19"/>
        <v>36.170685445667161</v>
      </c>
      <c r="M61" s="50"/>
    </row>
    <row r="62" spans="1:13" ht="13.5" customHeight="1" outlineLevel="1">
      <c r="A62" s="82"/>
      <c r="C62" s="91" t="s">
        <v>31</v>
      </c>
      <c r="F62" s="96">
        <f>'Financials from CIP'!D49/1000</f>
        <v>0.80490099999999998</v>
      </c>
      <c r="G62" s="96">
        <f>'Financials from CIP'!E49/1000</f>
        <v>1.161057</v>
      </c>
      <c r="H62" s="149">
        <f t="shared" ref="H62:L63" si="20">H131</f>
        <v>1.2029011201180084</v>
      </c>
      <c r="I62" s="149">
        <f t="shared" si="20"/>
        <v>1.3873703794209342</v>
      </c>
      <c r="J62" s="149">
        <f t="shared" si="20"/>
        <v>1.558507558799139</v>
      </c>
      <c r="K62" s="149">
        <f t="shared" si="20"/>
        <v>1.7039999045715051</v>
      </c>
      <c r="L62" s="149">
        <f t="shared" si="20"/>
        <v>1.8119544925477122</v>
      </c>
      <c r="M62" s="50"/>
    </row>
    <row r="63" spans="1:13" ht="13.5" customHeight="1" outlineLevel="1">
      <c r="A63" s="82"/>
      <c r="C63" s="91" t="s">
        <v>84</v>
      </c>
      <c r="F63" s="96">
        <f>'Financials from CIP'!D50/1000</f>
        <v>0.26978399999999997</v>
      </c>
      <c r="G63" s="96">
        <f>'Financials from CIP'!E50/1000</f>
        <v>0.34491899999999998</v>
      </c>
      <c r="H63" s="149">
        <f t="shared" si="20"/>
        <v>0.3792215684283346</v>
      </c>
      <c r="I63" s="149">
        <f t="shared" si="20"/>
        <v>0.43737657441320382</v>
      </c>
      <c r="J63" s="149">
        <f t="shared" si="20"/>
        <v>0.49132856472628733</v>
      </c>
      <c r="K63" s="149">
        <f t="shared" si="20"/>
        <v>0.53719587221761422</v>
      </c>
      <c r="L63" s="149">
        <f t="shared" si="20"/>
        <v>0.57122918342390505</v>
      </c>
      <c r="M63" s="50"/>
    </row>
    <row r="64" spans="1:13" ht="13.5" customHeight="1" outlineLevel="1">
      <c r="A64" s="82"/>
      <c r="C64" s="76" t="s">
        <v>33</v>
      </c>
      <c r="D64" s="77"/>
      <c r="E64" s="77"/>
      <c r="F64" s="93">
        <f>SUM(F60:F63)</f>
        <v>24.961756000000005</v>
      </c>
      <c r="G64" s="93">
        <f>SUM(G60:G63)</f>
        <v>26.74869</v>
      </c>
      <c r="H64" s="93">
        <f t="shared" ref="H64:L64" ca="1" si="21">SUM(H60:H63)</f>
        <v>35.594733500229559</v>
      </c>
      <c r="I64" s="93">
        <f t="shared" ca="1" si="21"/>
        <v>39.519778919074916</v>
      </c>
      <c r="J64" s="93">
        <f t="shared" ca="1" si="21"/>
        <v>52.012429562781833</v>
      </c>
      <c r="K64" s="93">
        <f t="shared" ca="1" si="21"/>
        <v>67.578226972543291</v>
      </c>
      <c r="L64" s="93">
        <f t="shared" ca="1" si="21"/>
        <v>83.745468672252514</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2">SUM(H64,H67:H69)</f>
        <v>92.32568454586314</v>
      </c>
      <c r="I70" s="102">
        <f t="shared" ca="1" si="22"/>
        <v>92.891514460631626</v>
      </c>
      <c r="J70" s="102">
        <f t="shared" ca="1" si="22"/>
        <v>102.05810393490198</v>
      </c>
      <c r="K70" s="102">
        <f t="shared" ca="1" si="22"/>
        <v>114.24381861896987</v>
      </c>
      <c r="L70" s="102">
        <f t="shared" ca="1" si="22"/>
        <v>126.87212735411536</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3">I135</f>
        <v>3.7340173042871405</v>
      </c>
      <c r="J74" s="149">
        <f t="shared" si="23"/>
        <v>4.1946219118843056</v>
      </c>
      <c r="K74" s="149">
        <f t="shared" si="23"/>
        <v>4.5862051147649199</v>
      </c>
      <c r="L74" s="149">
        <f t="shared" si="23"/>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4">H136</f>
        <v>3.1966854452582232</v>
      </c>
      <c r="I75" s="149">
        <f t="shared" si="24"/>
        <v>3.6869087782063024</v>
      </c>
      <c r="J75" s="149">
        <f t="shared" si="24"/>
        <v>4.1417023778724023</v>
      </c>
      <c r="K75" s="149">
        <f t="shared" si="24"/>
        <v>4.5283453498910609</v>
      </c>
      <c r="L75" s="149">
        <f t="shared" si="24"/>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4"/>
        <v>3.2317636858846019</v>
      </c>
      <c r="I76" s="149">
        <f t="shared" si="24"/>
        <v>3.727366394541769</v>
      </c>
      <c r="J76" s="149">
        <f t="shared" si="24"/>
        <v>4.1871505882458564</v>
      </c>
      <c r="K76" s="149">
        <f t="shared" si="24"/>
        <v>4.5780363159066395</v>
      </c>
      <c r="L76" s="149">
        <f t="shared" si="24"/>
        <v>4.8680715576328382</v>
      </c>
      <c r="M76" s="50"/>
    </row>
    <row r="77" spans="1:13" ht="13.5" customHeight="1" outlineLevel="1">
      <c r="A77" s="82"/>
      <c r="C77" s="76" t="s">
        <v>40</v>
      </c>
      <c r="D77" s="77"/>
      <c r="E77" s="77"/>
      <c r="F77" s="93">
        <f>SUM(F74:F76)</f>
        <v>7.2476579999999995</v>
      </c>
      <c r="G77" s="93">
        <f>SUM(G74:G76)</f>
        <v>8.3507789999999993</v>
      </c>
      <c r="H77" s="93">
        <f t="shared" ref="H77:L77" si="25">SUM(H74:H76)</f>
        <v>9.6659794002709365</v>
      </c>
      <c r="I77" s="93">
        <f t="shared" si="25"/>
        <v>11.148292477035213</v>
      </c>
      <c r="J77" s="93">
        <f t="shared" si="25"/>
        <v>12.523474878002563</v>
      </c>
      <c r="K77" s="93">
        <f t="shared" si="25"/>
        <v>13.692586780562621</v>
      </c>
      <c r="L77" s="93">
        <f t="shared" si="25"/>
        <v>14.560061925519163</v>
      </c>
    </row>
    <row r="78" spans="1:13" ht="13.5" customHeight="1" outlineLevel="1">
      <c r="C78" s="91" t="s">
        <v>41</v>
      </c>
      <c r="D78" s="95"/>
      <c r="E78" s="95"/>
      <c r="F78" s="96">
        <f>'Financials from CIP'!D63/1000</f>
        <v>0.64588299999999998</v>
      </c>
      <c r="G78" s="96">
        <f>'Financials from CIP'!E63/1000</f>
        <v>1.2892999999999999</v>
      </c>
      <c r="H78" s="149">
        <f ca="1">H232</f>
        <v>1.4626209636692313</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2.0034806505800358</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6">SUM(H78:H81)</f>
        <v>11.144085813669228</v>
      </c>
      <c r="I82" s="93">
        <f t="shared" ca="1" si="26"/>
        <v>2.0660837505800358</v>
      </c>
      <c r="J82" s="93">
        <f t="shared" ca="1" si="26"/>
        <v>4.4334500000000011E-3</v>
      </c>
      <c r="K82" s="93">
        <f t="shared" ca="1" si="26"/>
        <v>0</v>
      </c>
      <c r="L82" s="93">
        <f t="shared" ca="1" si="26"/>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7">SUM(H77,H82:H83)</f>
        <v>21.239953213940161</v>
      </c>
      <c r="I84" s="93">
        <f t="shared" ca="1" si="27"/>
        <v>13.644264227615249</v>
      </c>
      <c r="J84" s="93">
        <f t="shared" ca="1" si="27"/>
        <v>12.957796328002564</v>
      </c>
      <c r="K84" s="93">
        <f t="shared" ca="1" si="27"/>
        <v>14.122474780562621</v>
      </c>
      <c r="L84" s="93">
        <f t="shared" ca="1" si="27"/>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 ca="1">G86+H33</f>
        <v>62.169615112422981</v>
      </c>
      <c r="I86" s="149">
        <f ca="1">H86+I33</f>
        <v>70.331134013516376</v>
      </c>
      <c r="J86" s="149">
        <f ca="1">I86+J33</f>
        <v>80.184191387399409</v>
      </c>
      <c r="K86" s="149">
        <f ca="1">J86+K33</f>
        <v>91.205227618907259</v>
      </c>
      <c r="L86" s="149">
        <f ca="1">K86+L33</f>
        <v>102.96606120909621</v>
      </c>
      <c r="M86" s="50"/>
    </row>
    <row r="87" spans="1:13" ht="13.5" customHeight="1" outlineLevel="1">
      <c r="A87" s="82"/>
      <c r="C87" s="100" t="s">
        <v>95</v>
      </c>
      <c r="D87" s="101"/>
      <c r="E87" s="101"/>
      <c r="F87" s="105">
        <f>SUM(F84:F86)</f>
        <v>83.924938827900732</v>
      </c>
      <c r="G87" s="105">
        <f>SUM(G84:G86)</f>
        <v>86.938043495808188</v>
      </c>
      <c r="H87" s="105">
        <f t="shared" ref="H87:L87" ca="1" si="28">SUM(H84:H86)</f>
        <v>92.325684041671323</v>
      </c>
      <c r="I87" s="105">
        <f t="shared" ca="1" si="28"/>
        <v>92.891513956439809</v>
      </c>
      <c r="J87" s="105">
        <f t="shared" ca="1" si="28"/>
        <v>102.05810343071016</v>
      </c>
      <c r="K87" s="105">
        <f t="shared" ca="1" si="28"/>
        <v>114.24381811477807</v>
      </c>
      <c r="L87" s="105">
        <f t="shared" ca="1" si="28"/>
        <v>126.87212684992356</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9">F87-F70</f>
        <v>8.2790072042371321E-7</v>
      </c>
      <c r="G89" s="178">
        <f t="shared" si="29"/>
        <v>-5.0419180297467392E-7</v>
      </c>
      <c r="H89" s="178">
        <f t="shared" ca="1" si="29"/>
        <v>-5.0419181718552863E-7</v>
      </c>
      <c r="I89" s="178">
        <f t="shared" ca="1" si="29"/>
        <v>-5.0419181718552863E-7</v>
      </c>
      <c r="J89" s="178">
        <f t="shared" ca="1" si="29"/>
        <v>-5.0419181718552863E-7</v>
      </c>
      <c r="K89" s="178">
        <f t="shared" ca="1" si="29"/>
        <v>-5.0419180297467392E-7</v>
      </c>
      <c r="L89" s="178">
        <f t="shared" ca="1" si="29"/>
        <v>-5.0419180297467392E-7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30">H$11</f>
        <v>46022</v>
      </c>
      <c r="I96" s="58">
        <f t="shared" si="30"/>
        <v>46387</v>
      </c>
      <c r="J96" s="58">
        <f t="shared" si="30"/>
        <v>46752</v>
      </c>
      <c r="K96" s="58">
        <f t="shared" si="30"/>
        <v>47118</v>
      </c>
      <c r="L96" s="58">
        <f t="shared" si="30"/>
        <v>47483</v>
      </c>
    </row>
    <row r="97" spans="3:13" ht="5.0999999999999996" customHeight="1" outlineLevel="1">
      <c r="C97" s="59"/>
      <c r="D97" s="59"/>
      <c r="E97" s="59"/>
      <c r="F97" s="60"/>
      <c r="G97" s="60"/>
      <c r="H97" s="60"/>
      <c r="I97" s="60"/>
      <c r="J97" s="60"/>
      <c r="K97" s="60"/>
    </row>
    <row r="98" spans="3:13" ht="13.5" customHeight="1" outlineLevel="1">
      <c r="C98" s="84" t="s">
        <v>179</v>
      </c>
      <c r="D98" s="85"/>
      <c r="E98" s="86"/>
      <c r="F98" s="86"/>
      <c r="G98" s="86"/>
      <c r="H98" s="86"/>
      <c r="I98" s="86"/>
      <c r="J98" s="86"/>
      <c r="K98" s="86"/>
      <c r="L98" s="87"/>
      <c r="M98" s="50"/>
    </row>
    <row r="99" spans="3:13" ht="13.5" customHeight="1" outlineLevel="1">
      <c r="C99" s="118"/>
      <c r="D99" s="118"/>
      <c r="E99" s="118"/>
    </row>
    <row r="100" spans="3:13" ht="13.5" customHeight="1" outlineLevel="1">
      <c r="C100" s="68" t="s">
        <v>22</v>
      </c>
      <c r="D100" s="68"/>
      <c r="E100" s="68"/>
      <c r="F100" s="68"/>
      <c r="G100" s="147"/>
      <c r="H100" s="149">
        <f ca="1">H33</f>
        <v>6.317110331922974</v>
      </c>
      <c r="I100" s="149">
        <f ca="1">I33</f>
        <v>8.1615189010933982</v>
      </c>
      <c r="J100" s="149">
        <f ca="1">J33</f>
        <v>9.8530573738830398</v>
      </c>
      <c r="K100" s="149">
        <f ca="1">K33</f>
        <v>11.021036231507846</v>
      </c>
      <c r="L100" s="149">
        <f ca="1">L33</f>
        <v>11.760833590188957</v>
      </c>
      <c r="M100" s="50"/>
    </row>
    <row r="101" spans="3: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3:13" ht="13.5" customHeight="1" outlineLevel="1">
      <c r="C102" s="91" t="s">
        <v>183</v>
      </c>
      <c r="D102" s="68"/>
      <c r="E102" s="68"/>
      <c r="F102" s="68"/>
      <c r="G102" s="154"/>
      <c r="H102" s="149">
        <f>H21</f>
        <v>0.237952</v>
      </c>
      <c r="I102" s="149">
        <f t="shared" ref="I102:L102" si="31">I21</f>
        <v>0.237952</v>
      </c>
      <c r="J102" s="149">
        <f t="shared" si="31"/>
        <v>0.237952</v>
      </c>
      <c r="K102" s="149">
        <f t="shared" si="31"/>
        <v>0.237952</v>
      </c>
      <c r="L102" s="149">
        <f t="shared" si="31"/>
        <v>0.237952</v>
      </c>
      <c r="M102" s="50"/>
    </row>
    <row r="103" spans="3:13" ht="13.5" customHeight="1" outlineLevel="1">
      <c r="C103" s="65" t="s">
        <v>185</v>
      </c>
      <c r="D103" s="65"/>
      <c r="E103" s="65"/>
      <c r="F103" s="65"/>
      <c r="G103" s="197"/>
      <c r="H103" s="198">
        <f ca="1">SUM(H100:H102)</f>
        <v>12.384454892548927</v>
      </c>
      <c r="I103" s="198">
        <f t="shared" ref="I103:L103" ca="1" si="32">SUM(I100:I102)</f>
        <v>14.529766690224806</v>
      </c>
      <c r="J103" s="198">
        <f t="shared" ca="1" si="32"/>
        <v>16.559325898536095</v>
      </c>
      <c r="K103" s="198">
        <f t="shared" ca="1" si="32"/>
        <v>18.09688095604529</v>
      </c>
      <c r="L103" s="198">
        <f t="shared" ca="1" si="32"/>
        <v>19.229668510279041</v>
      </c>
      <c r="M103" s="50"/>
    </row>
    <row r="104" spans="3: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3:13" ht="13.5" customHeight="1" outlineLevel="1">
      <c r="C105" s="180" t="s">
        <v>189</v>
      </c>
      <c r="D105" s="180"/>
      <c r="E105" s="180"/>
      <c r="F105" s="180"/>
      <c r="G105" s="199"/>
      <c r="H105" s="200">
        <f ca="1">+SUM(H103:H104)</f>
        <v>11.895619792590304</v>
      </c>
      <c r="I105" s="200">
        <f t="shared" ref="I105:L105" ca="1" si="33">+SUM(I103:I104)</f>
        <v>12.087034348143732</v>
      </c>
      <c r="J105" s="200">
        <f t="shared" ca="1" si="33"/>
        <v>14.293136265751894</v>
      </c>
      <c r="K105" s="200">
        <f t="shared" ca="1" si="33"/>
        <v>16.170278876726567</v>
      </c>
      <c r="L105" s="200">
        <f t="shared" ca="1" si="33"/>
        <v>17.800139468302049</v>
      </c>
      <c r="M105" s="50"/>
    </row>
    <row r="106" spans="3:13" ht="13.5" customHeight="1" outlineLevel="1">
      <c r="C106" s="68"/>
      <c r="D106" s="68"/>
      <c r="E106" s="68"/>
      <c r="F106" s="68"/>
      <c r="G106" s="154"/>
      <c r="H106" s="154"/>
      <c r="I106" s="154"/>
      <c r="J106" s="154"/>
      <c r="K106" s="154"/>
      <c r="L106" s="154"/>
    </row>
    <row r="107" spans="3:13" ht="13.5" customHeight="1" outlineLevel="1">
      <c r="C107" s="84" t="s">
        <v>190</v>
      </c>
      <c r="D107" s="85"/>
      <c r="E107" s="86"/>
      <c r="F107" s="86"/>
      <c r="G107" s="86"/>
      <c r="H107" s="201"/>
      <c r="I107" s="201"/>
      <c r="J107" s="201"/>
      <c r="K107" s="201"/>
      <c r="L107" s="202"/>
    </row>
    <row r="108" spans="3:13" ht="13.5" customHeight="1" outlineLevel="1">
      <c r="C108" s="118"/>
      <c r="D108" s="118"/>
      <c r="E108" s="118"/>
      <c r="H108" s="68"/>
      <c r="I108" s="68"/>
      <c r="J108" s="68"/>
      <c r="K108" s="68"/>
      <c r="L108" s="68"/>
    </row>
    <row r="109" spans="3: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3:13" ht="13.5" customHeight="1" outlineLevel="1">
      <c r="C110" s="68"/>
      <c r="D110" s="68"/>
      <c r="E110" s="68"/>
      <c r="F110" s="68"/>
      <c r="G110" s="154"/>
      <c r="H110" s="154"/>
      <c r="I110" s="154"/>
      <c r="J110" s="154"/>
      <c r="K110" s="154"/>
      <c r="L110" s="154"/>
    </row>
    <row r="111" spans="3:13" ht="13.5" customHeight="1" outlineLevel="1">
      <c r="C111" s="84" t="s">
        <v>193</v>
      </c>
      <c r="D111" s="85"/>
      <c r="E111" s="86"/>
      <c r="F111" s="86"/>
      <c r="G111" s="86"/>
      <c r="H111" s="201"/>
      <c r="I111" s="201"/>
      <c r="J111" s="201"/>
      <c r="K111" s="201"/>
      <c r="L111" s="202"/>
    </row>
    <row r="112" spans="3:13" ht="13.5" customHeight="1" outlineLevel="1">
      <c r="C112" s="118"/>
      <c r="D112" s="118"/>
      <c r="E112" s="118"/>
      <c r="H112" s="68"/>
      <c r="I112" s="68"/>
      <c r="J112" s="68"/>
      <c r="K112" s="68"/>
      <c r="L112" s="68"/>
    </row>
    <row r="113" spans="2:13" s="205" customFormat="1" ht="13.5" customHeight="1" outlineLevel="1">
      <c r="C113" s="68" t="s">
        <v>41</v>
      </c>
      <c r="D113" s="118"/>
      <c r="E113" s="118"/>
      <c r="F113" s="29"/>
      <c r="G113" s="132"/>
      <c r="H113" s="149">
        <f ca="1">H78-G78</f>
        <v>0.17332096366923144</v>
      </c>
      <c r="I113" s="149">
        <f t="shared" ref="I113:L116" ca="1" si="34">I78-H78</f>
        <v>-1.4626209636692313</v>
      </c>
      <c r="J113" s="149">
        <f t="shared" ca="1" si="34"/>
        <v>0</v>
      </c>
      <c r="K113" s="149">
        <f t="shared" ca="1" si="34"/>
        <v>0</v>
      </c>
      <c r="L113" s="149">
        <f t="shared" ca="1" si="34"/>
        <v>0</v>
      </c>
      <c r="M113" s="50"/>
    </row>
    <row r="114" spans="2:13" s="205" customFormat="1" ht="13.5" customHeight="1" outlineLevel="1">
      <c r="C114" s="68" t="str">
        <f>+C79</f>
        <v>Term Loan A</v>
      </c>
      <c r="D114" s="118"/>
      <c r="E114" s="118"/>
      <c r="F114" s="29"/>
      <c r="G114" s="207"/>
      <c r="H114" s="149">
        <f ca="1">H79-G79</f>
        <v>-2.4002902000000006</v>
      </c>
      <c r="I114" s="149">
        <f t="shared" ca="1" si="34"/>
        <v>-7.5976801494199631</v>
      </c>
      <c r="J114" s="149">
        <f t="shared" ca="1" si="34"/>
        <v>-2.0034806505800358</v>
      </c>
      <c r="K114" s="149">
        <f t="shared" ca="1" si="34"/>
        <v>0</v>
      </c>
      <c r="L114" s="149">
        <f t="shared" ca="1" si="34"/>
        <v>0</v>
      </c>
      <c r="M114" s="50"/>
    </row>
    <row r="115" spans="2:13" s="205" customFormat="1" ht="13.5" customHeight="1" outlineLevel="1">
      <c r="C115" s="68" t="str">
        <f>+C80</f>
        <v>Subordinated - Note 1</v>
      </c>
      <c r="D115" s="118"/>
      <c r="E115" s="118"/>
      <c r="F115" s="29"/>
      <c r="G115" s="207"/>
      <c r="H115" s="149">
        <f ca="1">H80-G80</f>
        <v>-1.7067600000000002E-2</v>
      </c>
      <c r="I115" s="149">
        <f t="shared" ca="1" si="34"/>
        <v>-1.7067600000000002E-2</v>
      </c>
      <c r="J115" s="149">
        <f t="shared" ca="1" si="34"/>
        <v>-5.1202799999999993E-2</v>
      </c>
      <c r="K115" s="149">
        <f t="shared" ca="1" si="34"/>
        <v>0</v>
      </c>
      <c r="L115" s="149">
        <f t="shared" ca="1" si="34"/>
        <v>0</v>
      </c>
      <c r="M115" s="50"/>
    </row>
    <row r="116" spans="2:13" s="205" customFormat="1" ht="13.5" customHeight="1" outlineLevel="1">
      <c r="C116" s="68" t="str">
        <f t="shared" ref="C116" si="35">+C81</f>
        <v>Subordinated - Note 2</v>
      </c>
      <c r="D116" s="118"/>
      <c r="E116" s="118"/>
      <c r="F116" s="29"/>
      <c r="G116" s="207"/>
      <c r="H116" s="149">
        <f ca="1">H81-G81</f>
        <v>-6.3334999999999954E-4</v>
      </c>
      <c r="I116" s="149">
        <f t="shared" ca="1" si="34"/>
        <v>-6.3334999999999954E-4</v>
      </c>
      <c r="J116" s="149">
        <f t="shared" ca="1" si="34"/>
        <v>-6.9668499999999993E-3</v>
      </c>
      <c r="K116" s="149">
        <f t="shared" ca="1" si="34"/>
        <v>-4.4334500000000011E-3</v>
      </c>
      <c r="L116" s="149">
        <f t="shared" ca="1" si="34"/>
        <v>0</v>
      </c>
      <c r="M116" s="50"/>
    </row>
    <row r="117" spans="2:13" s="205" customFormat="1" ht="13.5" customHeight="1" outlineLevel="1">
      <c r="C117" s="180" t="s">
        <v>194</v>
      </c>
      <c r="D117" s="180"/>
      <c r="E117" s="180"/>
      <c r="F117" s="180"/>
      <c r="G117" s="199"/>
      <c r="H117" s="200">
        <f ca="1">SUM(H113:H116)</f>
        <v>-2.2446701863307692</v>
      </c>
      <c r="I117" s="200">
        <f t="shared" ref="I117:L117" ca="1" si="36">SUM(I113:I116)</f>
        <v>-9.078002063089194</v>
      </c>
      <c r="J117" s="200">
        <f t="shared" ca="1" si="36"/>
        <v>-2.0616503005800357</v>
      </c>
      <c r="K117" s="200">
        <f t="shared" ca="1" si="36"/>
        <v>-4.4334500000000011E-3</v>
      </c>
      <c r="L117" s="200">
        <f t="shared" ca="1" si="36"/>
        <v>0</v>
      </c>
    </row>
    <row r="118" spans="2:13" s="205" customFormat="1" ht="13.5" customHeight="1" outlineLevel="1">
      <c r="C118" s="118"/>
      <c r="D118" s="118"/>
      <c r="E118" s="118"/>
      <c r="F118" s="29"/>
      <c r="G118" s="29"/>
      <c r="H118" s="68"/>
      <c r="I118" s="68"/>
      <c r="J118" s="68"/>
      <c r="K118" s="68"/>
      <c r="L118" s="68"/>
    </row>
    <row r="119" spans="2:13" s="205" customFormat="1" ht="13.5" customHeight="1" outlineLevel="1">
      <c r="C119" s="39" t="s">
        <v>195</v>
      </c>
      <c r="D119" s="118"/>
      <c r="E119" s="118"/>
      <c r="F119" s="30"/>
      <c r="G119" s="208"/>
      <c r="H119" s="215">
        <f ca="1">H117+H109+H105</f>
        <v>7.0420079999999992</v>
      </c>
      <c r="I119" s="215">
        <f ca="1">I117+I109+I105</f>
        <v>0</v>
      </c>
      <c r="J119" s="215">
        <f ca="1">J117+J109+J105</f>
        <v>8.8512786099553633</v>
      </c>
      <c r="K119" s="215">
        <f ca="1">K117+K109+K105</f>
        <v>12.470083427882683</v>
      </c>
      <c r="L119" s="215">
        <f ca="1">L117+L109+L105</f>
        <v>13.870237512775688</v>
      </c>
      <c r="M119" s="50"/>
    </row>
    <row r="120" spans="2:13" s="205" customFormat="1" ht="5.0999999999999996" customHeight="1" outlineLevel="1" thickBot="1">
      <c r="C120" s="157"/>
      <c r="D120" s="157"/>
      <c r="E120" s="157"/>
      <c r="F120" s="83"/>
      <c r="G120" s="83"/>
      <c r="H120" s="83"/>
      <c r="I120" s="83"/>
      <c r="J120" s="83"/>
      <c r="K120" s="83"/>
      <c r="L120" s="83"/>
    </row>
    <row r="121" spans="2:13" s="205" customFormat="1" ht="13.5" customHeight="1" outlineLevel="1">
      <c r="C121" s="29"/>
      <c r="D121" s="29"/>
      <c r="E121" s="29"/>
      <c r="F121" s="29"/>
      <c r="G121" s="29"/>
      <c r="H121" s="29"/>
      <c r="I121" s="29"/>
      <c r="J121" s="29"/>
      <c r="K121" s="29"/>
      <c r="L121" s="29"/>
    </row>
    <row r="122" spans="2:13" ht="13.5" customHeight="1" outlineLevel="1" thickBot="1"/>
    <row r="123" spans="2:13" ht="21.75" thickTop="1">
      <c r="B123" s="46" t="s">
        <v>61</v>
      </c>
      <c r="C123" s="47" t="s">
        <v>148</v>
      </c>
      <c r="D123" s="48"/>
      <c r="E123" s="49"/>
      <c r="F123" s="49"/>
      <c r="G123" s="49"/>
      <c r="H123" s="49"/>
      <c r="I123" s="49"/>
      <c r="J123" s="49"/>
      <c r="K123" s="49"/>
      <c r="L123" s="49"/>
    </row>
    <row r="124" spans="2:13" ht="5.0999999999999996" customHeight="1" outlineLevel="1">
      <c r="C124" s="51"/>
      <c r="D124" s="52"/>
    </row>
    <row r="125" spans="2:13" ht="13.5" customHeight="1" outlineLevel="1">
      <c r="C125" s="53"/>
      <c r="D125" s="53"/>
      <c r="E125" s="53"/>
      <c r="F125" s="54" t="s">
        <v>63</v>
      </c>
      <c r="G125" s="54" t="s">
        <v>63</v>
      </c>
      <c r="H125" s="55" t="s">
        <v>64</v>
      </c>
      <c r="I125" s="55"/>
      <c r="J125" s="55"/>
      <c r="K125" s="55"/>
      <c r="L125" s="55"/>
    </row>
    <row r="126" spans="2:13" ht="13.5" customHeight="1" outlineLevel="1" thickBot="1">
      <c r="C126" s="56" t="s">
        <v>65</v>
      </c>
      <c r="D126" s="57"/>
      <c r="E126" s="57"/>
      <c r="F126" s="58">
        <f>F$11</f>
        <v>45291</v>
      </c>
      <c r="G126" s="58">
        <f>G$11</f>
        <v>45657</v>
      </c>
      <c r="H126" s="58">
        <f t="shared" ref="H126:L126" si="37">H$11</f>
        <v>46022</v>
      </c>
      <c r="I126" s="58">
        <f t="shared" si="37"/>
        <v>46387</v>
      </c>
      <c r="J126" s="58">
        <f t="shared" si="37"/>
        <v>46752</v>
      </c>
      <c r="K126" s="58">
        <f t="shared" si="37"/>
        <v>47118</v>
      </c>
      <c r="L126" s="58">
        <f t="shared" si="37"/>
        <v>47483</v>
      </c>
    </row>
    <row r="127" spans="2:13" ht="5.0999999999999996" customHeight="1" outlineLevel="1">
      <c r="C127" s="59"/>
      <c r="D127" s="59"/>
      <c r="E127" s="59"/>
      <c r="F127" s="60"/>
      <c r="G127" s="60"/>
      <c r="H127" s="60"/>
      <c r="I127" s="60"/>
      <c r="J127" s="60"/>
      <c r="K127" s="60"/>
    </row>
    <row r="128" spans="2: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8">F61</f>
        <v>16.781419000000003</v>
      </c>
      <c r="G130" s="177">
        <f t="shared" si="38"/>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8"/>
        <v>0.80490099999999998</v>
      </c>
      <c r="G131" s="177">
        <f t="shared" si="38"/>
        <v>1.161057</v>
      </c>
      <c r="H131" s="177">
        <f>(H146/365)*H150</f>
        <v>1.2029011201180084</v>
      </c>
      <c r="I131" s="177">
        <f t="shared" ref="I131:L131" si="39">(I146/365)*I150</f>
        <v>1.3873703794209342</v>
      </c>
      <c r="J131" s="177">
        <f t="shared" si="39"/>
        <v>1.558507558799139</v>
      </c>
      <c r="K131" s="177">
        <f t="shared" si="39"/>
        <v>1.7039999045715051</v>
      </c>
      <c r="L131" s="177">
        <f t="shared" si="39"/>
        <v>1.8119544925477122</v>
      </c>
      <c r="M131" s="50"/>
    </row>
    <row r="132" spans="3:13" ht="13.5" customHeight="1" outlineLevel="1">
      <c r="C132" s="91" t="str">
        <f>C63</f>
        <v>Prepaids and Other Current Assets</v>
      </c>
      <c r="D132" s="68"/>
      <c r="E132" s="68"/>
      <c r="F132" s="177">
        <f t="shared" si="38"/>
        <v>0.26978399999999997</v>
      </c>
      <c r="G132" s="177">
        <f t="shared" si="38"/>
        <v>0.34491899999999998</v>
      </c>
      <c r="H132" s="177">
        <f>H151*H147</f>
        <v>0.3792215684283346</v>
      </c>
      <c r="I132" s="177">
        <f t="shared" ref="I132:L132" si="40">I151*I147</f>
        <v>0.43737657441320382</v>
      </c>
      <c r="J132" s="177">
        <f t="shared" si="40"/>
        <v>0.49132856472628733</v>
      </c>
      <c r="K132" s="177">
        <f t="shared" si="40"/>
        <v>0.53719587221761422</v>
      </c>
      <c r="L132" s="177">
        <f t="shared" si="40"/>
        <v>0.57122918342390505</v>
      </c>
      <c r="M132" s="50"/>
    </row>
    <row r="133" spans="3:13" ht="13.5" customHeight="1" outlineLevel="1">
      <c r="C133" s="65" t="s">
        <v>152</v>
      </c>
      <c r="D133" s="65"/>
      <c r="E133" s="65"/>
      <c r="F133" s="179">
        <f t="shared" ref="F133:L133" si="41">SUM(F130:F132)</f>
        <v>17.856104000000006</v>
      </c>
      <c r="G133" s="179">
        <f t="shared" si="41"/>
        <v>23.790697999999999</v>
      </c>
      <c r="H133" s="179">
        <f t="shared" si="41"/>
        <v>25.594733500229559</v>
      </c>
      <c r="I133" s="179">
        <f t="shared" si="41"/>
        <v>29.519778919074909</v>
      </c>
      <c r="J133" s="179">
        <f t="shared" si="41"/>
        <v>33.161150952826461</v>
      </c>
      <c r="K133" s="179">
        <f t="shared" si="41"/>
        <v>36.256864934705241</v>
      </c>
      <c r="L133" s="179">
        <f t="shared" si="41"/>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2">F74</f>
        <v>2.8058170000000002</v>
      </c>
      <c r="G135" s="177">
        <f t="shared" si="42"/>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2"/>
        <v>2.3839329999999999</v>
      </c>
      <c r="G136" s="177">
        <f t="shared" si="42"/>
        <v>2.7880379999999998</v>
      </c>
      <c r="H136" s="177">
        <f>H154*H147</f>
        <v>3.1966854452582232</v>
      </c>
      <c r="I136" s="177">
        <f t="shared" ref="I136:L136" si="43">I154*I147</f>
        <v>3.6869087782063024</v>
      </c>
      <c r="J136" s="177">
        <f t="shared" si="43"/>
        <v>4.1417023778724023</v>
      </c>
      <c r="K136" s="177">
        <f t="shared" si="43"/>
        <v>4.5283453498910609</v>
      </c>
      <c r="L136" s="177">
        <f t="shared" si="43"/>
        <v>4.8152324882940372</v>
      </c>
      <c r="M136" s="50"/>
    </row>
    <row r="137" spans="3:13" ht="13.5" customHeight="1" outlineLevel="1">
      <c r="C137" s="91" t="str">
        <f>C76</f>
        <v>Accrued Expenses &amp; Other</v>
      </c>
      <c r="D137" s="68"/>
      <c r="E137" s="68"/>
      <c r="F137" s="177">
        <f t="shared" si="42"/>
        <v>2.0579079999999998</v>
      </c>
      <c r="G137" s="177">
        <f t="shared" si="42"/>
        <v>3.2020309999999998</v>
      </c>
      <c r="H137" s="177">
        <f>H155*H147</f>
        <v>3.2317636858846019</v>
      </c>
      <c r="I137" s="177">
        <f t="shared" ref="I137:L137" si="44">I155*I147</f>
        <v>3.727366394541769</v>
      </c>
      <c r="J137" s="177">
        <f t="shared" si="44"/>
        <v>4.1871505882458564</v>
      </c>
      <c r="K137" s="177">
        <f t="shared" si="44"/>
        <v>4.5780363159066395</v>
      </c>
      <c r="L137" s="177">
        <f t="shared" si="44"/>
        <v>4.8680715576328382</v>
      </c>
      <c r="M137" s="50"/>
    </row>
    <row r="138" spans="3:13" ht="13.5" customHeight="1" outlineLevel="1">
      <c r="C138" s="65" t="s">
        <v>156</v>
      </c>
      <c r="D138" s="65"/>
      <c r="E138" s="65"/>
      <c r="F138" s="179">
        <f t="shared" ref="F138:L138" si="45">SUM(F135:F137)</f>
        <v>7.2476579999999995</v>
      </c>
      <c r="G138" s="179">
        <f t="shared" si="45"/>
        <v>8.3507789999999993</v>
      </c>
      <c r="H138" s="179">
        <f t="shared" si="45"/>
        <v>9.6659794002709365</v>
      </c>
      <c r="I138" s="179">
        <f t="shared" si="45"/>
        <v>11.148292477035213</v>
      </c>
      <c r="J138" s="179">
        <f t="shared" si="45"/>
        <v>12.523474878002563</v>
      </c>
      <c r="K138" s="179">
        <f t="shared" si="45"/>
        <v>13.692586780562621</v>
      </c>
      <c r="L138" s="179">
        <f t="shared" si="45"/>
        <v>14.560061925519163</v>
      </c>
    </row>
    <row r="139" spans="3:13" ht="13.5" customHeight="1" outlineLevel="1">
      <c r="C139" s="180" t="s">
        <v>157</v>
      </c>
      <c r="D139" s="180"/>
      <c r="E139" s="180"/>
      <c r="F139" s="181">
        <f t="shared" ref="F139:L139" si="46">F133-F138</f>
        <v>10.608446000000006</v>
      </c>
      <c r="G139" s="181">
        <f t="shared" si="46"/>
        <v>15.439919</v>
      </c>
      <c r="H139" s="181">
        <f t="shared" si="46"/>
        <v>15.928754099958622</v>
      </c>
      <c r="I139" s="181">
        <f t="shared" si="46"/>
        <v>18.371486442039696</v>
      </c>
      <c r="J139" s="181">
        <f t="shared" si="46"/>
        <v>20.637676074823897</v>
      </c>
      <c r="K139" s="181">
        <f t="shared" si="46"/>
        <v>22.56427815414262</v>
      </c>
      <c r="L139" s="181">
        <f t="shared" si="46"/>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7">G139-F139</f>
        <v>4.8314729999999937</v>
      </c>
      <c r="H141" s="182">
        <f t="shared" si="47"/>
        <v>0.48883509995862262</v>
      </c>
      <c r="I141" s="182">
        <f t="shared" si="47"/>
        <v>2.442732342081074</v>
      </c>
      <c r="J141" s="182">
        <f t="shared" si="47"/>
        <v>2.2661896327842008</v>
      </c>
      <c r="K141" s="182">
        <f t="shared" si="47"/>
        <v>1.9266020793187231</v>
      </c>
      <c r="L141" s="182">
        <f t="shared" si="47"/>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8">F13</f>
        <v>78.565675999999996</v>
      </c>
      <c r="G145" s="209">
        <f t="shared" si="48"/>
        <v>90.614007999999998</v>
      </c>
      <c r="H145" s="209">
        <f t="shared" si="48"/>
        <v>104.5099955077592</v>
      </c>
      <c r="I145" s="209">
        <f t="shared" si="48"/>
        <v>120.53698321160066</v>
      </c>
      <c r="J145" s="209">
        <f t="shared" si="48"/>
        <v>135.4056582414087</v>
      </c>
      <c r="K145" s="209">
        <f t="shared" si="48"/>
        <v>148.04626863637753</v>
      </c>
      <c r="L145" s="209">
        <f t="shared" si="48"/>
        <v>157.42553790111026</v>
      </c>
      <c r="M145" s="50"/>
    </row>
    <row r="146" spans="1:19" ht="13.5" customHeight="1" outlineLevel="1">
      <c r="C146" s="68" t="s">
        <v>66</v>
      </c>
      <c r="D146" s="68"/>
      <c r="E146" s="68"/>
      <c r="F146" s="177">
        <f t="shared" si="48"/>
        <v>51.562188999999996</v>
      </c>
      <c r="G146" s="177">
        <f t="shared" si="48"/>
        <v>61.618676000000001</v>
      </c>
      <c r="H146" s="177">
        <f t="shared" si="48"/>
        <v>69.828708282059708</v>
      </c>
      <c r="I146" s="177">
        <f t="shared" si="48"/>
        <v>80.537194523728473</v>
      </c>
      <c r="J146" s="177">
        <f t="shared" si="48"/>
        <v>90.471750220079329</v>
      </c>
      <c r="K146" s="177">
        <f t="shared" si="48"/>
        <v>98.917616966977391</v>
      </c>
      <c r="L146" s="177">
        <f t="shared" si="48"/>
        <v>105.18440756632523</v>
      </c>
      <c r="M146" s="50"/>
    </row>
    <row r="147" spans="1:19" ht="13.5" customHeight="1" outlineLevel="1">
      <c r="C147" s="68" t="s">
        <v>69</v>
      </c>
      <c r="D147" s="68"/>
      <c r="E147" s="68"/>
      <c r="F147" s="177">
        <f t="shared" ref="F147:L147" si="49">F17</f>
        <v>14.179914999999999</v>
      </c>
      <c r="G147" s="177">
        <f t="shared" si="49"/>
        <v>15.4366889395</v>
      </c>
      <c r="H147" s="177">
        <f t="shared" si="49"/>
        <v>18.333216581804578</v>
      </c>
      <c r="I147" s="177">
        <f t="shared" si="49"/>
        <v>21.144681985672378</v>
      </c>
      <c r="J147" s="177">
        <f t="shared" si="49"/>
        <v>23.752955369300096</v>
      </c>
      <c r="K147" s="177">
        <f t="shared" si="49"/>
        <v>25.970380094765407</v>
      </c>
      <c r="L147" s="177">
        <f t="shared" si="49"/>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50">I149</f>
        <v>83.863776892169696</v>
      </c>
      <c r="K149" s="211">
        <f t="shared" si="50"/>
        <v>83.863776892169696</v>
      </c>
      <c r="L149" s="211">
        <f t="shared" si="50"/>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51">I151</f>
        <v>2.0684944550576352E-2</v>
      </c>
      <c r="K151" s="139">
        <f t="shared" si="51"/>
        <v>2.0684944550576352E-2</v>
      </c>
      <c r="L151" s="139">
        <f t="shared" si="51"/>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2">H153</f>
        <v>16.922818383787302</v>
      </c>
      <c r="J153" s="211">
        <f t="shared" si="52"/>
        <v>16.922818383787302</v>
      </c>
      <c r="K153" s="211">
        <f t="shared" si="52"/>
        <v>16.922818383787302</v>
      </c>
      <c r="L153" s="211">
        <f t="shared" si="52"/>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2"/>
        <v>0.17436577105792128</v>
      </c>
      <c r="K154" s="139">
        <f t="shared" si="52"/>
        <v>0.17436577105792128</v>
      </c>
      <c r="L154" s="139">
        <f t="shared" si="52"/>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2"/>
        <v>0.1762791418223944</v>
      </c>
      <c r="K155" s="139">
        <f t="shared" si="52"/>
        <v>0.1762791418223944</v>
      </c>
      <c r="L155" s="139">
        <f t="shared" si="52"/>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8 Answer Key'!F13</f>
        <v>0</v>
      </c>
      <c r="G162" s="122">
        <f>'Financials from CIP'!E13/1000-'Step 8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8 Answer Key'!F15</f>
        <v>0</v>
      </c>
      <c r="G163" s="122">
        <f>'Financials from CIP'!E19/1000-'Step 8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8 Answer Key'!F18</f>
        <v>0</v>
      </c>
      <c r="G164" s="122">
        <f>'Financials from CIP'!E36/1000-'Step 8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8 Answer Key'!F33</f>
        <v>0</v>
      </c>
      <c r="G165" s="122">
        <f>'Financials from CIP'!E34/1000-'Step 8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8 Answer Key'!F60</f>
        <v>0</v>
      </c>
      <c r="G168" s="122">
        <f>'Financials from CIP'!E46/1000-'Step 8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8 Answer Key'!F64</f>
        <v>0</v>
      </c>
      <c r="G169" s="122">
        <f>'Financials from CIP'!E51/1000-'Step 8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8 Answer Key'!F70</f>
        <v>0</v>
      </c>
      <c r="G170" s="122">
        <f>'Financials from CIP'!E56/1000-'Step 8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8 Answer Key'!F77</f>
        <v>0</v>
      </c>
      <c r="G171" s="122">
        <f>'Financials from CIP'!E61/1000-'Step 8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8 Answer Key'!F84</f>
        <v>0</v>
      </c>
      <c r="G172" s="122">
        <f>'Financials from CIP'!E69/1000-'Step 8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8 Answer Key'!F85:F86)</f>
        <v>0</v>
      </c>
      <c r="G173" s="122">
        <f>'Financials from CIP'!E73/1000-SUM('Step 8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3">H$11</f>
        <v>46022</v>
      </c>
      <c r="I185" s="58">
        <f t="shared" si="53"/>
        <v>46387</v>
      </c>
      <c r="J185" s="58">
        <f t="shared" si="53"/>
        <v>46752</v>
      </c>
      <c r="K185" s="58">
        <f t="shared" si="53"/>
        <v>47118</v>
      </c>
      <c r="L185" s="58">
        <f t="shared" si="53"/>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4">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4"/>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4"/>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4"/>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4"/>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4"/>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5">-SUM(I187:I193)</f>
        <v>6.1302957891314076</v>
      </c>
      <c r="J194" s="156">
        <f t="shared" ca="1" si="55"/>
        <v>6.4683165246530567</v>
      </c>
      <c r="K194" s="156">
        <f t="shared" ca="1" si="55"/>
        <v>6.8378927245374452</v>
      </c>
      <c r="L194" s="156">
        <f t="shared" ca="1" si="55"/>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B198" s="46" t="s">
        <v>61</v>
      </c>
      <c r="C198" s="47" t="s">
        <v>199</v>
      </c>
      <c r="D198" s="48"/>
      <c r="E198" s="49"/>
      <c r="F198" s="49"/>
      <c r="G198" s="49"/>
      <c r="H198" s="49"/>
      <c r="I198" s="49"/>
      <c r="J198" s="49"/>
      <c r="K198" s="49"/>
      <c r="L198" s="49"/>
      <c r="M198" s="50"/>
    </row>
    <row r="199" spans="1:19" ht="5.0999999999999996" customHeight="1" outlineLevel="1">
      <c r="M199" s="50"/>
    </row>
    <row r="200" spans="1:19" ht="13.5" customHeight="1" outlineLevel="1">
      <c r="C200" s="53"/>
      <c r="D200" s="53"/>
      <c r="E200" s="53"/>
      <c r="F200" s="54" t="s">
        <v>63</v>
      </c>
      <c r="G200" s="54" t="s">
        <v>63</v>
      </c>
      <c r="H200" s="55" t="s">
        <v>64</v>
      </c>
      <c r="I200" s="55"/>
      <c r="J200" s="55"/>
      <c r="K200" s="55"/>
      <c r="L200" s="55"/>
    </row>
    <row r="201" spans="1:19" ht="13.5" customHeight="1" outlineLevel="1" thickBot="1">
      <c r="C201" s="56" t="s">
        <v>65</v>
      </c>
      <c r="D201" s="57"/>
      <c r="E201" s="57"/>
      <c r="F201" s="58">
        <f>F$11</f>
        <v>45291</v>
      </c>
      <c r="G201" s="58">
        <f>G$11</f>
        <v>45657</v>
      </c>
      <c r="H201" s="58">
        <f t="shared" ref="H201:L201" si="56">H$11</f>
        <v>46022</v>
      </c>
      <c r="I201" s="58">
        <f t="shared" si="56"/>
        <v>46387</v>
      </c>
      <c r="J201" s="58">
        <f t="shared" si="56"/>
        <v>46752</v>
      </c>
      <c r="K201" s="58">
        <f t="shared" si="56"/>
        <v>47118</v>
      </c>
      <c r="L201" s="58">
        <f t="shared" si="56"/>
        <v>47483</v>
      </c>
    </row>
    <row r="202" spans="1:19" ht="5.0999999999999996" customHeight="1" outlineLevel="1">
      <c r="M202" s="50"/>
    </row>
    <row r="203" spans="1:19" ht="13.5" customHeight="1" outlineLevel="1">
      <c r="C203" s="68" t="s">
        <v>247</v>
      </c>
      <c r="D203" s="68"/>
      <c r="E203" s="68"/>
      <c r="F203" s="68"/>
      <c r="G203" s="132"/>
      <c r="H203" s="152">
        <f>G60</f>
        <v>2.9579920000000004</v>
      </c>
      <c r="I203" s="152">
        <f ca="1">H60</f>
        <v>10</v>
      </c>
      <c r="J203" s="152">
        <f ca="1">I60</f>
        <v>10</v>
      </c>
      <c r="K203" s="152">
        <f ca="1">J60</f>
        <v>18.851278609955365</v>
      </c>
      <c r="L203" s="152">
        <f ca="1">K60</f>
        <v>31.32136203783805</v>
      </c>
      <c r="M203" s="50"/>
    </row>
    <row r="204" spans="1:19" ht="13.5" customHeight="1" outlineLevel="1">
      <c r="C204" s="68" t="s">
        <v>249</v>
      </c>
      <c r="D204" s="68"/>
      <c r="E204" s="68"/>
      <c r="F204" s="68"/>
      <c r="G204" s="250"/>
      <c r="H204" s="159">
        <v>-10</v>
      </c>
      <c r="I204" s="159">
        <v>-10</v>
      </c>
      <c r="J204" s="159">
        <v>-10</v>
      </c>
      <c r="K204" s="159">
        <v>-10</v>
      </c>
      <c r="L204" s="159">
        <v>-10</v>
      </c>
      <c r="M204" s="50"/>
    </row>
    <row r="205" spans="1:19" ht="13.5" customHeight="1" outlineLevel="1">
      <c r="C205" s="65" t="s">
        <v>251</v>
      </c>
      <c r="D205" s="65"/>
      <c r="E205" s="65"/>
      <c r="F205" s="65"/>
      <c r="G205" s="197"/>
      <c r="H205" s="179">
        <f>SUM(H203:H204)</f>
        <v>-7.0420079999999992</v>
      </c>
      <c r="I205" s="179">
        <f ca="1">SUM(I203:I204)</f>
        <v>0</v>
      </c>
      <c r="J205" s="179">
        <f ca="1">SUM(J203:J204)</f>
        <v>0</v>
      </c>
      <c r="K205" s="179">
        <f ca="1">SUM(K203:K204)</f>
        <v>8.8512786099553651</v>
      </c>
      <c r="L205" s="179">
        <f ca="1">SUM(L203:L204)</f>
        <v>21.32136203783805</v>
      </c>
      <c r="M205" s="50"/>
    </row>
    <row r="206" spans="1:19" ht="13.5" customHeight="1" outlineLevel="1">
      <c r="C206" s="68" t="s">
        <v>253</v>
      </c>
      <c r="D206" s="68"/>
      <c r="E206" s="68"/>
      <c r="F206" s="68"/>
      <c r="G206" s="250"/>
      <c r="H206" s="149">
        <f ca="1">H105+H109</f>
        <v>9.2866781863307679</v>
      </c>
      <c r="I206" s="149">
        <f t="shared" ref="I206:L206" ca="1" si="57">I105+I109</f>
        <v>9.078002063089194</v>
      </c>
      <c r="J206" s="149">
        <f t="shared" ca="1" si="57"/>
        <v>10.912928910535399</v>
      </c>
      <c r="K206" s="149">
        <f t="shared" ca="1" si="57"/>
        <v>12.474516877882682</v>
      </c>
      <c r="L206" s="149">
        <f t="shared" ca="1" si="57"/>
        <v>13.870237512775688</v>
      </c>
      <c r="M206" s="50"/>
    </row>
    <row r="207" spans="1:19" ht="13.5" customHeight="1" outlineLevel="1">
      <c r="C207" s="70" t="s">
        <v>255</v>
      </c>
      <c r="D207" s="70"/>
      <c r="E207" s="70"/>
      <c r="F207" s="70"/>
      <c r="G207" s="252"/>
      <c r="H207" s="198">
        <f ca="1">SUM(H205:H206)</f>
        <v>2.2446701863307688</v>
      </c>
      <c r="I207" s="198">
        <f ca="1">SUM(I205:I206)</f>
        <v>9.078002063089194</v>
      </c>
      <c r="J207" s="198">
        <f ca="1">SUM(J205:J206)</f>
        <v>10.912928910535399</v>
      </c>
      <c r="K207" s="198">
        <f ca="1">SUM(K205:K206)</f>
        <v>21.325795487838047</v>
      </c>
      <c r="L207" s="198">
        <f ca="1">SUM(L205:L206)</f>
        <v>35.191599550613738</v>
      </c>
      <c r="M207" s="50"/>
    </row>
    <row r="208" spans="1:19" ht="5.0999999999999996" customHeight="1" outlineLevel="1">
      <c r="C208" s="68"/>
      <c r="D208" s="68"/>
      <c r="E208" s="68"/>
      <c r="F208" s="68"/>
      <c r="G208" s="154"/>
      <c r="H208" s="154"/>
      <c r="I208" s="154"/>
      <c r="J208" s="154"/>
      <c r="K208" s="154"/>
      <c r="L208" s="154"/>
    </row>
    <row r="209" spans="3:13" ht="13.5" customHeight="1" outlineLevel="1">
      <c r="C209" s="72" t="s">
        <v>257</v>
      </c>
      <c r="D209" s="68"/>
      <c r="E209" s="68"/>
      <c r="F209" s="68"/>
      <c r="G209" s="154"/>
      <c r="H209" s="154"/>
      <c r="I209" s="154"/>
      <c r="J209" s="154"/>
      <c r="K209" s="154"/>
      <c r="L209" s="154"/>
    </row>
    <row r="210" spans="3:13" ht="13.5" customHeight="1" outlineLevel="1">
      <c r="C210" s="91" t="str">
        <f>+C237</f>
        <v>Term Loan A</v>
      </c>
      <c r="D210" s="118"/>
      <c r="E210" s="118"/>
      <c r="G210" s="250"/>
      <c r="H210" s="149">
        <f>H239</f>
        <v>-2.4002902000000002</v>
      </c>
      <c r="I210" s="149">
        <f ca="1">I239</f>
        <v>-2.4002902000000002</v>
      </c>
      <c r="J210" s="149">
        <f ca="1">J239</f>
        <v>-2.0034806505800358</v>
      </c>
      <c r="K210" s="149">
        <f ca="1">K239</f>
        <v>0</v>
      </c>
      <c r="L210" s="149">
        <f ca="1">L239</f>
        <v>0</v>
      </c>
      <c r="M210" s="50"/>
    </row>
    <row r="211" spans="3:13" ht="13.5" customHeight="1" outlineLevel="1">
      <c r="C211" s="91" t="str">
        <f>+C243</f>
        <v>Subordinated - Note 1</v>
      </c>
      <c r="D211" s="118"/>
      <c r="E211" s="118"/>
      <c r="G211" s="250"/>
      <c r="H211" s="149">
        <f>H245</f>
        <v>-1.7067599999999999E-2</v>
      </c>
      <c r="I211" s="149">
        <f ca="1">I245</f>
        <v>-1.7067599999999999E-2</v>
      </c>
      <c r="J211" s="149">
        <f ca="1">J245</f>
        <v>-1.7067599999999999E-2</v>
      </c>
      <c r="K211" s="149">
        <f ca="1">K245</f>
        <v>0</v>
      </c>
      <c r="L211" s="149">
        <f ca="1">L245</f>
        <v>0</v>
      </c>
      <c r="M211" s="50"/>
    </row>
    <row r="212" spans="3:13" ht="13.5" customHeight="1" outlineLevel="1">
      <c r="C212" s="91" t="str">
        <f>+C249</f>
        <v>Subordinated - Note 2</v>
      </c>
      <c r="D212" s="118"/>
      <c r="E212" s="118"/>
      <c r="G212" s="250"/>
      <c r="H212" s="149">
        <f>H251</f>
        <v>-6.3334999999999997E-4</v>
      </c>
      <c r="I212" s="149">
        <f ca="1">I251</f>
        <v>-6.3334999999999997E-4</v>
      </c>
      <c r="J212" s="149">
        <f ca="1">J251</f>
        <v>-6.3334999999999997E-4</v>
      </c>
      <c r="K212" s="149">
        <f ca="1">K251</f>
        <v>-6.3334999999999997E-4</v>
      </c>
      <c r="L212" s="149">
        <f ca="1">L251</f>
        <v>0</v>
      </c>
      <c r="M212" s="50"/>
    </row>
    <row r="213" spans="3:13" ht="13.5" customHeight="1" outlineLevel="1">
      <c r="C213" s="65" t="s">
        <v>261</v>
      </c>
      <c r="D213" s="65"/>
      <c r="E213" s="65"/>
      <c r="F213" s="65"/>
      <c r="G213" s="197"/>
      <c r="H213" s="179">
        <f>SUM(H210:H212)</f>
        <v>-2.4179911500000002</v>
      </c>
      <c r="I213" s="179">
        <f ca="1">SUM(I210:I212)</f>
        <v>-2.4179911500000002</v>
      </c>
      <c r="J213" s="179">
        <f ca="1">SUM(J210:J212)</f>
        <v>-2.0211816005800358</v>
      </c>
      <c r="K213" s="179">
        <f ca="1">SUM(K210:K212)</f>
        <v>-6.3334999999999997E-4</v>
      </c>
      <c r="L213" s="179">
        <f ca="1">SUM(L210:L212)</f>
        <v>0</v>
      </c>
      <c r="M213" s="50"/>
    </row>
    <row r="214" spans="3:13" ht="13.5" customHeight="1" outlineLevel="1">
      <c r="C214" s="180" t="s">
        <v>263</v>
      </c>
      <c r="D214" s="180"/>
      <c r="E214" s="180"/>
      <c r="F214" s="180"/>
      <c r="G214" s="199"/>
      <c r="H214" s="200">
        <f ca="1">SUM(H213,H207)</f>
        <v>-0.17332096366923144</v>
      </c>
      <c r="I214" s="200">
        <f ca="1">SUM(I213,I207)</f>
        <v>6.6600109130891934</v>
      </c>
      <c r="J214" s="200">
        <f ca="1">SUM(J213,J207)</f>
        <v>8.8917473099553632</v>
      </c>
      <c r="K214" s="200">
        <f ca="1">SUM(K213,K207)</f>
        <v>21.325162137838046</v>
      </c>
      <c r="L214" s="200">
        <f ca="1">SUM(L213,L207)</f>
        <v>35.191599550613738</v>
      </c>
      <c r="M214" s="50"/>
    </row>
    <row r="215" spans="3:13" ht="13.5" customHeight="1" outlineLevel="1">
      <c r="C215" s="59"/>
      <c r="D215" s="59"/>
      <c r="E215" s="59"/>
      <c r="F215" s="60"/>
      <c r="G215" s="60"/>
      <c r="H215" s="268"/>
      <c r="I215" s="268"/>
      <c r="J215" s="268"/>
      <c r="K215" s="268"/>
      <c r="L215" s="68"/>
    </row>
    <row r="216" spans="3:13" ht="13.5" customHeight="1" outlineLevel="1">
      <c r="C216" s="68" t="s">
        <v>265</v>
      </c>
      <c r="D216" s="59"/>
      <c r="E216" s="59"/>
      <c r="F216" s="60"/>
      <c r="G216" s="60"/>
      <c r="H216" s="149">
        <f ca="1">MIN(MAX(0,-H214),H235-H229)</f>
        <v>0.17332096366923144</v>
      </c>
      <c r="I216" s="149">
        <f ca="1">MIN(MAX(0,-I214),I235-I229)</f>
        <v>0</v>
      </c>
      <c r="J216" s="149">
        <f ca="1">MIN(MAX(0,-J214),J235-J229)</f>
        <v>0</v>
      </c>
      <c r="K216" s="149">
        <f ca="1">MIN(MAX(0,-K214),K235-K229)</f>
        <v>0</v>
      </c>
      <c r="L216" s="149">
        <f ca="1">MIN(MAX(0,-L214),L235-L229)</f>
        <v>0</v>
      </c>
      <c r="M216" s="50"/>
    </row>
    <row r="217" spans="3:13" ht="13.5" customHeight="1" outlineLevel="1">
      <c r="C217" s="59"/>
      <c r="D217" s="59"/>
      <c r="E217" s="59"/>
      <c r="F217" s="60"/>
      <c r="G217" s="60"/>
      <c r="H217" s="149"/>
      <c r="I217" s="149"/>
      <c r="J217" s="149"/>
      <c r="K217" s="149"/>
      <c r="L217" s="149"/>
    </row>
    <row r="218" spans="3:13" ht="13.5" customHeight="1" outlineLevel="1">
      <c r="C218" s="72" t="s">
        <v>267</v>
      </c>
      <c r="D218" s="68"/>
      <c r="E218" s="68"/>
      <c r="F218" s="68"/>
      <c r="G218" s="147"/>
      <c r="H218" s="149"/>
      <c r="I218" s="149"/>
      <c r="J218" s="149"/>
      <c r="K218" s="149"/>
      <c r="L218" s="149"/>
    </row>
    <row r="219" spans="3:13" ht="13.5" customHeight="1" outlineLevel="1">
      <c r="C219" s="68" t="s">
        <v>268</v>
      </c>
      <c r="D219" s="68"/>
      <c r="E219" s="68"/>
      <c r="F219" s="68"/>
      <c r="G219" s="132"/>
      <c r="H219" s="149">
        <f ca="1">-MAX(0,MIN(H229,SUM(H$214:H218),H229*$L267))</f>
        <v>0</v>
      </c>
      <c r="I219" s="149">
        <f ca="1">-MAX(0,MIN(I229,SUM(I$214:I218),I229*$L267))</f>
        <v>-1.4626209636692313</v>
      </c>
      <c r="J219" s="149">
        <f ca="1">-MAX(0,MIN(J229,SUM(J$214:J218),J229*$L267))</f>
        <v>0</v>
      </c>
      <c r="K219" s="149">
        <f ca="1">-MAX(0,MIN(K229,SUM(K$214:K218),K229*$L267))</f>
        <v>0</v>
      </c>
      <c r="L219" s="149">
        <f ca="1">-MAX(0,MIN(L229,SUM(L$214:L218),L229*$L267))</f>
        <v>0</v>
      </c>
      <c r="M219" s="50"/>
    </row>
    <row r="220" spans="3:13" ht="13.5" customHeight="1" outlineLevel="1">
      <c r="C220" s="68" t="str">
        <f>+C210</f>
        <v>Term Loan A</v>
      </c>
      <c r="D220" s="68"/>
      <c r="E220" s="68"/>
      <c r="F220" s="68"/>
      <c r="G220" s="154"/>
      <c r="H220" s="149">
        <f ca="1">-MAX(0,MIN(SUM(H238:H239),SUM(H$214:H219),$G241*$L268))</f>
        <v>0</v>
      </c>
      <c r="I220" s="149">
        <f ca="1">-MAX(0,MIN(SUM(I238:I239),SUM(I$214:I219),$G241*$L268))</f>
        <v>-5.1973899494199625</v>
      </c>
      <c r="J220" s="149">
        <f ca="1">-MAX(0,MIN(SUM(J238:J239),SUM(J$214:J219),$G241*$L268))</f>
        <v>0</v>
      </c>
      <c r="K220" s="149">
        <f ca="1">-MAX(0,MIN(SUM(K238:K239),SUM(K$214:K219),$G241*$L268))</f>
        <v>0</v>
      </c>
      <c r="L220" s="149">
        <f ca="1">-MAX(0,MIN(SUM(L238:L239),SUM(L$214:L219),$G241*$L268))</f>
        <v>0</v>
      </c>
      <c r="M220" s="50"/>
    </row>
    <row r="221" spans="3:13" ht="13.5" customHeight="1" outlineLevel="1">
      <c r="C221" s="68" t="str">
        <f>+C211</f>
        <v>Subordinated - Note 1</v>
      </c>
      <c r="D221" s="68"/>
      <c r="E221" s="68"/>
      <c r="F221" s="68"/>
      <c r="G221" s="154"/>
      <c r="H221" s="149">
        <f ca="1">-MAX(0,MIN(SUM(H244:H245),SUM(H$214:H220),$G247*$L269))</f>
        <v>0</v>
      </c>
      <c r="I221" s="149">
        <f ca="1">-MAX(0,MIN(SUM(I244:I245),SUM(I$214:I220),$G247*$L269))</f>
        <v>0</v>
      </c>
      <c r="J221" s="149">
        <f ca="1">-MAX(0,MIN(SUM(J244:J245),SUM(J$214:J220),$G247*$L269))</f>
        <v>-3.4135199999999991E-2</v>
      </c>
      <c r="K221" s="149">
        <f ca="1">-MAX(0,MIN(SUM(K244:K245),SUM(K$214:K220),$G247*$L269))</f>
        <v>0</v>
      </c>
      <c r="L221" s="149">
        <f ca="1">-MAX(0,MIN(SUM(L244:L245),SUM(L$214:L220),$G247*$L269))</f>
        <v>0</v>
      </c>
      <c r="M221" s="50"/>
    </row>
    <row r="222" spans="3:13" ht="13.5" customHeight="1" outlineLevel="1">
      <c r="C222" s="68" t="str">
        <f>+C212</f>
        <v>Subordinated - Note 2</v>
      </c>
      <c r="D222" s="68"/>
      <c r="E222" s="68"/>
      <c r="F222" s="68"/>
      <c r="G222" s="154"/>
      <c r="H222" s="149">
        <f ca="1">-MAX(0,MIN(SUM(H250:H251),SUM(H$214:H221),$G253*$L270))</f>
        <v>0</v>
      </c>
      <c r="I222" s="149">
        <f ca="1">-MAX(0,MIN(SUM(I250:I251),SUM(I$214:I221),$G253*$L270))</f>
        <v>0</v>
      </c>
      <c r="J222" s="149">
        <f ca="1">-MAX(0,MIN(SUM(J250:J251),SUM(J$214:J221),$G253*$L270))</f>
        <v>-6.3334999999999997E-3</v>
      </c>
      <c r="K222" s="149">
        <f ca="1">-MAX(0,MIN(SUM(K250:K251),SUM(K$214:K221),$G253*$L270))</f>
        <v>-3.8001000000000011E-3</v>
      </c>
      <c r="L222" s="149">
        <f ca="1">-MAX(0,MIN(SUM(L250:L251),SUM(L$214:L221),$G253*$L270))</f>
        <v>0</v>
      </c>
      <c r="M222" s="50"/>
    </row>
    <row r="223" spans="3:13" ht="13.5" customHeight="1" outlineLevel="1">
      <c r="C223" s="65" t="s">
        <v>273</v>
      </c>
      <c r="D223" s="65"/>
      <c r="E223" s="65"/>
      <c r="F223" s="65"/>
      <c r="G223" s="257"/>
      <c r="H223" s="179">
        <f ca="1">+SUM(H219:H222)</f>
        <v>0</v>
      </c>
      <c r="I223" s="179">
        <f t="shared" ref="I223:L223" ca="1" si="58">+SUM(I219:I222)</f>
        <v>-6.6600109130891934</v>
      </c>
      <c r="J223" s="179">
        <f t="shared" ca="1" si="58"/>
        <v>-4.0468699999999989E-2</v>
      </c>
      <c r="K223" s="179">
        <f t="shared" ca="1" si="58"/>
        <v>-3.8001000000000011E-3</v>
      </c>
      <c r="L223" s="179">
        <f t="shared" ca="1" si="58"/>
        <v>0</v>
      </c>
      <c r="M223" s="50"/>
    </row>
    <row r="224" spans="3:13" ht="13.5" customHeight="1" outlineLevel="1">
      <c r="C224" s="258"/>
      <c r="D224" s="53"/>
      <c r="E224" s="53"/>
      <c r="F224" s="259"/>
      <c r="G224" s="259"/>
      <c r="H224" s="259"/>
      <c r="I224" s="259"/>
      <c r="J224" s="259"/>
      <c r="K224" s="259"/>
      <c r="L224" s="259"/>
    </row>
    <row r="225" spans="3:13" ht="5.0999999999999996" customHeight="1" outlineLevel="1">
      <c r="C225" s="59"/>
      <c r="D225" s="59"/>
      <c r="E225" s="59"/>
      <c r="F225" s="60"/>
      <c r="G225" s="60"/>
      <c r="H225" s="60"/>
      <c r="I225" s="60"/>
      <c r="J225" s="60"/>
      <c r="K225" s="60"/>
    </row>
    <row r="226" spans="3:13" ht="13.5" customHeight="1" outlineLevel="1">
      <c r="C226" s="84" t="s">
        <v>201</v>
      </c>
      <c r="D226" s="85"/>
      <c r="E226" s="86"/>
      <c r="F226" s="86"/>
      <c r="G226" s="86"/>
      <c r="H226" s="86"/>
      <c r="I226" s="86"/>
      <c r="J226" s="86"/>
      <c r="K226" s="86"/>
      <c r="L226" s="87"/>
    </row>
    <row r="227" spans="3:13" ht="13.5" customHeight="1" outlineLevel="1">
      <c r="M227" s="30"/>
    </row>
    <row r="228" spans="3:13" ht="13.5" customHeight="1" outlineLevel="1">
      <c r="C228" s="216" t="str">
        <f>+C113</f>
        <v>Revolver</v>
      </c>
      <c r="D228" s="217"/>
      <c r="E228" s="217"/>
      <c r="F228" s="218"/>
      <c r="G228" s="219"/>
      <c r="H228" s="220"/>
      <c r="I228" s="220"/>
      <c r="J228" s="220"/>
      <c r="K228" s="220"/>
      <c r="L228" s="220"/>
    </row>
    <row r="229" spans="3:13" ht="13.5" customHeight="1" outlineLevel="1">
      <c r="C229" s="98" t="s">
        <v>202</v>
      </c>
      <c r="D229" s="118"/>
      <c r="E229" s="118"/>
      <c r="G229" s="149"/>
      <c r="H229" s="152">
        <f>G232</f>
        <v>1.2892999999999999</v>
      </c>
      <c r="I229" s="152">
        <f ca="1">H232</f>
        <v>1.4626209636692313</v>
      </c>
      <c r="J229" s="152">
        <f ca="1">I232</f>
        <v>0</v>
      </c>
      <c r="K229" s="152">
        <f ca="1">J232</f>
        <v>0</v>
      </c>
      <c r="L229" s="152">
        <f ca="1">K232</f>
        <v>0</v>
      </c>
      <c r="M229" s="50"/>
    </row>
    <row r="230" spans="3:13" ht="13.5" customHeight="1" outlineLevel="1">
      <c r="C230" s="91" t="s">
        <v>204</v>
      </c>
      <c r="D230" s="118"/>
      <c r="E230" s="118"/>
      <c r="G230" s="149"/>
      <c r="H230" s="149">
        <f ca="1">H216</f>
        <v>0.17332096366923144</v>
      </c>
      <c r="I230" s="149">
        <f ca="1">I216</f>
        <v>0</v>
      </c>
      <c r="J230" s="149">
        <f ca="1">J216</f>
        <v>0</v>
      </c>
      <c r="K230" s="149">
        <f ca="1">K216</f>
        <v>0</v>
      </c>
      <c r="L230" s="149">
        <f ca="1">L216</f>
        <v>0</v>
      </c>
      <c r="M230" s="50"/>
    </row>
    <row r="231" spans="3:13" ht="13.5" customHeight="1" outlineLevel="1">
      <c r="C231" s="91" t="s">
        <v>206</v>
      </c>
      <c r="D231" s="118"/>
      <c r="E231" s="118"/>
      <c r="G231" s="149"/>
      <c r="H231" s="149">
        <f ca="1">H219</f>
        <v>0</v>
      </c>
      <c r="I231" s="149">
        <f ca="1">I219</f>
        <v>-1.4626209636692313</v>
      </c>
      <c r="J231" s="149">
        <f ca="1">J219</f>
        <v>0</v>
      </c>
      <c r="K231" s="149">
        <f ca="1">K219</f>
        <v>0</v>
      </c>
      <c r="L231" s="149">
        <f ca="1">L219</f>
        <v>0</v>
      </c>
      <c r="M231" s="50"/>
    </row>
    <row r="232" spans="3:13" ht="13.5" customHeight="1" outlineLevel="1">
      <c r="C232" s="65" t="s">
        <v>207</v>
      </c>
      <c r="D232" s="65"/>
      <c r="E232" s="65"/>
      <c r="F232" s="65"/>
      <c r="G232" s="260">
        <f>G78</f>
        <v>1.2892999999999999</v>
      </c>
      <c r="H232" s="260">
        <f ca="1">SUM(H229:H231)</f>
        <v>1.4626209636692313</v>
      </c>
      <c r="I232" s="260">
        <f ca="1">SUM(I229:I231)</f>
        <v>0</v>
      </c>
      <c r="J232" s="260">
        <f ca="1">SUM(J229:J231)</f>
        <v>0</v>
      </c>
      <c r="K232" s="260">
        <f ca="1">SUM(K229:K231)</f>
        <v>0</v>
      </c>
      <c r="L232" s="260">
        <f ca="1">SUM(L229:L231)</f>
        <v>0</v>
      </c>
      <c r="M232" s="50"/>
    </row>
    <row r="233" spans="3:13" ht="13.5" customHeight="1" outlineLevel="1">
      <c r="C233" s="68"/>
      <c r="D233" s="68"/>
      <c r="E233" s="68"/>
      <c r="F233" s="68"/>
      <c r="G233" s="147"/>
      <c r="H233" s="154"/>
      <c r="I233" s="68"/>
      <c r="J233" s="68"/>
      <c r="K233" s="68"/>
      <c r="L233" s="68"/>
    </row>
    <row r="234" spans="3:13" ht="13.5" customHeight="1" outlineLevel="1">
      <c r="C234" s="68" t="s">
        <v>209</v>
      </c>
      <c r="D234" s="68"/>
      <c r="E234" s="68"/>
      <c r="F234" s="68"/>
      <c r="G234" s="159">
        <v>30</v>
      </c>
      <c r="H234" s="159">
        <v>30</v>
      </c>
      <c r="I234" s="159">
        <v>30</v>
      </c>
      <c r="J234" s="159">
        <v>30</v>
      </c>
      <c r="K234" s="159">
        <v>30</v>
      </c>
      <c r="L234" s="159">
        <v>30</v>
      </c>
      <c r="M234" s="50"/>
    </row>
    <row r="235" spans="3:13" ht="13.5" customHeight="1" outlineLevel="1">
      <c r="C235" s="98" t="s">
        <v>211</v>
      </c>
      <c r="D235" s="223"/>
      <c r="E235" s="223"/>
      <c r="F235" s="223"/>
      <c r="G235" s="177">
        <f t="shared" ref="G235:L235" si="59">G234-G232</f>
        <v>28.710699999999999</v>
      </c>
      <c r="H235" s="177">
        <f t="shared" ca="1" si="59"/>
        <v>28.537379036330769</v>
      </c>
      <c r="I235" s="177">
        <f t="shared" ca="1" si="59"/>
        <v>30</v>
      </c>
      <c r="J235" s="177">
        <f t="shared" ca="1" si="59"/>
        <v>30</v>
      </c>
      <c r="K235" s="177">
        <f t="shared" ca="1" si="59"/>
        <v>30</v>
      </c>
      <c r="L235" s="177">
        <f t="shared" ca="1" si="59"/>
        <v>30</v>
      </c>
      <c r="M235" s="50"/>
    </row>
    <row r="236" spans="3:13" ht="13.5" customHeight="1" outlineLevel="1">
      <c r="C236" s="68"/>
      <c r="G236" s="68"/>
      <c r="H236" s="68"/>
      <c r="I236" s="68"/>
      <c r="J236" s="68"/>
      <c r="K236" s="68"/>
      <c r="L236" s="68"/>
    </row>
    <row r="237" spans="3:13" ht="13.5" customHeight="1" outlineLevel="1">
      <c r="C237" s="216" t="str">
        <f>+C114</f>
        <v>Term Loan A</v>
      </c>
      <c r="D237" s="217"/>
      <c r="E237" s="217"/>
      <c r="F237" s="218"/>
      <c r="G237" s="219"/>
      <c r="H237" s="224"/>
      <c r="I237" s="224"/>
      <c r="J237" s="225"/>
      <c r="K237" s="225"/>
      <c r="L237" s="225"/>
    </row>
    <row r="238" spans="3:13" ht="13.5" customHeight="1" outlineLevel="1">
      <c r="C238" s="98" t="s">
        <v>202</v>
      </c>
      <c r="D238" s="118"/>
      <c r="E238" s="118"/>
      <c r="G238" s="149"/>
      <c r="H238" s="152">
        <f>G241</f>
        <v>12.001450999999999</v>
      </c>
      <c r="I238" s="152">
        <f ca="1">H241</f>
        <v>9.6011607999999988</v>
      </c>
      <c r="J238" s="152">
        <f ca="1">I241</f>
        <v>2.0034806505800358</v>
      </c>
      <c r="K238" s="152">
        <f ca="1">J241</f>
        <v>0</v>
      </c>
      <c r="L238" s="152">
        <f ca="1">K241</f>
        <v>0</v>
      </c>
      <c r="M238" s="50"/>
    </row>
    <row r="239" spans="3:13" ht="13.5" customHeight="1" outlineLevel="1">
      <c r="C239" s="91" t="s">
        <v>214</v>
      </c>
      <c r="D239" s="118"/>
      <c r="E239" s="118"/>
      <c r="G239" s="149"/>
      <c r="H239" s="177">
        <f>-MIN(($G241*H258),H238)</f>
        <v>-2.4002902000000002</v>
      </c>
      <c r="I239" s="177">
        <f ca="1">-MIN(($G241*I258),I238)</f>
        <v>-2.4002902000000002</v>
      </c>
      <c r="J239" s="177">
        <f ca="1">-MIN(($G241*J258),J238)</f>
        <v>-2.0034806505800358</v>
      </c>
      <c r="K239" s="177">
        <f ca="1">-MIN(($G241*K258),K238)</f>
        <v>0</v>
      </c>
      <c r="L239" s="177">
        <f ca="1">-MIN(($G241*L258),L238)</f>
        <v>0</v>
      </c>
      <c r="M239" s="50"/>
    </row>
    <row r="240" spans="3:13" ht="13.5" customHeight="1" outlineLevel="1">
      <c r="C240" s="91" t="s">
        <v>216</v>
      </c>
      <c r="D240" s="118"/>
      <c r="E240" s="118"/>
      <c r="G240" s="149"/>
      <c r="H240" s="177">
        <f ca="1">H220</f>
        <v>0</v>
      </c>
      <c r="I240" s="177">
        <f t="shared" ref="I240:L240" ca="1" si="60">I220</f>
        <v>-5.1973899494199625</v>
      </c>
      <c r="J240" s="177">
        <f t="shared" ca="1" si="60"/>
        <v>0</v>
      </c>
      <c r="K240" s="177">
        <f t="shared" ca="1" si="60"/>
        <v>0</v>
      </c>
      <c r="L240" s="177">
        <f t="shared" ca="1" si="60"/>
        <v>0</v>
      </c>
      <c r="M240" s="50"/>
    </row>
    <row r="241" spans="3:13" ht="13.5" customHeight="1" outlineLevel="1">
      <c r="C241" s="65" t="s">
        <v>207</v>
      </c>
      <c r="D241" s="65"/>
      <c r="E241" s="65"/>
      <c r="F241" s="65"/>
      <c r="G241" s="260">
        <f>G79</f>
        <v>12.001450999999999</v>
      </c>
      <c r="H241" s="261">
        <f ca="1">SUM(H238:H240)</f>
        <v>9.6011607999999988</v>
      </c>
      <c r="I241" s="261">
        <f ca="1">SUM(I238:I240)</f>
        <v>2.0034806505800358</v>
      </c>
      <c r="J241" s="261">
        <f ca="1">SUM(J238:J240)</f>
        <v>0</v>
      </c>
      <c r="K241" s="261">
        <f ca="1">SUM(K238:K240)</f>
        <v>0</v>
      </c>
      <c r="L241" s="261">
        <f ca="1">SUM(L238:L240)</f>
        <v>0</v>
      </c>
      <c r="M241" s="50"/>
    </row>
    <row r="242" spans="3:13" ht="13.5" customHeight="1" outlineLevel="1">
      <c r="C242" s="68"/>
      <c r="G242" s="68"/>
      <c r="H242" s="68"/>
      <c r="I242" s="68"/>
      <c r="J242" s="68"/>
      <c r="K242" s="68"/>
      <c r="L242" s="68"/>
    </row>
    <row r="243" spans="3:13" ht="13.5" customHeight="1" outlineLevel="1">
      <c r="C243" s="216" t="str">
        <f>+C115</f>
        <v>Subordinated - Note 1</v>
      </c>
      <c r="D243" s="217"/>
      <c r="E243" s="217"/>
      <c r="F243" s="218"/>
      <c r="G243" s="219"/>
      <c r="H243" s="224"/>
      <c r="I243" s="224"/>
      <c r="J243" s="225"/>
      <c r="K243" s="225"/>
      <c r="L243" s="225"/>
    </row>
    <row r="244" spans="3:13" ht="13.5" customHeight="1" outlineLevel="1">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3:13" ht="13.5" customHeight="1" outlineLevel="1">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3:13" ht="13.5" customHeight="1" outlineLevel="1">
      <c r="C246" s="91" t="s">
        <v>216</v>
      </c>
      <c r="D246" s="118"/>
      <c r="E246" s="118"/>
      <c r="G246" s="154"/>
      <c r="H246" s="177">
        <f ca="1">H221</f>
        <v>0</v>
      </c>
      <c r="I246" s="177">
        <f ca="1">I221</f>
        <v>0</v>
      </c>
      <c r="J246" s="177">
        <f ca="1">J221</f>
        <v>-3.4135199999999991E-2</v>
      </c>
      <c r="K246" s="177">
        <f ca="1">K221</f>
        <v>0</v>
      </c>
      <c r="L246" s="177">
        <f ca="1">L221</f>
        <v>0</v>
      </c>
      <c r="M246" s="50"/>
    </row>
    <row r="247" spans="3:13" ht="13.5" customHeight="1" outlineLevel="1">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3:13" ht="13.5" customHeight="1" outlineLevel="1">
      <c r="C248" s="68"/>
      <c r="G248" s="68"/>
      <c r="H248" s="68"/>
      <c r="I248" s="68"/>
      <c r="J248" s="68"/>
      <c r="K248" s="68"/>
      <c r="L248" s="68"/>
    </row>
    <row r="249" spans="3:13" ht="13.5" customHeight="1" outlineLevel="1">
      <c r="C249" s="216" t="str">
        <f>+C116</f>
        <v>Subordinated - Note 2</v>
      </c>
      <c r="D249" s="217"/>
      <c r="E249" s="217"/>
      <c r="F249" s="218"/>
      <c r="G249" s="219"/>
      <c r="H249" s="224"/>
      <c r="I249" s="224"/>
      <c r="J249" s="225"/>
      <c r="K249" s="225"/>
      <c r="L249" s="225"/>
    </row>
    <row r="250" spans="3:13" ht="13.5" customHeight="1" outlineLevel="1">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3:13" ht="13.5" customHeight="1" outlineLevel="1">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3:13" ht="13.5" customHeight="1" outlineLevel="1">
      <c r="C252" s="91" t="s">
        <v>216</v>
      </c>
      <c r="D252" s="118"/>
      <c r="E252" s="118"/>
      <c r="G252" s="154"/>
      <c r="H252" s="177">
        <f ca="1">H222</f>
        <v>0</v>
      </c>
      <c r="I252" s="177">
        <f t="shared" ref="I252:L252" ca="1" si="61">I222</f>
        <v>0</v>
      </c>
      <c r="J252" s="177">
        <f t="shared" ca="1" si="61"/>
        <v>-6.3334999999999997E-3</v>
      </c>
      <c r="K252" s="177">
        <f t="shared" ca="1" si="61"/>
        <v>-3.8001000000000011E-3</v>
      </c>
      <c r="L252" s="177">
        <f t="shared" ca="1" si="61"/>
        <v>0</v>
      </c>
      <c r="M252" s="50"/>
    </row>
    <row r="253" spans="3:13" ht="13.5" customHeight="1" outlineLevel="1">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3:13" ht="13.5" customHeight="1" outlineLevel="1">
      <c r="C254" s="68"/>
      <c r="G254" s="68"/>
      <c r="H254" s="68"/>
      <c r="I254" s="68"/>
      <c r="J254" s="68"/>
      <c r="K254" s="68"/>
      <c r="L254" s="68"/>
    </row>
    <row r="255" spans="3:13" ht="13.5" customHeight="1" outlineLevel="1">
      <c r="C255" s="84" t="s">
        <v>221</v>
      </c>
      <c r="D255" s="85"/>
      <c r="E255" s="86"/>
      <c r="F255" s="86"/>
      <c r="G255" s="234" t="s">
        <v>222</v>
      </c>
      <c r="H255" s="86"/>
      <c r="I255" s="86"/>
      <c r="J255" s="86"/>
      <c r="K255" s="86"/>
      <c r="L255" s="87"/>
    </row>
    <row r="256" spans="3:13" ht="13.5" customHeight="1" outlineLevel="1">
      <c r="C256" s="68"/>
    </row>
    <row r="257" spans="3:13" ht="13.5" customHeight="1" outlineLevel="1">
      <c r="C257" s="68"/>
      <c r="G257" s="235" t="s">
        <v>222</v>
      </c>
      <c r="H257" s="236" t="s">
        <v>223</v>
      </c>
      <c r="I257" s="237"/>
      <c r="J257" s="237"/>
      <c r="K257" s="237"/>
      <c r="L257" s="237"/>
    </row>
    <row r="258" spans="3:13" ht="13.5" customHeight="1" outlineLevel="1">
      <c r="C258" s="68" t="str">
        <f>+C237</f>
        <v>Term Loan A</v>
      </c>
      <c r="G258" s="152">
        <f>G241</f>
        <v>12.001450999999999</v>
      </c>
      <c r="H258" s="263">
        <v>0.2</v>
      </c>
      <c r="I258" s="263">
        <v>0.2</v>
      </c>
      <c r="J258" s="263">
        <v>0.2</v>
      </c>
      <c r="K258" s="263">
        <v>0.2</v>
      </c>
      <c r="L258" s="263">
        <v>0.2</v>
      </c>
      <c r="M258" s="50"/>
    </row>
    <row r="259" spans="3:13" ht="13.5" customHeight="1" outlineLevel="1">
      <c r="C259" s="68" t="str">
        <f>+C243</f>
        <v>Subordinated - Note 1</v>
      </c>
      <c r="G259" s="152">
        <f>G247</f>
        <v>8.5337999999999997E-2</v>
      </c>
      <c r="H259" s="263">
        <v>0.2</v>
      </c>
      <c r="I259" s="263">
        <v>0.2</v>
      </c>
      <c r="J259" s="263">
        <v>0.2</v>
      </c>
      <c r="K259" s="263">
        <v>0.2</v>
      </c>
      <c r="L259" s="263">
        <v>0.2</v>
      </c>
      <c r="M259" s="50"/>
    </row>
    <row r="260" spans="3:13" ht="13.5" customHeight="1" outlineLevel="1">
      <c r="C260" s="68" t="str">
        <f>+C249</f>
        <v>Subordinated - Note 2</v>
      </c>
      <c r="G260" s="152">
        <f>G253</f>
        <v>1.2666999999999999E-2</v>
      </c>
      <c r="H260" s="263">
        <v>0.05</v>
      </c>
      <c r="I260" s="263">
        <v>0.05</v>
      </c>
      <c r="J260" s="263">
        <v>0.05</v>
      </c>
      <c r="K260" s="263">
        <v>0.05</v>
      </c>
      <c r="L260" s="263">
        <v>0.8</v>
      </c>
      <c r="M260" s="50"/>
    </row>
    <row r="261" spans="3:13" ht="13.5" customHeight="1" outlineLevel="1">
      <c r="C261" s="68"/>
    </row>
    <row r="262" spans="3:13" ht="13.5" customHeight="1" outlineLevel="1">
      <c r="C262" s="84" t="s">
        <v>227</v>
      </c>
      <c r="D262" s="85"/>
      <c r="E262" s="86"/>
      <c r="F262" s="86"/>
      <c r="G262" s="86"/>
      <c r="H262" s="86"/>
      <c r="I262" s="86"/>
      <c r="J262" s="86"/>
      <c r="K262" s="86"/>
      <c r="L262" s="87"/>
    </row>
    <row r="263" spans="3:13" ht="13.5" customHeight="1" outlineLevel="1">
      <c r="C263" s="68"/>
    </row>
    <row r="264" spans="3:13" ht="13.5" customHeight="1" outlineLevel="1">
      <c r="C264" s="239"/>
      <c r="D264" s="240"/>
      <c r="E264" s="240"/>
      <c r="H264" s="54"/>
      <c r="I264" s="54" t="s">
        <v>228</v>
      </c>
      <c r="J264" s="54" t="s">
        <v>229</v>
      </c>
      <c r="K264" s="54" t="s">
        <v>230</v>
      </c>
      <c r="L264" s="54" t="s">
        <v>98</v>
      </c>
    </row>
    <row r="265" spans="3:13" ht="13.5" customHeight="1" outlineLevel="1" thickBot="1">
      <c r="C265" s="241"/>
      <c r="D265" s="242"/>
      <c r="E265" s="242"/>
      <c r="F265" s="243"/>
      <c r="G265" s="244" t="s">
        <v>231</v>
      </c>
      <c r="H265" s="243" t="s">
        <v>232</v>
      </c>
      <c r="I265" s="243" t="s">
        <v>232</v>
      </c>
      <c r="J265" s="243" t="s">
        <v>232</v>
      </c>
      <c r="K265" s="243" t="s">
        <v>233</v>
      </c>
      <c r="L265" s="243" t="s">
        <v>234</v>
      </c>
      <c r="M265" s="50"/>
    </row>
    <row r="266" spans="3:13" ht="5.0999999999999996" customHeight="1" outlineLevel="1">
      <c r="C266" s="98"/>
      <c r="D266" s="118"/>
      <c r="E266" s="118"/>
      <c r="F266" s="245"/>
      <c r="G266" s="245"/>
      <c r="H266" s="245"/>
      <c r="I266" s="245"/>
      <c r="J266" s="245"/>
      <c r="K266" s="118"/>
    </row>
    <row r="267" spans="3:13" ht="13.5" customHeight="1" outlineLevel="1">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3:13" ht="13.5" customHeight="1" outlineLevel="1">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3:13" ht="13.5" customHeight="1" outlineLevel="1">
      <c r="C269" s="98" t="str">
        <f>+C243</f>
        <v>Subordinated - Note 1</v>
      </c>
      <c r="D269" s="118"/>
      <c r="E269" s="118"/>
      <c r="F269" s="264"/>
      <c r="G269" s="265" t="s">
        <v>242</v>
      </c>
      <c r="H269" s="265" t="s">
        <v>241</v>
      </c>
      <c r="I269" s="265" t="s">
        <v>241</v>
      </c>
      <c r="J269" s="265" t="s">
        <v>241</v>
      </c>
      <c r="K269" s="265">
        <v>0.12</v>
      </c>
      <c r="L269" s="267">
        <v>1</v>
      </c>
      <c r="M269" s="50"/>
    </row>
    <row r="270" spans="3:13" ht="13.5" customHeight="1" outlineLevel="1">
      <c r="C270" s="98" t="str">
        <f>+C249</f>
        <v>Subordinated - Note 2</v>
      </c>
      <c r="D270" s="118"/>
      <c r="E270" s="118"/>
      <c r="F270" s="264"/>
      <c r="G270" s="265" t="s">
        <v>242</v>
      </c>
      <c r="H270" s="265" t="s">
        <v>241</v>
      </c>
      <c r="I270" s="265" t="s">
        <v>241</v>
      </c>
      <c r="J270" s="265" t="s">
        <v>241</v>
      </c>
      <c r="K270" s="265">
        <v>0.14499999999999999</v>
      </c>
      <c r="L270" s="267">
        <v>0.5</v>
      </c>
      <c r="M270" s="50"/>
    </row>
    <row r="271" spans="3:13" ht="5.0999999999999996" customHeight="1" outlineLevel="1" thickBot="1">
      <c r="C271" s="157"/>
      <c r="D271" s="157"/>
      <c r="E271" s="157"/>
      <c r="F271" s="83"/>
      <c r="G271" s="83"/>
      <c r="H271" s="83"/>
      <c r="I271" s="83"/>
      <c r="J271" s="83"/>
      <c r="K271" s="83"/>
      <c r="L271" s="83"/>
    </row>
    <row r="272" spans="3:13" ht="13.5" customHeight="1" outlineLevel="1"/>
    <row r="273" spans="1:13" ht="13.5" customHeight="1" outlineLevel="1">
      <c r="A273" s="125"/>
      <c r="C273" s="84" t="s">
        <v>284</v>
      </c>
      <c r="D273" s="85"/>
      <c r="E273" s="86"/>
      <c r="F273" s="86"/>
      <c r="G273" s="86"/>
      <c r="H273" s="86"/>
      <c r="I273" s="86"/>
      <c r="J273" s="86"/>
      <c r="K273" s="86"/>
      <c r="L273" s="87"/>
      <c r="M273" s="50" t="s">
        <v>285</v>
      </c>
    </row>
    <row r="274" spans="1:13" ht="13.5" customHeight="1" outlineLevel="1">
      <c r="A274" s="125"/>
      <c r="M274" s="30"/>
    </row>
    <row r="275" spans="1:13" ht="13.5" customHeight="1" outlineLevel="1">
      <c r="A275" s="125"/>
      <c r="C275" s="98" t="s">
        <v>232</v>
      </c>
      <c r="H275" s="269">
        <f>H267</f>
        <v>3.7100000000000001E-2</v>
      </c>
      <c r="I275" s="269">
        <f>H275</f>
        <v>3.7100000000000001E-2</v>
      </c>
      <c r="J275" s="269">
        <f t="shared" ref="J275:L276" si="62">I275</f>
        <v>3.7100000000000001E-2</v>
      </c>
      <c r="K275" s="269">
        <f t="shared" si="62"/>
        <v>3.7100000000000001E-2</v>
      </c>
      <c r="L275" s="269">
        <f t="shared" si="62"/>
        <v>3.7100000000000001E-2</v>
      </c>
      <c r="M275" s="50" t="s">
        <v>286</v>
      </c>
    </row>
    <row r="276" spans="1:13" ht="13.5" customHeight="1" outlineLevel="1">
      <c r="A276" s="125"/>
      <c r="C276" s="98" t="s">
        <v>287</v>
      </c>
      <c r="H276" s="270">
        <v>2.5000000000000001E-3</v>
      </c>
      <c r="I276" s="270">
        <f>H276</f>
        <v>2.5000000000000001E-3</v>
      </c>
      <c r="J276" s="270">
        <f t="shared" si="62"/>
        <v>2.5000000000000001E-3</v>
      </c>
      <c r="K276" s="270">
        <f t="shared" si="62"/>
        <v>2.5000000000000001E-3</v>
      </c>
      <c r="L276" s="270">
        <f t="shared" si="62"/>
        <v>2.5000000000000001E-3</v>
      </c>
      <c r="M276" s="50" t="s">
        <v>288</v>
      </c>
    </row>
    <row r="277" spans="1:13" ht="13.5" customHeight="1" outlineLevel="1">
      <c r="A277" s="125"/>
      <c r="C277" s="68"/>
      <c r="H277" s="270"/>
      <c r="I277" s="270"/>
      <c r="J277" s="270"/>
      <c r="K277" s="270"/>
      <c r="L277" s="270"/>
      <c r="M277" s="30"/>
    </row>
    <row r="278" spans="1:13" ht="13.5" customHeight="1" outlineLevel="1">
      <c r="A278" s="125"/>
      <c r="C278" s="68" t="str">
        <f>+C267</f>
        <v>Revolver</v>
      </c>
      <c r="H278" s="269">
        <f>J267</f>
        <v>7.9600000000000004E-2</v>
      </c>
      <c r="I278" s="269">
        <f t="shared" ref="I278:L281" si="63">H278</f>
        <v>7.9600000000000004E-2</v>
      </c>
      <c r="J278" s="269">
        <f t="shared" si="63"/>
        <v>7.9600000000000004E-2</v>
      </c>
      <c r="K278" s="269">
        <f t="shared" si="63"/>
        <v>7.9600000000000004E-2</v>
      </c>
      <c r="L278" s="269">
        <f t="shared" si="63"/>
        <v>7.9600000000000004E-2</v>
      </c>
      <c r="M278" s="50" t="s">
        <v>289</v>
      </c>
    </row>
    <row r="279" spans="1:13" ht="13.5" customHeight="1" outlineLevel="1">
      <c r="A279" s="125"/>
      <c r="C279" s="68" t="str">
        <f>+C268</f>
        <v>Term Loan A</v>
      </c>
      <c r="H279" s="269">
        <f>J268</f>
        <v>8.4600000000000009E-2</v>
      </c>
      <c r="I279" s="269">
        <f t="shared" si="63"/>
        <v>8.4600000000000009E-2</v>
      </c>
      <c r="J279" s="269">
        <f t="shared" si="63"/>
        <v>8.4600000000000009E-2</v>
      </c>
      <c r="K279" s="269">
        <f t="shared" si="63"/>
        <v>8.4600000000000009E-2</v>
      </c>
      <c r="L279" s="269">
        <f t="shared" si="63"/>
        <v>8.4600000000000009E-2</v>
      </c>
      <c r="M279" s="50" t="s">
        <v>290</v>
      </c>
    </row>
    <row r="280" spans="1:13" ht="13.5" customHeight="1" outlineLevel="1">
      <c r="A280" s="125"/>
      <c r="C280" s="68" t="str">
        <f t="shared" ref="C280:C281" si="64">+C269</f>
        <v>Subordinated - Note 1</v>
      </c>
      <c r="H280" s="269">
        <f>K269</f>
        <v>0.12</v>
      </c>
      <c r="I280" s="269">
        <f t="shared" si="63"/>
        <v>0.12</v>
      </c>
      <c r="J280" s="269">
        <f t="shared" si="63"/>
        <v>0.12</v>
      </c>
      <c r="K280" s="269">
        <f t="shared" si="63"/>
        <v>0.12</v>
      </c>
      <c r="L280" s="269">
        <f t="shared" si="63"/>
        <v>0.12</v>
      </c>
      <c r="M280" s="50" t="s">
        <v>290</v>
      </c>
    </row>
    <row r="281" spans="1:13" ht="13.5" customHeight="1" outlineLevel="1">
      <c r="A281" s="125"/>
      <c r="C281" s="68" t="str">
        <f t="shared" si="64"/>
        <v>Subordinated - Note 2</v>
      </c>
      <c r="H281" s="269">
        <f>K270</f>
        <v>0.14499999999999999</v>
      </c>
      <c r="I281" s="269">
        <f t="shared" si="63"/>
        <v>0.14499999999999999</v>
      </c>
      <c r="J281" s="269">
        <f t="shared" si="63"/>
        <v>0.14499999999999999</v>
      </c>
      <c r="K281" s="269">
        <f t="shared" si="63"/>
        <v>0.14499999999999999</v>
      </c>
      <c r="L281" s="269">
        <f t="shared" si="63"/>
        <v>0.14499999999999999</v>
      </c>
      <c r="M281" s="50" t="s">
        <v>290</v>
      </c>
    </row>
    <row r="282" spans="1:13" ht="13.5" customHeight="1" outlineLevel="1">
      <c r="A282" s="125"/>
      <c r="C282" s="68"/>
      <c r="M282" s="30"/>
    </row>
    <row r="283" spans="1:13" ht="13.5" customHeight="1" outlineLevel="1">
      <c r="A283" s="125"/>
      <c r="C283" s="84" t="s">
        <v>291</v>
      </c>
      <c r="D283" s="85"/>
      <c r="E283" s="86"/>
      <c r="F283" s="86"/>
      <c r="G283" s="86"/>
      <c r="H283" s="86"/>
      <c r="I283" s="86"/>
      <c r="J283" s="86"/>
      <c r="K283" s="86"/>
      <c r="L283" s="87"/>
      <c r="M283" s="30"/>
    </row>
    <row r="284" spans="1:13" ht="13.5" customHeight="1" outlineLevel="1">
      <c r="A284" s="125"/>
      <c r="C284" s="68"/>
      <c r="M284" s="30"/>
    </row>
    <row r="285" spans="1:13" ht="13.5" customHeight="1" outlineLevel="1">
      <c r="A285" s="125"/>
      <c r="C285" s="98" t="s">
        <v>287</v>
      </c>
      <c r="H285" s="165">
        <f ca="1">H276*H235</f>
        <v>7.1343447590826919E-2</v>
      </c>
      <c r="I285" s="165">
        <f ca="1">I276*I235</f>
        <v>7.4999999999999997E-2</v>
      </c>
      <c r="J285" s="165">
        <f ca="1">J276*J235</f>
        <v>7.4999999999999997E-2</v>
      </c>
      <c r="K285" s="165">
        <f ca="1">K276*K235</f>
        <v>7.4999999999999997E-2</v>
      </c>
      <c r="L285" s="165">
        <f ca="1">L276*L235</f>
        <v>7.4999999999999997E-2</v>
      </c>
      <c r="M285" s="50" t="s">
        <v>292</v>
      </c>
    </row>
    <row r="286" spans="1:13" ht="13.5" customHeight="1" outlineLevel="1">
      <c r="A286" s="125"/>
      <c r="C286" s="68"/>
      <c r="H286" s="129"/>
      <c r="I286" s="129"/>
      <c r="J286" s="129"/>
      <c r="K286" s="129"/>
      <c r="L286" s="129"/>
      <c r="M286" s="30"/>
    </row>
    <row r="287" spans="1:13" ht="13.5" customHeight="1" outlineLevel="1">
      <c r="A287" s="125"/>
      <c r="C287" s="68" t="str">
        <f>+C278</f>
        <v>Revolver</v>
      </c>
      <c r="H287" s="165">
        <f ca="1">H278*AVERAGE(H229,H232)</f>
        <v>0.10952645435403541</v>
      </c>
      <c r="I287" s="165">
        <f ca="1">I278*AVERAGE(I229,I232)</f>
        <v>5.8212314354035413E-2</v>
      </c>
      <c r="J287" s="165">
        <f ca="1">J278*AVERAGE(J229,J232)</f>
        <v>0</v>
      </c>
      <c r="K287" s="165">
        <f ca="1">K278*AVERAGE(K229,K232)</f>
        <v>0</v>
      </c>
      <c r="L287" s="165">
        <f ca="1">L278*AVERAGE(L229,L232)</f>
        <v>0</v>
      </c>
      <c r="M287" s="50" t="s">
        <v>293</v>
      </c>
    </row>
    <row r="288" spans="1:13" ht="13.5" customHeight="1" outlineLevel="1">
      <c r="A288" s="125"/>
      <c r="C288" s="68" t="str">
        <f t="shared" ref="C288:C290" si="65">+C279</f>
        <v>Term Loan A</v>
      </c>
      <c r="H288" s="165">
        <f ca="1">H279*AVERAGE(H238,H241)</f>
        <v>0.91379047914</v>
      </c>
      <c r="I288" s="165">
        <f ca="1">I279*AVERAGE(I238,I241)</f>
        <v>0.49087633335953551</v>
      </c>
      <c r="J288" s="165">
        <f ca="1">J279*AVERAGE(J238,J241)</f>
        <v>8.4747231519535518E-2</v>
      </c>
      <c r="K288" s="165">
        <f ca="1">K279*AVERAGE(K238,K241)</f>
        <v>0</v>
      </c>
      <c r="L288" s="165">
        <f ca="1">L279*AVERAGE(L238,L241)</f>
        <v>0</v>
      </c>
      <c r="M288" s="50" t="s">
        <v>294</v>
      </c>
    </row>
    <row r="289" spans="1:19" ht="13.5" customHeight="1" outlineLevel="1">
      <c r="A289" s="125"/>
      <c r="C289" s="68" t="str">
        <f t="shared" si="65"/>
        <v>Subordinated - Note 1</v>
      </c>
      <c r="H289" s="165">
        <f ca="1">H280*AVERAGE(H244,H247)</f>
        <v>9.2165039999999986E-3</v>
      </c>
      <c r="I289" s="165">
        <f ca="1">I280*AVERAGE(I244,I247)</f>
        <v>7.1683919999999991E-3</v>
      </c>
      <c r="J289" s="165">
        <f ca="1">J280*AVERAGE(J244,J247)</f>
        <v>3.0721679999999993E-3</v>
      </c>
      <c r="K289" s="165">
        <f ca="1">K280*AVERAGE(K244,K247)</f>
        <v>0</v>
      </c>
      <c r="L289" s="165">
        <f ca="1">L280*AVERAGE(L244,L247)</f>
        <v>0</v>
      </c>
      <c r="M289" s="50" t="s">
        <v>295</v>
      </c>
    </row>
    <row r="290" spans="1:19" ht="13.5" customHeight="1" outlineLevel="1">
      <c r="A290" s="125"/>
      <c r="C290" s="68" t="str">
        <f t="shared" si="65"/>
        <v>Subordinated - Note 2</v>
      </c>
      <c r="H290" s="165">
        <f ca="1">H281*AVERAGE(H250,H253)</f>
        <v>1.7907971249999997E-3</v>
      </c>
      <c r="I290" s="165">
        <f ca="1">I281*AVERAGE(I250,I253)</f>
        <v>1.6989613749999999E-3</v>
      </c>
      <c r="J290" s="165">
        <f ca="1">J281*AVERAGE(J250,J253)</f>
        <v>1.1479468749999999E-3</v>
      </c>
      <c r="K290" s="165">
        <f ca="1">K281*AVERAGE(K250,K253)</f>
        <v>3.2142512500000006E-4</v>
      </c>
      <c r="L290" s="165">
        <f ca="1">L281*AVERAGE(L250,L253)</f>
        <v>0</v>
      </c>
      <c r="M290" s="50" t="s">
        <v>296</v>
      </c>
    </row>
    <row r="291" spans="1:19" ht="13.5" customHeight="1" outlineLevel="1">
      <c r="A291" s="125"/>
      <c r="C291" s="68"/>
      <c r="H291" s="129"/>
      <c r="I291" s="129"/>
      <c r="J291" s="129"/>
      <c r="K291" s="129"/>
      <c r="L291" s="129"/>
      <c r="M291" s="30"/>
    </row>
    <row r="292" spans="1:19" ht="13.5" customHeight="1" outlineLevel="1">
      <c r="A292" s="125"/>
      <c r="C292" s="98" t="s">
        <v>297</v>
      </c>
      <c r="H292" s="165">
        <f ca="1">SUM(H285:H291)</f>
        <v>1.1056676822098623</v>
      </c>
      <c r="I292" s="165">
        <f ca="1">SUM(I285:I291)</f>
        <v>0.63295600108857097</v>
      </c>
      <c r="J292" s="165">
        <f ca="1">SUM(J285:J291)</f>
        <v>0.1639673463945355</v>
      </c>
      <c r="K292" s="165">
        <f ca="1">SUM(K285:K291)</f>
        <v>7.5321425124999994E-2</v>
      </c>
      <c r="L292" s="165">
        <f ca="1">SUM(L285:L291)</f>
        <v>7.4999999999999997E-2</v>
      </c>
      <c r="M292" s="50" t="s">
        <v>298</v>
      </c>
    </row>
    <row r="293" spans="1:19" ht="13.5" customHeight="1">
      <c r="M293" s="30"/>
    </row>
    <row r="295" spans="1:19" ht="19.5" customHeight="1">
      <c r="A295" s="82"/>
      <c r="B295" s="82"/>
      <c r="C295" s="121"/>
      <c r="D295" s="82"/>
      <c r="E295" s="82"/>
      <c r="F295" s="82"/>
      <c r="G295" s="82"/>
      <c r="H295" s="82"/>
      <c r="I295" s="82"/>
      <c r="J295" s="82"/>
      <c r="K295" s="82"/>
      <c r="L295" s="82"/>
      <c r="M295" s="82"/>
      <c r="N295" s="82"/>
      <c r="O295" s="82"/>
      <c r="P295" s="82"/>
      <c r="Q295" s="82"/>
      <c r="R295" s="82"/>
      <c r="S295" s="82"/>
    </row>
    <row r="296" spans="1:19" ht="5.0999999999999996" customHeight="1">
      <c r="A296" s="82"/>
      <c r="B296" s="82"/>
      <c r="C296" s="82"/>
      <c r="D296" s="82"/>
      <c r="E296" s="82"/>
      <c r="F296" s="82"/>
      <c r="G296" s="82"/>
      <c r="H296" s="82"/>
      <c r="I296" s="82"/>
      <c r="J296" s="82"/>
      <c r="K296" s="82"/>
      <c r="L296" s="82"/>
      <c r="M296" s="82"/>
      <c r="N296" s="82"/>
      <c r="O296" s="82"/>
      <c r="P296" s="82"/>
      <c r="Q296" s="82"/>
      <c r="R296" s="82"/>
      <c r="S296" s="82"/>
    </row>
    <row r="297" spans="1:19" ht="13.5" customHeight="1">
      <c r="A297" s="82"/>
      <c r="B297" s="82"/>
      <c r="C297" s="123"/>
      <c r="D297" s="82"/>
      <c r="E297" s="82"/>
      <c r="F297" s="82"/>
      <c r="G297" s="82"/>
      <c r="H297" s="82"/>
      <c r="I297" s="82"/>
      <c r="J297" s="82"/>
      <c r="K297" s="82"/>
      <c r="L297" s="82"/>
      <c r="M297" s="82"/>
      <c r="N297" s="82"/>
      <c r="O297" s="82"/>
      <c r="P297" s="82"/>
      <c r="Q297" s="82"/>
      <c r="R297" s="82"/>
      <c r="S297" s="82"/>
    </row>
    <row r="298" spans="1:19" ht="13.5" customHeight="1">
      <c r="A298" s="82"/>
      <c r="B298" s="82"/>
      <c r="C298" s="82"/>
      <c r="D298" s="82"/>
      <c r="E298" s="82"/>
      <c r="F298" s="124"/>
      <c r="G298" s="124"/>
      <c r="H298" s="82"/>
      <c r="I298" s="82"/>
      <c r="J298" s="82"/>
      <c r="K298" s="82"/>
      <c r="L298" s="82"/>
      <c r="M298" s="82"/>
      <c r="N298" s="82"/>
      <c r="O298" s="82"/>
      <c r="P298" s="82"/>
      <c r="Q298" s="82"/>
      <c r="R298" s="82"/>
      <c r="S298" s="82"/>
    </row>
    <row r="299" spans="1:19" ht="13.5" customHeight="1">
      <c r="A299" s="82"/>
      <c r="B299" s="82"/>
      <c r="C299" s="82"/>
      <c r="D299" s="82"/>
      <c r="E299" s="82"/>
      <c r="F299" s="124"/>
      <c r="G299" s="124"/>
      <c r="H299" s="82"/>
      <c r="I299" s="82"/>
      <c r="J299" s="82"/>
      <c r="K299" s="82"/>
      <c r="L299" s="82"/>
      <c r="M299" s="82"/>
      <c r="N299" s="82"/>
      <c r="O299" s="82"/>
      <c r="P299" s="82"/>
      <c r="Q299" s="82"/>
      <c r="R299" s="82"/>
      <c r="S299" s="82"/>
    </row>
    <row r="300" spans="1:19" ht="13.5" customHeight="1">
      <c r="A300" s="82"/>
      <c r="B300" s="82"/>
      <c r="C300" s="82"/>
      <c r="D300" s="82"/>
      <c r="E300" s="82"/>
      <c r="F300" s="124"/>
      <c r="G300" s="124"/>
      <c r="H300" s="82"/>
      <c r="I300" s="82"/>
      <c r="J300" s="82"/>
      <c r="K300" s="82"/>
      <c r="L300" s="82"/>
      <c r="M300" s="82"/>
      <c r="N300" s="82"/>
      <c r="O300" s="82"/>
      <c r="P300" s="82"/>
      <c r="Q300" s="82"/>
      <c r="R300" s="82"/>
      <c r="S300" s="82"/>
    </row>
    <row r="301" spans="1:19" ht="13.5" customHeight="1">
      <c r="A301" s="82"/>
      <c r="B301" s="82"/>
      <c r="C301" s="82"/>
      <c r="D301" s="82"/>
      <c r="E301" s="82"/>
      <c r="F301" s="124"/>
      <c r="G301" s="124"/>
      <c r="H301" s="82"/>
      <c r="I301" s="82"/>
      <c r="J301" s="82"/>
      <c r="K301" s="82"/>
      <c r="L301" s="82"/>
      <c r="M301" s="82"/>
      <c r="N301" s="82"/>
      <c r="O301" s="82"/>
      <c r="P301" s="82"/>
      <c r="Q301" s="82"/>
      <c r="R301" s="82"/>
      <c r="S301" s="82"/>
    </row>
    <row r="302" spans="1:19" ht="13.5" customHeight="1">
      <c r="A302" s="82"/>
      <c r="B302" s="82"/>
      <c r="C302" s="82"/>
      <c r="D302" s="82"/>
      <c r="E302" s="82"/>
      <c r="F302" s="82"/>
      <c r="G302" s="82"/>
      <c r="H302" s="82"/>
      <c r="I302" s="82"/>
      <c r="J302" s="82"/>
      <c r="K302" s="82"/>
      <c r="L302" s="82"/>
      <c r="M302" s="82"/>
      <c r="N302" s="82"/>
      <c r="O302" s="82"/>
      <c r="P302" s="82"/>
      <c r="Q302" s="82"/>
      <c r="R302" s="82"/>
      <c r="S302" s="82"/>
    </row>
    <row r="303" spans="1:19" ht="13.5" customHeight="1">
      <c r="A303" s="82"/>
      <c r="B303" s="82"/>
      <c r="C303" s="123"/>
      <c r="D303" s="82"/>
      <c r="E303" s="82"/>
      <c r="F303" s="82"/>
      <c r="G303" s="82"/>
      <c r="H303" s="82"/>
      <c r="I303" s="82"/>
      <c r="J303" s="82"/>
      <c r="K303" s="82"/>
      <c r="L303" s="82"/>
      <c r="M303" s="82"/>
      <c r="N303" s="82"/>
      <c r="O303" s="82"/>
      <c r="P303" s="82"/>
      <c r="Q303" s="82"/>
      <c r="R303" s="82"/>
      <c r="S303" s="82"/>
    </row>
    <row r="304" spans="1:19" ht="13.5" customHeight="1">
      <c r="A304" s="82"/>
      <c r="B304" s="82"/>
      <c r="C304" s="82"/>
      <c r="D304" s="82"/>
      <c r="E304" s="82"/>
      <c r="F304" s="124"/>
      <c r="G304" s="124"/>
      <c r="H304" s="82"/>
      <c r="I304" s="82"/>
      <c r="J304" s="82"/>
      <c r="K304" s="82"/>
      <c r="L304" s="82"/>
      <c r="M304" s="82"/>
      <c r="N304" s="82"/>
      <c r="O304" s="82"/>
      <c r="P304" s="82"/>
      <c r="Q304" s="82"/>
      <c r="R304" s="82"/>
      <c r="S304" s="82"/>
    </row>
    <row r="305" spans="1:19" ht="13.5" customHeight="1">
      <c r="A305" s="82"/>
      <c r="B305" s="82"/>
      <c r="C305" s="82"/>
      <c r="D305" s="82"/>
      <c r="E305" s="82"/>
      <c r="F305" s="124"/>
      <c r="G305" s="124"/>
      <c r="H305" s="82"/>
      <c r="I305" s="82"/>
      <c r="J305" s="82"/>
      <c r="K305" s="82"/>
      <c r="L305" s="82"/>
      <c r="M305" s="82"/>
      <c r="N305" s="82"/>
      <c r="O305" s="82"/>
      <c r="P305" s="82"/>
      <c r="Q305" s="82"/>
      <c r="R305" s="82"/>
      <c r="S305" s="82"/>
    </row>
    <row r="306" spans="1:19" ht="13.5" customHeight="1">
      <c r="A306" s="82"/>
      <c r="B306" s="82"/>
      <c r="C306" s="82"/>
      <c r="D306" s="82"/>
      <c r="E306" s="82"/>
      <c r="F306" s="124"/>
      <c r="G306" s="124"/>
      <c r="H306" s="82"/>
      <c r="I306" s="82"/>
      <c r="J306" s="82"/>
      <c r="K306" s="82"/>
      <c r="L306" s="82"/>
      <c r="M306" s="82"/>
      <c r="N306" s="82"/>
      <c r="O306" s="82"/>
      <c r="P306" s="82"/>
      <c r="Q306" s="82"/>
      <c r="R306" s="82"/>
      <c r="S306" s="82"/>
    </row>
    <row r="307" spans="1:19" ht="13.5" customHeight="1">
      <c r="A307" s="82"/>
      <c r="B307" s="82"/>
      <c r="C307" s="82"/>
      <c r="D307" s="82"/>
      <c r="E307" s="82"/>
      <c r="F307" s="124"/>
      <c r="G307" s="124"/>
      <c r="H307" s="82"/>
      <c r="I307" s="82"/>
      <c r="J307" s="82"/>
      <c r="K307" s="82"/>
      <c r="L307" s="82"/>
      <c r="M307" s="82"/>
      <c r="N307" s="82"/>
      <c r="O307" s="82"/>
      <c r="P307" s="82"/>
      <c r="Q307" s="82"/>
      <c r="R307" s="82"/>
      <c r="S307" s="82"/>
    </row>
    <row r="308" spans="1:19" ht="5.0999999999999996" customHeight="1">
      <c r="A308" s="82"/>
      <c r="B308" s="82"/>
      <c r="C308" s="82"/>
      <c r="D308" s="82"/>
      <c r="E308" s="82"/>
      <c r="F308" s="82"/>
      <c r="G308" s="82"/>
      <c r="H308" s="82"/>
      <c r="I308" s="82"/>
      <c r="J308" s="82"/>
      <c r="K308" s="82"/>
      <c r="L308" s="82"/>
      <c r="M308" s="82"/>
      <c r="N308" s="82"/>
      <c r="O308" s="82"/>
      <c r="P308" s="82"/>
      <c r="Q308" s="82"/>
      <c r="R308" s="82"/>
      <c r="S308" s="82"/>
    </row>
    <row r="309" spans="1:19" ht="13.5" customHeight="1">
      <c r="A309" s="82"/>
      <c r="B309" s="82"/>
      <c r="C309" s="82"/>
      <c r="D309" s="82"/>
      <c r="E309" s="82"/>
      <c r="F309" s="124"/>
      <c r="G309" s="124"/>
      <c r="H309" s="82"/>
      <c r="I309" s="82"/>
      <c r="J309" s="82"/>
      <c r="K309" s="82"/>
      <c r="L309" s="82"/>
      <c r="M309" s="82"/>
      <c r="N309" s="82"/>
      <c r="O309" s="82"/>
      <c r="P309" s="82"/>
      <c r="Q309" s="82"/>
      <c r="R309" s="82"/>
      <c r="S309" s="82"/>
    </row>
    <row r="310" spans="1:19" ht="13.5" customHeight="1">
      <c r="A310" s="82"/>
      <c r="B310" s="82"/>
      <c r="C310" s="82"/>
      <c r="D310" s="82"/>
      <c r="E310" s="82"/>
      <c r="F310" s="124"/>
      <c r="G310" s="124"/>
      <c r="H310" s="82"/>
      <c r="I310" s="82"/>
      <c r="J310" s="82"/>
      <c r="K310" s="82"/>
      <c r="L310" s="82"/>
      <c r="M310" s="82"/>
      <c r="N310" s="82"/>
      <c r="O310" s="82"/>
      <c r="P310" s="82"/>
      <c r="Q310" s="82"/>
      <c r="R310" s="82"/>
      <c r="S310" s="82"/>
    </row>
    <row r="311" spans="1:19" ht="13.5" customHeight="1">
      <c r="A311" s="82"/>
      <c r="B311" s="82"/>
      <c r="C311" s="82"/>
      <c r="D311" s="82"/>
      <c r="E311" s="82"/>
      <c r="F311" s="82"/>
      <c r="G311" s="82"/>
      <c r="H311" s="82"/>
      <c r="I311" s="82"/>
      <c r="J311" s="82"/>
      <c r="K311" s="82"/>
      <c r="L311" s="82"/>
      <c r="M311" s="82"/>
      <c r="N311" s="82"/>
      <c r="O311" s="82"/>
      <c r="P311" s="82"/>
      <c r="Q311" s="82"/>
      <c r="R311" s="82"/>
      <c r="S311" s="82"/>
    </row>
    <row r="312" spans="1:19" ht="13.5" customHeight="1">
      <c r="F312" s="124"/>
      <c r="G312" s="124"/>
    </row>
  </sheetData>
  <dataValidations count="1">
    <dataValidation type="whole" showInputMessage="1" showErrorMessage="1" errorTitle="Validation Error" error="Enter either 0 or 1." sqref="F267:F270" xr:uid="{75DDECA5-6852-4005-9264-1B85B1134123}">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1F4E-35B7-4EDF-9104-22295E515B73}">
  <sheetPr>
    <outlinePr summaryBelow="0"/>
    <pageSetUpPr fitToPage="1"/>
  </sheetPr>
  <dimension ref="A1:S356"/>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299</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1: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1: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1: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1: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1: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1:13" ht="13.5" customHeight="1" outlineLevel="1">
      <c r="C23" s="72" t="s">
        <v>281</v>
      </c>
      <c r="D23" s="39"/>
      <c r="E23" s="39"/>
      <c r="F23" s="45"/>
      <c r="G23" s="73"/>
      <c r="H23" s="73"/>
      <c r="I23" s="73"/>
      <c r="J23" s="73"/>
      <c r="K23" s="73"/>
      <c r="L23" s="73"/>
      <c r="M23" s="60"/>
    </row>
    <row r="24" spans="1:13" ht="13.5" customHeight="1" outlineLevel="1">
      <c r="C24" s="74" t="s">
        <v>74</v>
      </c>
      <c r="D24" s="39"/>
      <c r="E24" s="39"/>
      <c r="F24" s="45"/>
      <c r="G24" s="75"/>
      <c r="H24" s="149">
        <f ca="1">H287</f>
        <v>0.10952645435403541</v>
      </c>
      <c r="I24" s="149">
        <f t="shared" ref="I24:L24" ca="1" si="9">I287</f>
        <v>5.8212314354035413E-2</v>
      </c>
      <c r="J24" s="149">
        <f t="shared" ca="1" si="9"/>
        <v>0</v>
      </c>
      <c r="K24" s="149">
        <f t="shared" ca="1" si="9"/>
        <v>0</v>
      </c>
      <c r="L24" s="149">
        <f t="shared" ca="1" si="9"/>
        <v>0</v>
      </c>
      <c r="M24" s="50"/>
    </row>
    <row r="25" spans="1:13" ht="13.5" customHeight="1" outlineLevel="1">
      <c r="A25" s="205"/>
      <c r="C25" s="74" t="s">
        <v>75</v>
      </c>
      <c r="D25" s="39"/>
      <c r="E25" s="39"/>
      <c r="F25" s="45"/>
      <c r="G25" s="75"/>
      <c r="H25" s="149">
        <f ca="1">H285</f>
        <v>7.1343447590826919E-2</v>
      </c>
      <c r="I25" s="149">
        <f t="shared" ref="I25:L25" ca="1" si="10">I285</f>
        <v>7.4999999999999997E-2</v>
      </c>
      <c r="J25" s="149">
        <f t="shared" ca="1" si="10"/>
        <v>7.4999999999999997E-2</v>
      </c>
      <c r="K25" s="149">
        <f t="shared" ca="1" si="10"/>
        <v>7.4999999999999997E-2</v>
      </c>
      <c r="L25" s="149">
        <f t="shared" ca="1" si="10"/>
        <v>7.4999999999999997E-2</v>
      </c>
      <c r="M25" s="50"/>
    </row>
    <row r="26" spans="1:13" ht="13.5" customHeight="1" outlineLevel="1">
      <c r="A26" s="205"/>
      <c r="C26" s="74" t="str">
        <f>+C79</f>
        <v>Term Loan A</v>
      </c>
      <c r="D26" s="39"/>
      <c r="E26" s="39"/>
      <c r="F26" s="45"/>
      <c r="G26" s="75"/>
      <c r="H26" s="149">
        <f ca="1">H288</f>
        <v>0.91379047914</v>
      </c>
      <c r="I26" s="149">
        <f ca="1">I288</f>
        <v>0.49087633335953551</v>
      </c>
      <c r="J26" s="149">
        <f ca="1">J288</f>
        <v>8.4747231519535518E-2</v>
      </c>
      <c r="K26" s="149">
        <f ca="1">K288</f>
        <v>0</v>
      </c>
      <c r="L26" s="149">
        <f ca="1">L288</f>
        <v>0</v>
      </c>
      <c r="M26" s="50"/>
    </row>
    <row r="27" spans="1:13" ht="13.5" customHeight="1" outlineLevel="1">
      <c r="A27" s="205"/>
      <c r="C27" s="74" t="str">
        <f t="shared" ref="C27:C28" si="11">+C80</f>
        <v>Subordinated - Note 1</v>
      </c>
      <c r="D27" s="39"/>
      <c r="E27" s="39"/>
      <c r="F27" s="45"/>
      <c r="G27" s="75"/>
      <c r="H27" s="149">
        <f ca="1">H289</f>
        <v>9.2165039999999986E-3</v>
      </c>
      <c r="I27" s="149">
        <f ca="1">I289</f>
        <v>7.1683919999999991E-3</v>
      </c>
      <c r="J27" s="149">
        <f ca="1">J289</f>
        <v>3.0721679999999993E-3</v>
      </c>
      <c r="K27" s="149">
        <f ca="1">K289</f>
        <v>0</v>
      </c>
      <c r="L27" s="149">
        <f ca="1">L289</f>
        <v>0</v>
      </c>
      <c r="M27" s="50"/>
    </row>
    <row r="28" spans="1:13" ht="13.5" customHeight="1" outlineLevel="1">
      <c r="A28" s="205"/>
      <c r="C28" s="74" t="str">
        <f t="shared" si="11"/>
        <v>Subordinated - Note 2</v>
      </c>
      <c r="D28" s="39"/>
      <c r="E28" s="39"/>
      <c r="F28" s="45"/>
      <c r="G28" s="75"/>
      <c r="H28" s="149">
        <f ca="1">H290</f>
        <v>1.7907971249999997E-3</v>
      </c>
      <c r="I28" s="149">
        <f ca="1">I290</f>
        <v>1.6989613749999999E-3</v>
      </c>
      <c r="J28" s="149">
        <f ca="1">J290</f>
        <v>1.1479468749999999E-3</v>
      </c>
      <c r="K28" s="149">
        <f ca="1">K290</f>
        <v>3.2142512500000006E-4</v>
      </c>
      <c r="L28" s="149">
        <f ca="1">L290</f>
        <v>0</v>
      </c>
      <c r="M28" s="50"/>
    </row>
    <row r="29" spans="1:13" ht="13.5" customHeight="1" outlineLevel="1">
      <c r="A29" s="205"/>
      <c r="C29" s="76" t="s">
        <v>73</v>
      </c>
      <c r="D29" s="77"/>
      <c r="E29" s="77"/>
      <c r="F29" s="131">
        <f>'Financials from CIP'!D27/1000</f>
        <v>2.224955</v>
      </c>
      <c r="G29" s="131">
        <f>'Financials from CIP'!E27/1000</f>
        <v>1.4727629999999998</v>
      </c>
      <c r="H29" s="93">
        <f ca="1">SUM(H24:H28)</f>
        <v>1.1056676822098623</v>
      </c>
      <c r="I29" s="93">
        <f t="shared" ref="I29:L29" ca="1" si="12">SUM(I24:I28)</f>
        <v>0.63295600108857097</v>
      </c>
      <c r="J29" s="93">
        <f t="shared" ca="1" si="12"/>
        <v>0.1639673463945355</v>
      </c>
      <c r="K29" s="93">
        <f t="shared" ca="1" si="12"/>
        <v>7.5321425124999994E-2</v>
      </c>
      <c r="L29" s="93">
        <f t="shared" ca="1" si="12"/>
        <v>7.4999999999999997E-2</v>
      </c>
      <c r="M29" s="60"/>
    </row>
    <row r="30" spans="1: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1:13" ht="13.5" customHeight="1" outlineLevel="1">
      <c r="C31" s="65" t="s">
        <v>77</v>
      </c>
      <c r="D31" s="65"/>
      <c r="E31" s="65"/>
      <c r="F31" s="66">
        <f>F22-F29-F30</f>
        <v>9.0628199000000009</v>
      </c>
      <c r="G31" s="66">
        <f>G22-G29-G30</f>
        <v>10.412724780499998</v>
      </c>
      <c r="H31" s="66">
        <f t="shared" ref="H31:L31" ca="1" si="13">H22-H29-H30</f>
        <v>9.175058401059097</v>
      </c>
      <c r="I31" s="66">
        <f t="shared" ca="1" si="13"/>
        <v>11.853902911979826</v>
      </c>
      <c r="J31" s="66">
        <f t="shared" ca="1" si="13"/>
        <v>14.310716780981684</v>
      </c>
      <c r="K31" s="66">
        <f t="shared" ca="1" si="13"/>
        <v>16.007105424972291</v>
      </c>
      <c r="L31" s="66">
        <f t="shared" ca="1" si="13"/>
        <v>17.081597338869614</v>
      </c>
      <c r="M31" s="50"/>
    </row>
    <row r="32" spans="1:13" ht="13.5" customHeight="1" outlineLevel="1">
      <c r="C32" s="63" t="s">
        <v>78</v>
      </c>
      <c r="D32" s="63"/>
      <c r="E32" s="63"/>
      <c r="F32" s="128">
        <f>'Financials from CIP'!D29/1000</f>
        <v>3.2010390000000002</v>
      </c>
      <c r="G32" s="128">
        <f>'Financials from CIP'!E29/1000</f>
        <v>2.809107</v>
      </c>
      <c r="H32" s="149">
        <f ca="1">H46*H31</f>
        <v>2.857948069136123</v>
      </c>
      <c r="I32" s="149">
        <f t="shared" ref="I32:L32" ca="1" si="14">I46*I31</f>
        <v>3.6923840108864288</v>
      </c>
      <c r="J32" s="149">
        <f t="shared" ca="1" si="14"/>
        <v>4.4576594070986433</v>
      </c>
      <c r="K32" s="149">
        <f t="shared" ca="1" si="14"/>
        <v>4.9860691934644459</v>
      </c>
      <c r="L32" s="149">
        <f t="shared" ca="1" si="14"/>
        <v>5.3207637486806565</v>
      </c>
      <c r="M32" s="50"/>
    </row>
    <row r="33" spans="1:13" ht="13.5" customHeight="1" outlineLevel="1">
      <c r="C33" s="79" t="s">
        <v>22</v>
      </c>
      <c r="D33" s="79"/>
      <c r="E33" s="79"/>
      <c r="F33" s="71">
        <f>F31-F32</f>
        <v>5.8617809000000012</v>
      </c>
      <c r="G33" s="71">
        <f>G31-G32</f>
        <v>7.6036177804999978</v>
      </c>
      <c r="H33" s="71">
        <f t="shared" ref="H33:L33" ca="1" si="15">H31-H32</f>
        <v>6.317110331922974</v>
      </c>
      <c r="I33" s="71">
        <f t="shared" ca="1" si="15"/>
        <v>8.1615189010933982</v>
      </c>
      <c r="J33" s="71">
        <f t="shared" ca="1" si="15"/>
        <v>9.8530573738830398</v>
      </c>
      <c r="K33" s="71">
        <f t="shared" ca="1" si="15"/>
        <v>11.021036231507846</v>
      </c>
      <c r="L33" s="71">
        <f t="shared" ca="1" si="15"/>
        <v>11.760833590188957</v>
      </c>
      <c r="M33" s="60"/>
    </row>
    <row r="34" spans="1:13" ht="13.5" customHeight="1" outlineLevel="1">
      <c r="C34" s="67" t="s">
        <v>79</v>
      </c>
      <c r="D34" s="39"/>
      <c r="E34" s="39"/>
      <c r="F34" s="69">
        <f>IFERROR(F33/F$13,"N/M")</f>
        <v>7.4609946715153336E-2</v>
      </c>
      <c r="G34" s="69">
        <f>IFERROR(G33/G$13,"N/M")</f>
        <v>8.3912167095621659E-2</v>
      </c>
      <c r="H34" s="69">
        <f t="shared" ref="H34:L34" ca="1" si="16">IFERROR(H33/H$13,"N/M")</f>
        <v>6.044503495796217E-2</v>
      </c>
      <c r="I34" s="69">
        <f t="shared" ca="1" si="16"/>
        <v>6.7709666225559906E-2</v>
      </c>
      <c r="J34" s="69">
        <f t="shared" ca="1" si="16"/>
        <v>7.2766954511727003E-2</v>
      </c>
      <c r="K34" s="69">
        <f t="shared" ca="1" si="16"/>
        <v>7.4443188153408058E-2</v>
      </c>
      <c r="L34" s="69">
        <f t="shared" ca="1" si="16"/>
        <v>7.4707279053902551E-2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5"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7">H43</f>
        <v>0.66815339473318969</v>
      </c>
      <c r="J43" s="139">
        <f t="shared" si="17"/>
        <v>0.66815339473318969</v>
      </c>
      <c r="K43" s="139">
        <f t="shared" si="17"/>
        <v>0.66815339473318969</v>
      </c>
      <c r="L43" s="139">
        <f t="shared" si="17"/>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7"/>
        <v>0.17542070012282657</v>
      </c>
      <c r="J44" s="139">
        <f t="shared" si="17"/>
        <v>0.17542070012282657</v>
      </c>
      <c r="K44" s="139">
        <f t="shared" si="17"/>
        <v>0.17542070012282657</v>
      </c>
      <c r="L44" s="139">
        <f t="shared" si="17"/>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8">G$11</f>
        <v>45657</v>
      </c>
      <c r="H56" s="58">
        <f t="shared" si="18"/>
        <v>46022</v>
      </c>
      <c r="I56" s="58">
        <f t="shared" si="18"/>
        <v>46387</v>
      </c>
      <c r="J56" s="58">
        <f t="shared" si="18"/>
        <v>46752</v>
      </c>
      <c r="K56" s="58">
        <f t="shared" si="18"/>
        <v>47118</v>
      </c>
      <c r="L56" s="58">
        <f t="shared" si="18"/>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 ca="1">G60+H119</f>
        <v>10</v>
      </c>
      <c r="I60" s="214">
        <f ca="1">H60+I119</f>
        <v>10</v>
      </c>
      <c r="J60" s="214">
        <f ca="1">I60+J119</f>
        <v>18.851278609955365</v>
      </c>
      <c r="K60" s="214">
        <f ca="1">J60+K119</f>
        <v>31.32136203783805</v>
      </c>
      <c r="L60" s="214">
        <f ca="1">K60+L119</f>
        <v>45.191599550613738</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9">I130</f>
        <v>27.695031965240773</v>
      </c>
      <c r="J61" s="149">
        <f t="shared" si="19"/>
        <v>31.111314829301037</v>
      </c>
      <c r="K61" s="149">
        <f t="shared" si="19"/>
        <v>34.015669157916122</v>
      </c>
      <c r="L61" s="149">
        <f t="shared" si="19"/>
        <v>36.170685445667161</v>
      </c>
      <c r="M61" s="50"/>
    </row>
    <row r="62" spans="1:13" ht="13.5" customHeight="1" outlineLevel="1">
      <c r="A62" s="82"/>
      <c r="C62" s="91" t="s">
        <v>31</v>
      </c>
      <c r="F62" s="96">
        <f>'Financials from CIP'!D49/1000</f>
        <v>0.80490099999999998</v>
      </c>
      <c r="G62" s="96">
        <f>'Financials from CIP'!E49/1000</f>
        <v>1.161057</v>
      </c>
      <c r="H62" s="149">
        <f t="shared" ref="H62:L63" si="20">H131</f>
        <v>1.2029011201180084</v>
      </c>
      <c r="I62" s="149">
        <f t="shared" si="20"/>
        <v>1.3873703794209342</v>
      </c>
      <c r="J62" s="149">
        <f t="shared" si="20"/>
        <v>1.558507558799139</v>
      </c>
      <c r="K62" s="149">
        <f t="shared" si="20"/>
        <v>1.7039999045715051</v>
      </c>
      <c r="L62" s="149">
        <f t="shared" si="20"/>
        <v>1.8119544925477122</v>
      </c>
      <c r="M62" s="50"/>
    </row>
    <row r="63" spans="1:13" ht="13.5" customHeight="1" outlineLevel="1">
      <c r="A63" s="82"/>
      <c r="C63" s="91" t="s">
        <v>84</v>
      </c>
      <c r="F63" s="96">
        <f>'Financials from CIP'!D50/1000</f>
        <v>0.26978399999999997</v>
      </c>
      <c r="G63" s="96">
        <f>'Financials from CIP'!E50/1000</f>
        <v>0.34491899999999998</v>
      </c>
      <c r="H63" s="149">
        <f t="shared" si="20"/>
        <v>0.3792215684283346</v>
      </c>
      <c r="I63" s="149">
        <f t="shared" si="20"/>
        <v>0.43737657441320382</v>
      </c>
      <c r="J63" s="149">
        <f t="shared" si="20"/>
        <v>0.49132856472628733</v>
      </c>
      <c r="K63" s="149">
        <f t="shared" si="20"/>
        <v>0.53719587221761422</v>
      </c>
      <c r="L63" s="149">
        <f t="shared" si="20"/>
        <v>0.57122918342390505</v>
      </c>
      <c r="M63" s="50"/>
    </row>
    <row r="64" spans="1:13" ht="13.5" customHeight="1" outlineLevel="1">
      <c r="A64" s="82"/>
      <c r="C64" s="76" t="s">
        <v>33</v>
      </c>
      <c r="D64" s="77"/>
      <c r="E64" s="77"/>
      <c r="F64" s="93">
        <f>SUM(F60:F63)</f>
        <v>24.961756000000005</v>
      </c>
      <c r="G64" s="93">
        <f>SUM(G60:G63)</f>
        <v>26.74869</v>
      </c>
      <c r="H64" s="93">
        <f t="shared" ref="H64:L64" ca="1" si="21">SUM(H60:H63)</f>
        <v>35.594733500229559</v>
      </c>
      <c r="I64" s="93">
        <f t="shared" ca="1" si="21"/>
        <v>39.519778919074916</v>
      </c>
      <c r="J64" s="93">
        <f t="shared" ca="1" si="21"/>
        <v>52.012429562781833</v>
      </c>
      <c r="K64" s="93">
        <f t="shared" ca="1" si="21"/>
        <v>67.578226972543291</v>
      </c>
      <c r="L64" s="93">
        <f t="shared" ca="1" si="21"/>
        <v>83.745468672252514</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ca="1" si="22">SUM(H64,H67:H69)</f>
        <v>92.32568454586314</v>
      </c>
      <c r="I70" s="102">
        <f t="shared" ca="1" si="22"/>
        <v>92.891514460631626</v>
      </c>
      <c r="J70" s="102">
        <f t="shared" ca="1" si="22"/>
        <v>102.05810393490198</v>
      </c>
      <c r="K70" s="102">
        <f t="shared" ca="1" si="22"/>
        <v>114.24381861896987</v>
      </c>
      <c r="L70" s="102">
        <f t="shared" ca="1" si="22"/>
        <v>126.87212735411536</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3">I135</f>
        <v>3.7340173042871405</v>
      </c>
      <c r="J74" s="149">
        <f t="shared" si="23"/>
        <v>4.1946219118843056</v>
      </c>
      <c r="K74" s="149">
        <f t="shared" si="23"/>
        <v>4.5862051147649199</v>
      </c>
      <c r="L74" s="149">
        <f t="shared" si="23"/>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4">H136</f>
        <v>3.1966854452582232</v>
      </c>
      <c r="I75" s="149">
        <f t="shared" si="24"/>
        <v>3.6869087782063024</v>
      </c>
      <c r="J75" s="149">
        <f t="shared" si="24"/>
        <v>4.1417023778724023</v>
      </c>
      <c r="K75" s="149">
        <f t="shared" si="24"/>
        <v>4.5283453498910609</v>
      </c>
      <c r="L75" s="149">
        <f t="shared" si="24"/>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4"/>
        <v>3.2317636858846019</v>
      </c>
      <c r="I76" s="149">
        <f t="shared" si="24"/>
        <v>3.727366394541769</v>
      </c>
      <c r="J76" s="149">
        <f t="shared" si="24"/>
        <v>4.1871505882458564</v>
      </c>
      <c r="K76" s="149">
        <f t="shared" si="24"/>
        <v>4.5780363159066395</v>
      </c>
      <c r="L76" s="149">
        <f t="shared" si="24"/>
        <v>4.8680715576328382</v>
      </c>
      <c r="M76" s="50"/>
    </row>
    <row r="77" spans="1:13" ht="13.5" customHeight="1" outlineLevel="1">
      <c r="A77" s="82"/>
      <c r="C77" s="76" t="s">
        <v>40</v>
      </c>
      <c r="D77" s="77"/>
      <c r="E77" s="77"/>
      <c r="F77" s="93">
        <f>SUM(F74:F76)</f>
        <v>7.2476579999999995</v>
      </c>
      <c r="G77" s="93">
        <f>SUM(G74:G76)</f>
        <v>8.3507789999999993</v>
      </c>
      <c r="H77" s="93">
        <f t="shared" ref="H77:L77" si="25">SUM(H74:H76)</f>
        <v>9.6659794002709365</v>
      </c>
      <c r="I77" s="93">
        <f t="shared" si="25"/>
        <v>11.148292477035213</v>
      </c>
      <c r="J77" s="93">
        <f t="shared" si="25"/>
        <v>12.523474878002563</v>
      </c>
      <c r="K77" s="93">
        <f t="shared" si="25"/>
        <v>13.692586780562621</v>
      </c>
      <c r="L77" s="93">
        <f t="shared" si="25"/>
        <v>14.560061925519163</v>
      </c>
    </row>
    <row r="78" spans="1:13" ht="13.5" customHeight="1" outlineLevel="1">
      <c r="C78" s="91" t="s">
        <v>41</v>
      </c>
      <c r="D78" s="95"/>
      <c r="E78" s="95"/>
      <c r="F78" s="96">
        <f>'Financials from CIP'!D63/1000</f>
        <v>0.64588299999999998</v>
      </c>
      <c r="G78" s="96">
        <f>'Financials from CIP'!E63/1000</f>
        <v>1.2892999999999999</v>
      </c>
      <c r="H78" s="149">
        <f ca="1">H232</f>
        <v>1.4626209636692313</v>
      </c>
      <c r="I78" s="149">
        <f ca="1">I232</f>
        <v>0</v>
      </c>
      <c r="J78" s="149">
        <f ca="1">J232</f>
        <v>0</v>
      </c>
      <c r="K78" s="149">
        <f ca="1">K232</f>
        <v>0</v>
      </c>
      <c r="L78" s="149">
        <f ca="1">L232</f>
        <v>0</v>
      </c>
      <c r="M78" s="50"/>
    </row>
    <row r="79" spans="1:13" ht="13.5" customHeight="1" outlineLevel="1">
      <c r="C79" s="91" t="s">
        <v>42</v>
      </c>
      <c r="D79" s="95"/>
      <c r="E79" s="95"/>
      <c r="F79" s="96">
        <f>'Financials from CIP'!D64/1000</f>
        <v>18.943222000000002</v>
      </c>
      <c r="G79" s="96">
        <f>'Financials from CIP'!E64/1000</f>
        <v>12.001450999999999</v>
      </c>
      <c r="H79" s="149">
        <f ca="1">H241</f>
        <v>9.6011607999999988</v>
      </c>
      <c r="I79" s="149">
        <f ca="1">I241</f>
        <v>2.0034806505800358</v>
      </c>
      <c r="J79" s="149">
        <f ca="1">J241</f>
        <v>0</v>
      </c>
      <c r="K79" s="149">
        <f ca="1">K241</f>
        <v>0</v>
      </c>
      <c r="L79" s="149">
        <f ca="1">L241</f>
        <v>0</v>
      </c>
      <c r="M79" s="50"/>
    </row>
    <row r="80" spans="1:13" ht="13.5" customHeight="1" outlineLevel="1">
      <c r="C80" s="91" t="s">
        <v>90</v>
      </c>
      <c r="D80" s="95"/>
      <c r="E80" s="95"/>
      <c r="F80" s="96">
        <f>'Financials from CIP'!D65/1000</f>
        <v>0.54533299999999996</v>
      </c>
      <c r="G80" s="96">
        <f>'Financials from CIP'!E65/1000</f>
        <v>8.5337999999999997E-2</v>
      </c>
      <c r="H80" s="149">
        <f ca="1">H247</f>
        <v>6.8270399999999995E-2</v>
      </c>
      <c r="I80" s="149">
        <f ca="1">I247</f>
        <v>5.1202799999999993E-2</v>
      </c>
      <c r="J80" s="149">
        <f ca="1">J247</f>
        <v>0</v>
      </c>
      <c r="K80" s="149">
        <f ca="1">K247</f>
        <v>0</v>
      </c>
      <c r="L80" s="149">
        <f ca="1">L247</f>
        <v>0</v>
      </c>
      <c r="M80" s="50"/>
    </row>
    <row r="81" spans="1:13" ht="13.5" customHeight="1" outlineLevel="1">
      <c r="C81" s="91" t="s">
        <v>91</v>
      </c>
      <c r="D81" s="95"/>
      <c r="E81" s="95"/>
      <c r="F81" s="96">
        <f>'Financials from CIP'!D66/1000</f>
        <v>9.2447999999999989E-2</v>
      </c>
      <c r="G81" s="96">
        <f>'Financials from CIP'!E66/1000</f>
        <v>1.2666999999999999E-2</v>
      </c>
      <c r="H81" s="149">
        <f ca="1">H253</f>
        <v>1.203365E-2</v>
      </c>
      <c r="I81" s="149">
        <f ca="1">I253</f>
        <v>1.14003E-2</v>
      </c>
      <c r="J81" s="149">
        <f ca="1">J253</f>
        <v>4.4334500000000011E-3</v>
      </c>
      <c r="K81" s="149">
        <f ca="1">K253</f>
        <v>0</v>
      </c>
      <c r="L81" s="149">
        <f ca="1">L253</f>
        <v>0</v>
      </c>
      <c r="M81" s="50"/>
    </row>
    <row r="82" spans="1:13" ht="13.5" customHeight="1" outlineLevel="1">
      <c r="A82" s="82"/>
      <c r="C82" s="76" t="s">
        <v>92</v>
      </c>
      <c r="D82" s="77"/>
      <c r="E82" s="77"/>
      <c r="F82" s="93">
        <f>SUM(F78:F81)</f>
        <v>20.226886000000004</v>
      </c>
      <c r="G82" s="93">
        <f>SUM(G78:G81)</f>
        <v>13.388756000000001</v>
      </c>
      <c r="H82" s="93">
        <f t="shared" ref="H82:L82" ca="1" si="26">SUM(H78:H81)</f>
        <v>11.144085813669228</v>
      </c>
      <c r="I82" s="93">
        <f t="shared" ca="1" si="26"/>
        <v>2.0660837505800358</v>
      </c>
      <c r="J82" s="93">
        <f t="shared" ca="1" si="26"/>
        <v>4.4334500000000011E-3</v>
      </c>
      <c r="K82" s="93">
        <f t="shared" ca="1" si="26"/>
        <v>0</v>
      </c>
      <c r="L82" s="93">
        <f t="shared" ca="1" si="26"/>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ca="1" si="27">SUM(H77,H82:H83)</f>
        <v>21.239953213940161</v>
      </c>
      <c r="I84" s="93">
        <f t="shared" ca="1" si="27"/>
        <v>13.644264227615249</v>
      </c>
      <c r="J84" s="93">
        <f t="shared" ca="1" si="27"/>
        <v>12.957796328002564</v>
      </c>
      <c r="K84" s="93">
        <f t="shared" ca="1" si="27"/>
        <v>14.122474780562621</v>
      </c>
      <c r="L84" s="93">
        <f t="shared" ca="1" si="27"/>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 ca="1">G86+H33</f>
        <v>62.169615112422981</v>
      </c>
      <c r="I86" s="149">
        <f ca="1">H86+I33</f>
        <v>70.331134013516376</v>
      </c>
      <c r="J86" s="149">
        <f ca="1">I86+J33</f>
        <v>80.184191387399409</v>
      </c>
      <c r="K86" s="149">
        <f ca="1">J86+K33</f>
        <v>91.205227618907259</v>
      </c>
      <c r="L86" s="149">
        <f ca="1">K86+L33</f>
        <v>102.96606120909621</v>
      </c>
      <c r="M86" s="50"/>
    </row>
    <row r="87" spans="1:13" ht="13.5" customHeight="1" outlineLevel="1">
      <c r="A87" s="82"/>
      <c r="C87" s="100" t="s">
        <v>95</v>
      </c>
      <c r="D87" s="101"/>
      <c r="E87" s="101"/>
      <c r="F87" s="105">
        <f>SUM(F84:F86)</f>
        <v>83.924938827900732</v>
      </c>
      <c r="G87" s="105">
        <f>SUM(G84:G86)</f>
        <v>86.938043495808188</v>
      </c>
      <c r="H87" s="105">
        <f t="shared" ref="H87:L87" ca="1" si="28">SUM(H84:H86)</f>
        <v>92.325684041671323</v>
      </c>
      <c r="I87" s="105">
        <f t="shared" ca="1" si="28"/>
        <v>92.891513956439809</v>
      </c>
      <c r="J87" s="105">
        <f t="shared" ca="1" si="28"/>
        <v>102.05810343071016</v>
      </c>
      <c r="K87" s="105">
        <f t="shared" ca="1" si="28"/>
        <v>114.24381811477807</v>
      </c>
      <c r="L87" s="105">
        <f t="shared" ca="1" si="28"/>
        <v>126.87212684992356</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9">F87-F70</f>
        <v>8.2790072042371321E-7</v>
      </c>
      <c r="G89" s="178">
        <f t="shared" si="29"/>
        <v>-5.0419180297467392E-7</v>
      </c>
      <c r="H89" s="178">
        <f t="shared" ca="1" si="29"/>
        <v>-5.0419181718552863E-7</v>
      </c>
      <c r="I89" s="178">
        <f t="shared" ca="1" si="29"/>
        <v>-5.0419181718552863E-7</v>
      </c>
      <c r="J89" s="178">
        <f t="shared" ca="1" si="29"/>
        <v>-5.0419181718552863E-7</v>
      </c>
      <c r="K89" s="178">
        <f t="shared" ca="1" si="29"/>
        <v>-5.0419180297467392E-7</v>
      </c>
      <c r="L89" s="178">
        <f t="shared" ca="1" si="29"/>
        <v>-5.0419180297467392E-7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30">H$11</f>
        <v>46022</v>
      </c>
      <c r="I96" s="58">
        <f t="shared" si="30"/>
        <v>46387</v>
      </c>
      <c r="J96" s="58">
        <f t="shared" si="30"/>
        <v>46752</v>
      </c>
      <c r="K96" s="58">
        <f t="shared" si="30"/>
        <v>47118</v>
      </c>
      <c r="L96" s="58">
        <f t="shared" si="30"/>
        <v>47483</v>
      </c>
    </row>
    <row r="97" spans="3:13" ht="5.0999999999999996" customHeight="1" outlineLevel="1">
      <c r="C97" s="59"/>
      <c r="D97" s="59"/>
      <c r="E97" s="59"/>
      <c r="F97" s="60"/>
      <c r="G97" s="60"/>
      <c r="H97" s="60"/>
      <c r="I97" s="60"/>
      <c r="J97" s="60"/>
      <c r="K97" s="60"/>
    </row>
    <row r="98" spans="3:13" ht="13.5" customHeight="1" outlineLevel="1">
      <c r="C98" s="84" t="s">
        <v>179</v>
      </c>
      <c r="D98" s="85"/>
      <c r="E98" s="86"/>
      <c r="F98" s="86"/>
      <c r="G98" s="86"/>
      <c r="H98" s="86"/>
      <c r="I98" s="86"/>
      <c r="J98" s="86"/>
      <c r="K98" s="86"/>
      <c r="L98" s="87"/>
      <c r="M98" s="50"/>
    </row>
    <row r="99" spans="3:13" ht="13.5" customHeight="1" outlineLevel="1">
      <c r="C99" s="118"/>
      <c r="D99" s="118"/>
      <c r="E99" s="118"/>
    </row>
    <row r="100" spans="3:13" ht="13.5" customHeight="1" outlineLevel="1">
      <c r="C100" s="68" t="s">
        <v>22</v>
      </c>
      <c r="D100" s="68"/>
      <c r="E100" s="68"/>
      <c r="F100" s="68"/>
      <c r="G100" s="147"/>
      <c r="H100" s="149">
        <f ca="1">H33</f>
        <v>6.317110331922974</v>
      </c>
      <c r="I100" s="149">
        <f ca="1">I33</f>
        <v>8.1615189010933982</v>
      </c>
      <c r="J100" s="149">
        <f ca="1">J33</f>
        <v>9.8530573738830398</v>
      </c>
      <c r="K100" s="149">
        <f ca="1">K33</f>
        <v>11.021036231507846</v>
      </c>
      <c r="L100" s="149">
        <f ca="1">L33</f>
        <v>11.760833590188957</v>
      </c>
      <c r="M100" s="50"/>
    </row>
    <row r="101" spans="3: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3:13" ht="13.5" customHeight="1" outlineLevel="1">
      <c r="C102" s="91" t="s">
        <v>183</v>
      </c>
      <c r="D102" s="68"/>
      <c r="E102" s="68"/>
      <c r="F102" s="68"/>
      <c r="G102" s="154"/>
      <c r="H102" s="149">
        <f>H21</f>
        <v>0.237952</v>
      </c>
      <c r="I102" s="149">
        <f t="shared" ref="I102:L102" si="31">I21</f>
        <v>0.237952</v>
      </c>
      <c r="J102" s="149">
        <f t="shared" si="31"/>
        <v>0.237952</v>
      </c>
      <c r="K102" s="149">
        <f t="shared" si="31"/>
        <v>0.237952</v>
      </c>
      <c r="L102" s="149">
        <f t="shared" si="31"/>
        <v>0.237952</v>
      </c>
      <c r="M102" s="50"/>
    </row>
    <row r="103" spans="3:13" ht="13.5" customHeight="1" outlineLevel="1">
      <c r="C103" s="65" t="s">
        <v>185</v>
      </c>
      <c r="D103" s="65"/>
      <c r="E103" s="65"/>
      <c r="F103" s="65"/>
      <c r="G103" s="197"/>
      <c r="H103" s="198">
        <f ca="1">SUM(H100:H102)</f>
        <v>12.384454892548927</v>
      </c>
      <c r="I103" s="198">
        <f t="shared" ref="I103:L103" ca="1" si="32">SUM(I100:I102)</f>
        <v>14.529766690224806</v>
      </c>
      <c r="J103" s="198">
        <f t="shared" ca="1" si="32"/>
        <v>16.559325898536095</v>
      </c>
      <c r="K103" s="198">
        <f t="shared" ca="1" si="32"/>
        <v>18.09688095604529</v>
      </c>
      <c r="L103" s="198">
        <f t="shared" ca="1" si="32"/>
        <v>19.229668510279041</v>
      </c>
      <c r="M103" s="50"/>
    </row>
    <row r="104" spans="3: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3:13" ht="13.5" customHeight="1" outlineLevel="1">
      <c r="C105" s="180" t="s">
        <v>189</v>
      </c>
      <c r="D105" s="180"/>
      <c r="E105" s="180"/>
      <c r="F105" s="180"/>
      <c r="G105" s="199"/>
      <c r="H105" s="200">
        <f ca="1">+SUM(H103:H104)</f>
        <v>11.895619792590304</v>
      </c>
      <c r="I105" s="200">
        <f t="shared" ref="I105:L105" ca="1" si="33">+SUM(I103:I104)</f>
        <v>12.087034348143732</v>
      </c>
      <c r="J105" s="200">
        <f t="shared" ca="1" si="33"/>
        <v>14.293136265751894</v>
      </c>
      <c r="K105" s="200">
        <f t="shared" ca="1" si="33"/>
        <v>16.170278876726567</v>
      </c>
      <c r="L105" s="200">
        <f t="shared" ca="1" si="33"/>
        <v>17.800139468302049</v>
      </c>
      <c r="M105" s="50"/>
    </row>
    <row r="106" spans="3:13" ht="13.5" customHeight="1" outlineLevel="1">
      <c r="C106" s="68"/>
      <c r="D106" s="68"/>
      <c r="E106" s="68"/>
      <c r="F106" s="68"/>
      <c r="G106" s="154"/>
      <c r="H106" s="154"/>
      <c r="I106" s="154"/>
      <c r="J106" s="154"/>
      <c r="K106" s="154"/>
      <c r="L106" s="154"/>
    </row>
    <row r="107" spans="3:13" ht="13.5" customHeight="1" outlineLevel="1">
      <c r="C107" s="84" t="s">
        <v>190</v>
      </c>
      <c r="D107" s="85"/>
      <c r="E107" s="86"/>
      <c r="F107" s="86"/>
      <c r="G107" s="86"/>
      <c r="H107" s="201"/>
      <c r="I107" s="201"/>
      <c r="J107" s="201"/>
      <c r="K107" s="201"/>
      <c r="L107" s="202"/>
    </row>
    <row r="108" spans="3:13" ht="13.5" customHeight="1" outlineLevel="1">
      <c r="C108" s="118"/>
      <c r="D108" s="118"/>
      <c r="E108" s="118"/>
      <c r="H108" s="68"/>
      <c r="I108" s="68"/>
      <c r="J108" s="68"/>
      <c r="K108" s="68"/>
      <c r="L108" s="68"/>
    </row>
    <row r="109" spans="3: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3:13" ht="13.5" customHeight="1" outlineLevel="1">
      <c r="C110" s="68"/>
      <c r="D110" s="68"/>
      <c r="E110" s="68"/>
      <c r="F110" s="68"/>
      <c r="G110" s="154"/>
      <c r="H110" s="154"/>
      <c r="I110" s="154"/>
      <c r="J110" s="154"/>
      <c r="K110" s="154"/>
      <c r="L110" s="154"/>
    </row>
    <row r="111" spans="3:13" ht="13.5" customHeight="1" outlineLevel="1">
      <c r="C111" s="84" t="s">
        <v>193</v>
      </c>
      <c r="D111" s="85"/>
      <c r="E111" s="86"/>
      <c r="F111" s="86"/>
      <c r="G111" s="86"/>
      <c r="H111" s="201"/>
      <c r="I111" s="201"/>
      <c r="J111" s="201"/>
      <c r="K111" s="201"/>
      <c r="L111" s="202"/>
    </row>
    <row r="112" spans="3:13" ht="13.5" customHeight="1" outlineLevel="1">
      <c r="C112" s="118"/>
      <c r="D112" s="118"/>
      <c r="E112" s="118"/>
      <c r="H112" s="68"/>
      <c r="I112" s="68"/>
      <c r="J112" s="68"/>
      <c r="K112" s="68"/>
      <c r="L112" s="68"/>
    </row>
    <row r="113" spans="2:13" s="205" customFormat="1" ht="13.5" customHeight="1" outlineLevel="1">
      <c r="C113" s="68" t="s">
        <v>41</v>
      </c>
      <c r="D113" s="118"/>
      <c r="E113" s="118"/>
      <c r="F113" s="29"/>
      <c r="G113" s="132"/>
      <c r="H113" s="149">
        <f ca="1">H78-G78</f>
        <v>0.17332096366923144</v>
      </c>
      <c r="I113" s="149">
        <f t="shared" ref="I113:L116" ca="1" si="34">I78-H78</f>
        <v>-1.4626209636692313</v>
      </c>
      <c r="J113" s="149">
        <f t="shared" ca="1" si="34"/>
        <v>0</v>
      </c>
      <c r="K113" s="149">
        <f t="shared" ca="1" si="34"/>
        <v>0</v>
      </c>
      <c r="L113" s="149">
        <f t="shared" ca="1" si="34"/>
        <v>0</v>
      </c>
      <c r="M113" s="50"/>
    </row>
    <row r="114" spans="2:13" s="205" customFormat="1" ht="13.5" customHeight="1" outlineLevel="1">
      <c r="C114" s="68" t="str">
        <f>+C79</f>
        <v>Term Loan A</v>
      </c>
      <c r="D114" s="118"/>
      <c r="E114" s="118"/>
      <c r="F114" s="29"/>
      <c r="G114" s="207"/>
      <c r="H114" s="149">
        <f ca="1">H79-G79</f>
        <v>-2.4002902000000006</v>
      </c>
      <c r="I114" s="149">
        <f t="shared" ca="1" si="34"/>
        <v>-7.5976801494199631</v>
      </c>
      <c r="J114" s="149">
        <f t="shared" ca="1" si="34"/>
        <v>-2.0034806505800358</v>
      </c>
      <c r="K114" s="149">
        <f t="shared" ca="1" si="34"/>
        <v>0</v>
      </c>
      <c r="L114" s="149">
        <f t="shared" ca="1" si="34"/>
        <v>0</v>
      </c>
      <c r="M114" s="50"/>
    </row>
    <row r="115" spans="2:13" s="205" customFormat="1" ht="13.5" customHeight="1" outlineLevel="1">
      <c r="C115" s="68" t="str">
        <f>+C80</f>
        <v>Subordinated - Note 1</v>
      </c>
      <c r="D115" s="118"/>
      <c r="E115" s="118"/>
      <c r="F115" s="29"/>
      <c r="G115" s="207"/>
      <c r="H115" s="149">
        <f ca="1">H80-G80</f>
        <v>-1.7067600000000002E-2</v>
      </c>
      <c r="I115" s="149">
        <f t="shared" ca="1" si="34"/>
        <v>-1.7067600000000002E-2</v>
      </c>
      <c r="J115" s="149">
        <f t="shared" ca="1" si="34"/>
        <v>-5.1202799999999993E-2</v>
      </c>
      <c r="K115" s="149">
        <f t="shared" ca="1" si="34"/>
        <v>0</v>
      </c>
      <c r="L115" s="149">
        <f t="shared" ca="1" si="34"/>
        <v>0</v>
      </c>
      <c r="M115" s="50"/>
    </row>
    <row r="116" spans="2:13" s="205" customFormat="1" ht="13.5" customHeight="1" outlineLevel="1">
      <c r="C116" s="68" t="str">
        <f t="shared" ref="C116" si="35">+C81</f>
        <v>Subordinated - Note 2</v>
      </c>
      <c r="D116" s="118"/>
      <c r="E116" s="118"/>
      <c r="F116" s="29"/>
      <c r="G116" s="207"/>
      <c r="H116" s="149">
        <f ca="1">H81-G81</f>
        <v>-6.3334999999999954E-4</v>
      </c>
      <c r="I116" s="149">
        <f t="shared" ca="1" si="34"/>
        <v>-6.3334999999999954E-4</v>
      </c>
      <c r="J116" s="149">
        <f t="shared" ca="1" si="34"/>
        <v>-6.9668499999999993E-3</v>
      </c>
      <c r="K116" s="149">
        <f t="shared" ca="1" si="34"/>
        <v>-4.4334500000000011E-3</v>
      </c>
      <c r="L116" s="149">
        <f t="shared" ca="1" si="34"/>
        <v>0</v>
      </c>
      <c r="M116" s="50"/>
    </row>
    <row r="117" spans="2:13" s="205" customFormat="1" ht="13.5" customHeight="1" outlineLevel="1">
      <c r="C117" s="180" t="s">
        <v>194</v>
      </c>
      <c r="D117" s="180"/>
      <c r="E117" s="180"/>
      <c r="F117" s="180"/>
      <c r="G117" s="199"/>
      <c r="H117" s="200">
        <f ca="1">SUM(H113:H116)</f>
        <v>-2.2446701863307692</v>
      </c>
      <c r="I117" s="200">
        <f t="shared" ref="I117:L117" ca="1" si="36">SUM(I113:I116)</f>
        <v>-9.078002063089194</v>
      </c>
      <c r="J117" s="200">
        <f t="shared" ca="1" si="36"/>
        <v>-2.0616503005800357</v>
      </c>
      <c r="K117" s="200">
        <f t="shared" ca="1" si="36"/>
        <v>-4.4334500000000011E-3</v>
      </c>
      <c r="L117" s="200">
        <f t="shared" ca="1" si="36"/>
        <v>0</v>
      </c>
    </row>
    <row r="118" spans="2:13" s="205" customFormat="1" ht="13.5" customHeight="1" outlineLevel="1">
      <c r="C118" s="118"/>
      <c r="D118" s="118"/>
      <c r="E118" s="118"/>
      <c r="F118" s="29"/>
      <c r="G118" s="29"/>
      <c r="H118" s="68"/>
      <c r="I118" s="68"/>
      <c r="J118" s="68"/>
      <c r="K118" s="68"/>
      <c r="L118" s="68"/>
    </row>
    <row r="119" spans="2:13" s="205" customFormat="1" ht="13.5" customHeight="1" outlineLevel="1">
      <c r="C119" s="39" t="s">
        <v>195</v>
      </c>
      <c r="D119" s="118"/>
      <c r="E119" s="118"/>
      <c r="F119" s="30"/>
      <c r="G119" s="208"/>
      <c r="H119" s="215">
        <f ca="1">H117+H109+H105</f>
        <v>7.0420079999999992</v>
      </c>
      <c r="I119" s="215">
        <f ca="1">I117+I109+I105</f>
        <v>0</v>
      </c>
      <c r="J119" s="215">
        <f ca="1">J117+J109+J105</f>
        <v>8.8512786099553633</v>
      </c>
      <c r="K119" s="215">
        <f ca="1">K117+K109+K105</f>
        <v>12.470083427882683</v>
      </c>
      <c r="L119" s="215">
        <f ca="1">L117+L109+L105</f>
        <v>13.870237512775688</v>
      </c>
      <c r="M119" s="50"/>
    </row>
    <row r="120" spans="2:13" s="205" customFormat="1" ht="5.0999999999999996" customHeight="1" outlineLevel="1" thickBot="1">
      <c r="C120" s="157"/>
      <c r="D120" s="157"/>
      <c r="E120" s="157"/>
      <c r="F120" s="83"/>
      <c r="G120" s="83"/>
      <c r="H120" s="83"/>
      <c r="I120" s="83"/>
      <c r="J120" s="83"/>
      <c r="K120" s="83"/>
      <c r="L120" s="83"/>
    </row>
    <row r="121" spans="2:13" s="205" customFormat="1" ht="13.5" customHeight="1" outlineLevel="1">
      <c r="C121" s="29"/>
      <c r="D121" s="29"/>
      <c r="E121" s="29"/>
      <c r="F121" s="29"/>
      <c r="G121" s="29"/>
      <c r="H121" s="29"/>
      <c r="I121" s="29"/>
      <c r="J121" s="29"/>
      <c r="K121" s="29"/>
      <c r="L121" s="29"/>
    </row>
    <row r="122" spans="2:13" ht="13.5" customHeight="1" outlineLevel="1" thickBot="1"/>
    <row r="123" spans="2:13" ht="21.75" thickTop="1">
      <c r="B123" s="46" t="s">
        <v>61</v>
      </c>
      <c r="C123" s="47" t="s">
        <v>148</v>
      </c>
      <c r="D123" s="48"/>
      <c r="E123" s="49"/>
      <c r="F123" s="49"/>
      <c r="G123" s="49"/>
      <c r="H123" s="49"/>
      <c r="I123" s="49"/>
      <c r="J123" s="49"/>
      <c r="K123" s="49"/>
      <c r="L123" s="49"/>
    </row>
    <row r="124" spans="2:13" ht="5.0999999999999996" customHeight="1" outlineLevel="1">
      <c r="C124" s="51"/>
      <c r="D124" s="52"/>
    </row>
    <row r="125" spans="2:13" ht="13.5" customHeight="1" outlineLevel="1">
      <c r="C125" s="53"/>
      <c r="D125" s="53"/>
      <c r="E125" s="53"/>
      <c r="F125" s="54" t="s">
        <v>63</v>
      </c>
      <c r="G125" s="54" t="s">
        <v>63</v>
      </c>
      <c r="H125" s="55" t="s">
        <v>64</v>
      </c>
      <c r="I125" s="55"/>
      <c r="J125" s="55"/>
      <c r="K125" s="55"/>
      <c r="L125" s="55"/>
    </row>
    <row r="126" spans="2:13" ht="13.5" customHeight="1" outlineLevel="1" thickBot="1">
      <c r="C126" s="56" t="s">
        <v>65</v>
      </c>
      <c r="D126" s="57"/>
      <c r="E126" s="57"/>
      <c r="F126" s="58">
        <f>F$11</f>
        <v>45291</v>
      </c>
      <c r="G126" s="58">
        <f>G$11</f>
        <v>45657</v>
      </c>
      <c r="H126" s="58">
        <f t="shared" ref="H126:L126" si="37">H$11</f>
        <v>46022</v>
      </c>
      <c r="I126" s="58">
        <f t="shared" si="37"/>
        <v>46387</v>
      </c>
      <c r="J126" s="58">
        <f t="shared" si="37"/>
        <v>46752</v>
      </c>
      <c r="K126" s="58">
        <f t="shared" si="37"/>
        <v>47118</v>
      </c>
      <c r="L126" s="58">
        <f t="shared" si="37"/>
        <v>47483</v>
      </c>
    </row>
    <row r="127" spans="2:13" ht="5.0999999999999996" customHeight="1" outlineLevel="1">
      <c r="C127" s="59"/>
      <c r="D127" s="59"/>
      <c r="E127" s="59"/>
      <c r="F127" s="60"/>
      <c r="G127" s="60"/>
      <c r="H127" s="60"/>
      <c r="I127" s="60"/>
      <c r="J127" s="60"/>
      <c r="K127" s="60"/>
    </row>
    <row r="128" spans="2: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8">F61</f>
        <v>16.781419000000003</v>
      </c>
      <c r="G130" s="177">
        <f t="shared" si="38"/>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8"/>
        <v>0.80490099999999998</v>
      </c>
      <c r="G131" s="177">
        <f t="shared" si="38"/>
        <v>1.161057</v>
      </c>
      <c r="H131" s="177">
        <f>(H146/365)*H150</f>
        <v>1.2029011201180084</v>
      </c>
      <c r="I131" s="177">
        <f t="shared" ref="I131:L131" si="39">(I146/365)*I150</f>
        <v>1.3873703794209342</v>
      </c>
      <c r="J131" s="177">
        <f t="shared" si="39"/>
        <v>1.558507558799139</v>
      </c>
      <c r="K131" s="177">
        <f t="shared" si="39"/>
        <v>1.7039999045715051</v>
      </c>
      <c r="L131" s="177">
        <f t="shared" si="39"/>
        <v>1.8119544925477122</v>
      </c>
      <c r="M131" s="50"/>
    </row>
    <row r="132" spans="3:13" ht="13.5" customHeight="1" outlineLevel="1">
      <c r="C132" s="91" t="str">
        <f>C63</f>
        <v>Prepaids and Other Current Assets</v>
      </c>
      <c r="D132" s="68"/>
      <c r="E132" s="68"/>
      <c r="F132" s="177">
        <f t="shared" si="38"/>
        <v>0.26978399999999997</v>
      </c>
      <c r="G132" s="177">
        <f t="shared" si="38"/>
        <v>0.34491899999999998</v>
      </c>
      <c r="H132" s="177">
        <f>H151*H147</f>
        <v>0.3792215684283346</v>
      </c>
      <c r="I132" s="177">
        <f t="shared" ref="I132:L132" si="40">I151*I147</f>
        <v>0.43737657441320382</v>
      </c>
      <c r="J132" s="177">
        <f t="shared" si="40"/>
        <v>0.49132856472628733</v>
      </c>
      <c r="K132" s="177">
        <f t="shared" si="40"/>
        <v>0.53719587221761422</v>
      </c>
      <c r="L132" s="177">
        <f t="shared" si="40"/>
        <v>0.57122918342390505</v>
      </c>
      <c r="M132" s="50"/>
    </row>
    <row r="133" spans="3:13" ht="13.5" customHeight="1" outlineLevel="1">
      <c r="C133" s="65" t="s">
        <v>152</v>
      </c>
      <c r="D133" s="65"/>
      <c r="E133" s="65"/>
      <c r="F133" s="179">
        <f t="shared" ref="F133:L133" si="41">SUM(F130:F132)</f>
        <v>17.856104000000006</v>
      </c>
      <c r="G133" s="179">
        <f t="shared" si="41"/>
        <v>23.790697999999999</v>
      </c>
      <c r="H133" s="179">
        <f t="shared" si="41"/>
        <v>25.594733500229559</v>
      </c>
      <c r="I133" s="179">
        <f t="shared" si="41"/>
        <v>29.519778919074909</v>
      </c>
      <c r="J133" s="179">
        <f t="shared" si="41"/>
        <v>33.161150952826461</v>
      </c>
      <c r="K133" s="179">
        <f t="shared" si="41"/>
        <v>36.256864934705241</v>
      </c>
      <c r="L133" s="179">
        <f t="shared" si="41"/>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42">F74</f>
        <v>2.8058170000000002</v>
      </c>
      <c r="G135" s="177">
        <f t="shared" si="42"/>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42"/>
        <v>2.3839329999999999</v>
      </c>
      <c r="G136" s="177">
        <f t="shared" si="42"/>
        <v>2.7880379999999998</v>
      </c>
      <c r="H136" s="177">
        <f>H154*H147</f>
        <v>3.1966854452582232</v>
      </c>
      <c r="I136" s="177">
        <f t="shared" ref="I136:L136" si="43">I154*I147</f>
        <v>3.6869087782063024</v>
      </c>
      <c r="J136" s="177">
        <f t="shared" si="43"/>
        <v>4.1417023778724023</v>
      </c>
      <c r="K136" s="177">
        <f t="shared" si="43"/>
        <v>4.5283453498910609</v>
      </c>
      <c r="L136" s="177">
        <f t="shared" si="43"/>
        <v>4.8152324882940372</v>
      </c>
      <c r="M136" s="50"/>
    </row>
    <row r="137" spans="3:13" ht="13.5" customHeight="1" outlineLevel="1">
      <c r="C137" s="91" t="str">
        <f>C76</f>
        <v>Accrued Expenses &amp; Other</v>
      </c>
      <c r="D137" s="68"/>
      <c r="E137" s="68"/>
      <c r="F137" s="177">
        <f t="shared" si="42"/>
        <v>2.0579079999999998</v>
      </c>
      <c r="G137" s="177">
        <f t="shared" si="42"/>
        <v>3.2020309999999998</v>
      </c>
      <c r="H137" s="177">
        <f>H155*H147</f>
        <v>3.2317636858846019</v>
      </c>
      <c r="I137" s="177">
        <f t="shared" ref="I137:L137" si="44">I155*I147</f>
        <v>3.727366394541769</v>
      </c>
      <c r="J137" s="177">
        <f t="shared" si="44"/>
        <v>4.1871505882458564</v>
      </c>
      <c r="K137" s="177">
        <f t="shared" si="44"/>
        <v>4.5780363159066395</v>
      </c>
      <c r="L137" s="177">
        <f t="shared" si="44"/>
        <v>4.8680715576328382</v>
      </c>
      <c r="M137" s="50"/>
    </row>
    <row r="138" spans="3:13" ht="13.5" customHeight="1" outlineLevel="1">
      <c r="C138" s="65" t="s">
        <v>156</v>
      </c>
      <c r="D138" s="65"/>
      <c r="E138" s="65"/>
      <c r="F138" s="179">
        <f t="shared" ref="F138:L138" si="45">SUM(F135:F137)</f>
        <v>7.2476579999999995</v>
      </c>
      <c r="G138" s="179">
        <f t="shared" si="45"/>
        <v>8.3507789999999993</v>
      </c>
      <c r="H138" s="179">
        <f t="shared" si="45"/>
        <v>9.6659794002709365</v>
      </c>
      <c r="I138" s="179">
        <f t="shared" si="45"/>
        <v>11.148292477035213</v>
      </c>
      <c r="J138" s="179">
        <f t="shared" si="45"/>
        <v>12.523474878002563</v>
      </c>
      <c r="K138" s="179">
        <f t="shared" si="45"/>
        <v>13.692586780562621</v>
      </c>
      <c r="L138" s="179">
        <f t="shared" si="45"/>
        <v>14.560061925519163</v>
      </c>
    </row>
    <row r="139" spans="3:13" ht="13.5" customHeight="1" outlineLevel="1">
      <c r="C139" s="180" t="s">
        <v>157</v>
      </c>
      <c r="D139" s="180"/>
      <c r="E139" s="180"/>
      <c r="F139" s="181">
        <f t="shared" ref="F139:L139" si="46">F133-F138</f>
        <v>10.608446000000006</v>
      </c>
      <c r="G139" s="181">
        <f t="shared" si="46"/>
        <v>15.439919</v>
      </c>
      <c r="H139" s="181">
        <f t="shared" si="46"/>
        <v>15.928754099958622</v>
      </c>
      <c r="I139" s="181">
        <f t="shared" si="46"/>
        <v>18.371486442039696</v>
      </c>
      <c r="J139" s="181">
        <f t="shared" si="46"/>
        <v>20.637676074823897</v>
      </c>
      <c r="K139" s="181">
        <f t="shared" si="46"/>
        <v>22.56427815414262</v>
      </c>
      <c r="L139" s="181">
        <f t="shared" si="46"/>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7">G139-F139</f>
        <v>4.8314729999999937</v>
      </c>
      <c r="H141" s="182">
        <f t="shared" si="47"/>
        <v>0.48883509995862262</v>
      </c>
      <c r="I141" s="182">
        <f t="shared" si="47"/>
        <v>2.442732342081074</v>
      </c>
      <c r="J141" s="182">
        <f t="shared" si="47"/>
        <v>2.2661896327842008</v>
      </c>
      <c r="K141" s="182">
        <f t="shared" si="47"/>
        <v>1.9266020793187231</v>
      </c>
      <c r="L141" s="182">
        <f t="shared" si="47"/>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8">F13</f>
        <v>78.565675999999996</v>
      </c>
      <c r="G145" s="209">
        <f t="shared" si="48"/>
        <v>90.614007999999998</v>
      </c>
      <c r="H145" s="209">
        <f t="shared" si="48"/>
        <v>104.5099955077592</v>
      </c>
      <c r="I145" s="209">
        <f t="shared" si="48"/>
        <v>120.53698321160066</v>
      </c>
      <c r="J145" s="209">
        <f t="shared" si="48"/>
        <v>135.4056582414087</v>
      </c>
      <c r="K145" s="209">
        <f t="shared" si="48"/>
        <v>148.04626863637753</v>
      </c>
      <c r="L145" s="209">
        <f t="shared" si="48"/>
        <v>157.42553790111026</v>
      </c>
      <c r="M145" s="50"/>
    </row>
    <row r="146" spans="1:19" ht="13.5" customHeight="1" outlineLevel="1">
      <c r="C146" s="68" t="s">
        <v>66</v>
      </c>
      <c r="D146" s="68"/>
      <c r="E146" s="68"/>
      <c r="F146" s="177">
        <f t="shared" si="48"/>
        <v>51.562188999999996</v>
      </c>
      <c r="G146" s="177">
        <f t="shared" si="48"/>
        <v>61.618676000000001</v>
      </c>
      <c r="H146" s="177">
        <f t="shared" si="48"/>
        <v>69.828708282059708</v>
      </c>
      <c r="I146" s="177">
        <f t="shared" si="48"/>
        <v>80.537194523728473</v>
      </c>
      <c r="J146" s="177">
        <f t="shared" si="48"/>
        <v>90.471750220079329</v>
      </c>
      <c r="K146" s="177">
        <f t="shared" si="48"/>
        <v>98.917616966977391</v>
      </c>
      <c r="L146" s="177">
        <f t="shared" si="48"/>
        <v>105.18440756632523</v>
      </c>
      <c r="M146" s="50"/>
    </row>
    <row r="147" spans="1:19" ht="13.5" customHeight="1" outlineLevel="1">
      <c r="C147" s="68" t="s">
        <v>69</v>
      </c>
      <c r="D147" s="68"/>
      <c r="E147" s="68"/>
      <c r="F147" s="177">
        <f t="shared" ref="F147:L147" si="49">F17</f>
        <v>14.179914999999999</v>
      </c>
      <c r="G147" s="177">
        <f t="shared" si="49"/>
        <v>15.4366889395</v>
      </c>
      <c r="H147" s="177">
        <f t="shared" si="49"/>
        <v>18.333216581804578</v>
      </c>
      <c r="I147" s="177">
        <f t="shared" si="49"/>
        <v>21.144681985672378</v>
      </c>
      <c r="J147" s="177">
        <f t="shared" si="49"/>
        <v>23.752955369300096</v>
      </c>
      <c r="K147" s="177">
        <f t="shared" si="49"/>
        <v>25.970380094765407</v>
      </c>
      <c r="L147" s="177">
        <f t="shared" si="49"/>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50">I149</f>
        <v>83.863776892169696</v>
      </c>
      <c r="K149" s="211">
        <f t="shared" si="50"/>
        <v>83.863776892169696</v>
      </c>
      <c r="L149" s="211">
        <f t="shared" si="50"/>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51">I151</f>
        <v>2.0684944550576352E-2</v>
      </c>
      <c r="K151" s="139">
        <f t="shared" si="51"/>
        <v>2.0684944550576352E-2</v>
      </c>
      <c r="L151" s="139">
        <f t="shared" si="51"/>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52">H153</f>
        <v>16.922818383787302</v>
      </c>
      <c r="J153" s="211">
        <f t="shared" si="52"/>
        <v>16.922818383787302</v>
      </c>
      <c r="K153" s="211">
        <f t="shared" si="52"/>
        <v>16.922818383787302</v>
      </c>
      <c r="L153" s="211">
        <f t="shared" si="52"/>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52"/>
        <v>0.17436577105792128</v>
      </c>
      <c r="K154" s="139">
        <f t="shared" si="52"/>
        <v>0.17436577105792128</v>
      </c>
      <c r="L154" s="139">
        <f t="shared" si="52"/>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52"/>
        <v>0.1762791418223944</v>
      </c>
      <c r="K155" s="139">
        <f t="shared" si="52"/>
        <v>0.1762791418223944</v>
      </c>
      <c r="L155" s="139">
        <f t="shared" si="52"/>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9'!F13</f>
        <v>0</v>
      </c>
      <c r="G162" s="122">
        <f>'Financials from CIP'!E13/1000-'Step 9'!G13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9'!F15</f>
        <v>0</v>
      </c>
      <c r="G163" s="122">
        <f>'Financials from CIP'!E19/1000-'Step 9'!G15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9'!F18</f>
        <v>0</v>
      </c>
      <c r="G164" s="122">
        <f>'Financials from CIP'!E36/1000-'Step 9'!G18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9'!F33</f>
        <v>0</v>
      </c>
      <c r="G165" s="122">
        <f>'Financials from CIP'!E34/1000-'Step 9'!G33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9'!F60</f>
        <v>0</v>
      </c>
      <c r="G168" s="122">
        <f>'Financials from CIP'!E46/1000-'Step 9'!G60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9'!F64</f>
        <v>0</v>
      </c>
      <c r="G169" s="122">
        <f>'Financials from CIP'!E51/1000-'Step 9'!G64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9'!F70</f>
        <v>0</v>
      </c>
      <c r="G170" s="122">
        <f>'Financials from CIP'!E56/1000-'Step 9'!G70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9'!F77</f>
        <v>0</v>
      </c>
      <c r="G171" s="122">
        <f>'Financials from CIP'!E61/1000-'Step 9'!G77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9'!F84</f>
        <v>0</v>
      </c>
      <c r="G172" s="122">
        <f>'Financials from CIP'!E69/1000-'Step 9'!G84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9'!F85:F86)</f>
        <v>0</v>
      </c>
      <c r="G173" s="122">
        <f>'Financials from CIP'!E73/1000-SUM('Step 9'!G85:G86)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3">H$11</f>
        <v>46022</v>
      </c>
      <c r="I185" s="58">
        <f t="shared" si="53"/>
        <v>46387</v>
      </c>
      <c r="J185" s="58">
        <f t="shared" si="53"/>
        <v>46752</v>
      </c>
      <c r="K185" s="58">
        <f t="shared" si="53"/>
        <v>47118</v>
      </c>
      <c r="L185" s="58">
        <f t="shared" si="53"/>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4">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4"/>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4"/>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4"/>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4"/>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4"/>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5">-SUM(I187:I193)</f>
        <v>6.1302957891314076</v>
      </c>
      <c r="J194" s="156">
        <f t="shared" ca="1" si="55"/>
        <v>6.4683165246530567</v>
      </c>
      <c r="K194" s="156">
        <f t="shared" ca="1" si="55"/>
        <v>6.8378927245374452</v>
      </c>
      <c r="L194" s="156">
        <f t="shared" ca="1" si="55"/>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B198" s="46" t="s">
        <v>61</v>
      </c>
      <c r="C198" s="47" t="s">
        <v>199</v>
      </c>
      <c r="D198" s="48"/>
      <c r="E198" s="49"/>
      <c r="F198" s="49"/>
      <c r="G198" s="49"/>
      <c r="H198" s="49"/>
      <c r="I198" s="49"/>
      <c r="J198" s="49"/>
      <c r="K198" s="49"/>
      <c r="L198" s="49"/>
      <c r="M198" s="50"/>
    </row>
    <row r="199" spans="1:19" ht="5.0999999999999996" customHeight="1" outlineLevel="1">
      <c r="M199" s="50"/>
    </row>
    <row r="200" spans="1:19" ht="13.5" customHeight="1" outlineLevel="1">
      <c r="C200" s="53"/>
      <c r="D200" s="53"/>
      <c r="E200" s="53"/>
      <c r="F200" s="54" t="s">
        <v>63</v>
      </c>
      <c r="G200" s="54" t="s">
        <v>63</v>
      </c>
      <c r="H200" s="55" t="s">
        <v>64</v>
      </c>
      <c r="I200" s="55"/>
      <c r="J200" s="55"/>
      <c r="K200" s="55"/>
      <c r="L200" s="55"/>
    </row>
    <row r="201" spans="1:19" ht="13.5" customHeight="1" outlineLevel="1" thickBot="1">
      <c r="C201" s="56" t="s">
        <v>65</v>
      </c>
      <c r="D201" s="57"/>
      <c r="E201" s="57"/>
      <c r="F201" s="58">
        <f>F$11</f>
        <v>45291</v>
      </c>
      <c r="G201" s="58">
        <f>G$11</f>
        <v>45657</v>
      </c>
      <c r="H201" s="58">
        <f t="shared" ref="H201:L201" si="56">H$11</f>
        <v>46022</v>
      </c>
      <c r="I201" s="58">
        <f t="shared" si="56"/>
        <v>46387</v>
      </c>
      <c r="J201" s="58">
        <f t="shared" si="56"/>
        <v>46752</v>
      </c>
      <c r="K201" s="58">
        <f t="shared" si="56"/>
        <v>47118</v>
      </c>
      <c r="L201" s="58">
        <f t="shared" si="56"/>
        <v>47483</v>
      </c>
    </row>
    <row r="202" spans="1:19" ht="5.0999999999999996" customHeight="1" outlineLevel="1">
      <c r="M202" s="50"/>
    </row>
    <row r="203" spans="1:19" ht="13.5" customHeight="1" outlineLevel="1">
      <c r="C203" s="68" t="s">
        <v>247</v>
      </c>
      <c r="D203" s="68"/>
      <c r="E203" s="68"/>
      <c r="F203" s="68"/>
      <c r="G203" s="132"/>
      <c r="H203" s="152">
        <f>G60</f>
        <v>2.9579920000000004</v>
      </c>
      <c r="I203" s="152">
        <f ca="1">H60</f>
        <v>10</v>
      </c>
      <c r="J203" s="152">
        <f ca="1">I60</f>
        <v>10</v>
      </c>
      <c r="K203" s="152">
        <f ca="1">J60</f>
        <v>18.851278609955365</v>
      </c>
      <c r="L203" s="152">
        <f ca="1">K60</f>
        <v>31.32136203783805</v>
      </c>
      <c r="M203" s="50"/>
    </row>
    <row r="204" spans="1:19" ht="13.5" customHeight="1" outlineLevel="1">
      <c r="C204" s="68" t="s">
        <v>249</v>
      </c>
      <c r="D204" s="68"/>
      <c r="E204" s="68"/>
      <c r="F204" s="68"/>
      <c r="G204" s="250"/>
      <c r="H204" s="159">
        <v>-10</v>
      </c>
      <c r="I204" s="159">
        <v>-10</v>
      </c>
      <c r="J204" s="159">
        <v>-10</v>
      </c>
      <c r="K204" s="159">
        <v>-10</v>
      </c>
      <c r="L204" s="159">
        <v>-10</v>
      </c>
      <c r="M204" s="50"/>
    </row>
    <row r="205" spans="1:19" ht="13.5" customHeight="1" outlineLevel="1">
      <c r="C205" s="65" t="s">
        <v>251</v>
      </c>
      <c r="D205" s="65"/>
      <c r="E205" s="65"/>
      <c r="F205" s="65"/>
      <c r="G205" s="197"/>
      <c r="H205" s="179">
        <f>SUM(H203:H204)</f>
        <v>-7.0420079999999992</v>
      </c>
      <c r="I205" s="179">
        <f ca="1">SUM(I203:I204)</f>
        <v>0</v>
      </c>
      <c r="J205" s="179">
        <f ca="1">SUM(J203:J204)</f>
        <v>0</v>
      </c>
      <c r="K205" s="179">
        <f ca="1">SUM(K203:K204)</f>
        <v>8.8512786099553651</v>
      </c>
      <c r="L205" s="179">
        <f ca="1">SUM(L203:L204)</f>
        <v>21.32136203783805</v>
      </c>
      <c r="M205" s="50"/>
    </row>
    <row r="206" spans="1:19" ht="13.5" customHeight="1" outlineLevel="1">
      <c r="C206" s="68" t="s">
        <v>253</v>
      </c>
      <c r="D206" s="68"/>
      <c r="E206" s="68"/>
      <c r="F206" s="68"/>
      <c r="G206" s="250"/>
      <c r="H206" s="149">
        <f ca="1">H105+H109</f>
        <v>9.2866781863307679</v>
      </c>
      <c r="I206" s="149">
        <f t="shared" ref="I206:L206" ca="1" si="57">I105+I109</f>
        <v>9.078002063089194</v>
      </c>
      <c r="J206" s="149">
        <f t="shared" ca="1" si="57"/>
        <v>10.912928910535399</v>
      </c>
      <c r="K206" s="149">
        <f t="shared" ca="1" si="57"/>
        <v>12.474516877882682</v>
      </c>
      <c r="L206" s="149">
        <f t="shared" ca="1" si="57"/>
        <v>13.870237512775688</v>
      </c>
      <c r="M206" s="50"/>
    </row>
    <row r="207" spans="1:19" ht="13.5" customHeight="1" outlineLevel="1">
      <c r="C207" s="70" t="s">
        <v>255</v>
      </c>
      <c r="D207" s="70"/>
      <c r="E207" s="70"/>
      <c r="F207" s="70"/>
      <c r="G207" s="252"/>
      <c r="H207" s="198">
        <f ca="1">SUM(H205:H206)</f>
        <v>2.2446701863307688</v>
      </c>
      <c r="I207" s="198">
        <f ca="1">SUM(I205:I206)</f>
        <v>9.078002063089194</v>
      </c>
      <c r="J207" s="198">
        <f ca="1">SUM(J205:J206)</f>
        <v>10.912928910535399</v>
      </c>
      <c r="K207" s="198">
        <f ca="1">SUM(K205:K206)</f>
        <v>21.325795487838047</v>
      </c>
      <c r="L207" s="198">
        <f ca="1">SUM(L205:L206)</f>
        <v>35.191599550613738</v>
      </c>
      <c r="M207" s="50"/>
    </row>
    <row r="208" spans="1:19" ht="5.0999999999999996" customHeight="1" outlineLevel="1">
      <c r="C208" s="68"/>
      <c r="D208" s="68"/>
      <c r="E208" s="68"/>
      <c r="F208" s="68"/>
      <c r="G208" s="154"/>
      <c r="H208" s="154"/>
      <c r="I208" s="154"/>
      <c r="J208" s="154"/>
      <c r="K208" s="154"/>
      <c r="L208" s="154"/>
    </row>
    <row r="209" spans="3:13" ht="13.5" customHeight="1" outlineLevel="1">
      <c r="C209" s="72" t="s">
        <v>257</v>
      </c>
      <c r="D209" s="68"/>
      <c r="E209" s="68"/>
      <c r="F209" s="68"/>
      <c r="G209" s="154"/>
      <c r="H209" s="154"/>
      <c r="I209" s="154"/>
      <c r="J209" s="154"/>
      <c r="K209" s="154"/>
      <c r="L209" s="154"/>
    </row>
    <row r="210" spans="3:13" ht="13.5" customHeight="1" outlineLevel="1">
      <c r="C210" s="91" t="str">
        <f>+C237</f>
        <v>Term Loan A</v>
      </c>
      <c r="D210" s="118"/>
      <c r="E210" s="118"/>
      <c r="G210" s="250"/>
      <c r="H210" s="149">
        <f>H239</f>
        <v>-2.4002902000000002</v>
      </c>
      <c r="I210" s="149">
        <f ca="1">I239</f>
        <v>-2.4002902000000002</v>
      </c>
      <c r="J210" s="149">
        <f ca="1">J239</f>
        <v>-2.0034806505800358</v>
      </c>
      <c r="K210" s="149">
        <f ca="1">K239</f>
        <v>0</v>
      </c>
      <c r="L210" s="149">
        <f ca="1">L239</f>
        <v>0</v>
      </c>
      <c r="M210" s="50"/>
    </row>
    <row r="211" spans="3:13" ht="13.5" customHeight="1" outlineLevel="1">
      <c r="C211" s="91" t="str">
        <f>+C243</f>
        <v>Subordinated - Note 1</v>
      </c>
      <c r="D211" s="118"/>
      <c r="E211" s="118"/>
      <c r="G211" s="250"/>
      <c r="H211" s="149">
        <f>H245</f>
        <v>-1.7067599999999999E-2</v>
      </c>
      <c r="I211" s="149">
        <f ca="1">I245</f>
        <v>-1.7067599999999999E-2</v>
      </c>
      <c r="J211" s="149">
        <f ca="1">J245</f>
        <v>-1.7067599999999999E-2</v>
      </c>
      <c r="K211" s="149">
        <f ca="1">K245</f>
        <v>0</v>
      </c>
      <c r="L211" s="149">
        <f ca="1">L245</f>
        <v>0</v>
      </c>
      <c r="M211" s="50"/>
    </row>
    <row r="212" spans="3:13" ht="13.5" customHeight="1" outlineLevel="1">
      <c r="C212" s="91" t="str">
        <f>+C249</f>
        <v>Subordinated - Note 2</v>
      </c>
      <c r="D212" s="118"/>
      <c r="E212" s="118"/>
      <c r="G212" s="250"/>
      <c r="H212" s="149">
        <f>H251</f>
        <v>-6.3334999999999997E-4</v>
      </c>
      <c r="I212" s="149">
        <f ca="1">I251</f>
        <v>-6.3334999999999997E-4</v>
      </c>
      <c r="J212" s="149">
        <f ca="1">J251</f>
        <v>-6.3334999999999997E-4</v>
      </c>
      <c r="K212" s="149">
        <f ca="1">K251</f>
        <v>-6.3334999999999997E-4</v>
      </c>
      <c r="L212" s="149">
        <f ca="1">L251</f>
        <v>0</v>
      </c>
      <c r="M212" s="50"/>
    </row>
    <row r="213" spans="3:13" ht="13.5" customHeight="1" outlineLevel="1">
      <c r="C213" s="65" t="s">
        <v>261</v>
      </c>
      <c r="D213" s="65"/>
      <c r="E213" s="65"/>
      <c r="F213" s="65"/>
      <c r="G213" s="197"/>
      <c r="H213" s="179">
        <f>SUM(H210:H212)</f>
        <v>-2.4179911500000002</v>
      </c>
      <c r="I213" s="179">
        <f ca="1">SUM(I210:I212)</f>
        <v>-2.4179911500000002</v>
      </c>
      <c r="J213" s="179">
        <f ca="1">SUM(J210:J212)</f>
        <v>-2.0211816005800358</v>
      </c>
      <c r="K213" s="179">
        <f ca="1">SUM(K210:K212)</f>
        <v>-6.3334999999999997E-4</v>
      </c>
      <c r="L213" s="179">
        <f ca="1">SUM(L210:L212)</f>
        <v>0</v>
      </c>
      <c r="M213" s="50"/>
    </row>
    <row r="214" spans="3:13" ht="13.5" customHeight="1" outlineLevel="1">
      <c r="C214" s="180" t="s">
        <v>263</v>
      </c>
      <c r="D214" s="180"/>
      <c r="E214" s="180"/>
      <c r="F214" s="180"/>
      <c r="G214" s="199"/>
      <c r="H214" s="200">
        <f ca="1">SUM(H213,H207)</f>
        <v>-0.17332096366923144</v>
      </c>
      <c r="I214" s="200">
        <f ca="1">SUM(I213,I207)</f>
        <v>6.6600109130891934</v>
      </c>
      <c r="J214" s="200">
        <f ca="1">SUM(J213,J207)</f>
        <v>8.8917473099553632</v>
      </c>
      <c r="K214" s="200">
        <f ca="1">SUM(K213,K207)</f>
        <v>21.325162137838046</v>
      </c>
      <c r="L214" s="200">
        <f ca="1">SUM(L213,L207)</f>
        <v>35.191599550613738</v>
      </c>
      <c r="M214" s="50"/>
    </row>
    <row r="215" spans="3:13" ht="13.5" customHeight="1" outlineLevel="1">
      <c r="C215" s="59"/>
      <c r="D215" s="59"/>
      <c r="E215" s="59"/>
      <c r="F215" s="60"/>
      <c r="G215" s="60"/>
      <c r="H215" s="268"/>
      <c r="I215" s="268"/>
      <c r="J215" s="268"/>
      <c r="K215" s="268"/>
      <c r="L215" s="68"/>
    </row>
    <row r="216" spans="3:13" ht="13.5" customHeight="1" outlineLevel="1">
      <c r="C216" s="68" t="s">
        <v>265</v>
      </c>
      <c r="D216" s="59"/>
      <c r="E216" s="59"/>
      <c r="F216" s="60"/>
      <c r="G216" s="60"/>
      <c r="H216" s="149">
        <f ca="1">MIN(MAX(0,-H214),H235-H229)</f>
        <v>0.17332096366923144</v>
      </c>
      <c r="I216" s="149">
        <f ca="1">MIN(MAX(0,-I214),I235-I229)</f>
        <v>0</v>
      </c>
      <c r="J216" s="149">
        <f ca="1">MIN(MAX(0,-J214),J235-J229)</f>
        <v>0</v>
      </c>
      <c r="K216" s="149">
        <f ca="1">MIN(MAX(0,-K214),K235-K229)</f>
        <v>0</v>
      </c>
      <c r="L216" s="149">
        <f ca="1">MIN(MAX(0,-L214),L235-L229)</f>
        <v>0</v>
      </c>
      <c r="M216" s="50"/>
    </row>
    <row r="217" spans="3:13" ht="13.5" customHeight="1" outlineLevel="1">
      <c r="C217" s="59"/>
      <c r="D217" s="59"/>
      <c r="E217" s="59"/>
      <c r="F217" s="60"/>
      <c r="G217" s="60"/>
      <c r="H217" s="149"/>
      <c r="I217" s="149"/>
      <c r="J217" s="149"/>
      <c r="K217" s="149"/>
      <c r="L217" s="149"/>
    </row>
    <row r="218" spans="3:13" ht="13.5" customHeight="1" outlineLevel="1">
      <c r="C218" s="72" t="s">
        <v>267</v>
      </c>
      <c r="D218" s="68"/>
      <c r="E218" s="68"/>
      <c r="F218" s="68"/>
      <c r="G218" s="147"/>
      <c r="H218" s="149"/>
      <c r="I218" s="149"/>
      <c r="J218" s="149"/>
      <c r="K218" s="149"/>
      <c r="L218" s="149"/>
    </row>
    <row r="219" spans="3:13" ht="13.5" customHeight="1" outlineLevel="1">
      <c r="C219" s="68" t="s">
        <v>268</v>
      </c>
      <c r="D219" s="68"/>
      <c r="E219" s="68"/>
      <c r="F219" s="68"/>
      <c r="G219" s="132"/>
      <c r="H219" s="149">
        <f ca="1">-MAX(0,MIN(H229,SUM(H$214:H218),H229*$L267))</f>
        <v>0</v>
      </c>
      <c r="I219" s="149">
        <f ca="1">-MAX(0,MIN(I229,SUM(I$214:I218),I229*$L267))</f>
        <v>-1.4626209636692313</v>
      </c>
      <c r="J219" s="149">
        <f ca="1">-MAX(0,MIN(J229,SUM(J$214:J218),J229*$L267))</f>
        <v>0</v>
      </c>
      <c r="K219" s="149">
        <f ca="1">-MAX(0,MIN(K229,SUM(K$214:K218),K229*$L267))</f>
        <v>0</v>
      </c>
      <c r="L219" s="149">
        <f ca="1">-MAX(0,MIN(L229,SUM(L$214:L218),L229*$L267))</f>
        <v>0</v>
      </c>
      <c r="M219" s="50"/>
    </row>
    <row r="220" spans="3:13" ht="13.5" customHeight="1" outlineLevel="1">
      <c r="C220" s="68" t="str">
        <f>+C210</f>
        <v>Term Loan A</v>
      </c>
      <c r="D220" s="68"/>
      <c r="E220" s="68"/>
      <c r="F220" s="68"/>
      <c r="G220" s="154"/>
      <c r="H220" s="149">
        <f ca="1">-MAX(0,MIN(SUM(H238:H239),SUM(H$214:H219),$G241*$L268))</f>
        <v>0</v>
      </c>
      <c r="I220" s="149">
        <f ca="1">-MAX(0,MIN(SUM(I238:I239),SUM(I$214:I219),$G241*$L268))</f>
        <v>-5.1973899494199625</v>
      </c>
      <c r="J220" s="149">
        <f ca="1">-MAX(0,MIN(SUM(J238:J239),SUM(J$214:J219),$G241*$L268))</f>
        <v>0</v>
      </c>
      <c r="K220" s="149">
        <f ca="1">-MAX(0,MIN(SUM(K238:K239),SUM(K$214:K219),$G241*$L268))</f>
        <v>0</v>
      </c>
      <c r="L220" s="149">
        <f ca="1">-MAX(0,MIN(SUM(L238:L239),SUM(L$214:L219),$G241*$L268))</f>
        <v>0</v>
      </c>
      <c r="M220" s="50"/>
    </row>
    <row r="221" spans="3:13" ht="13.5" customHeight="1" outlineLevel="1">
      <c r="C221" s="68" t="str">
        <f>+C211</f>
        <v>Subordinated - Note 1</v>
      </c>
      <c r="D221" s="68"/>
      <c r="E221" s="68"/>
      <c r="F221" s="68"/>
      <c r="G221" s="154"/>
      <c r="H221" s="149">
        <f ca="1">-MAX(0,MIN(SUM(H244:H245),SUM(H$214:H220),$G247*$L269))</f>
        <v>0</v>
      </c>
      <c r="I221" s="149">
        <f ca="1">-MAX(0,MIN(SUM(I244:I245),SUM(I$214:I220),$G247*$L269))</f>
        <v>0</v>
      </c>
      <c r="J221" s="149">
        <f ca="1">-MAX(0,MIN(SUM(J244:J245),SUM(J$214:J220),$G247*$L269))</f>
        <v>-3.4135199999999991E-2</v>
      </c>
      <c r="K221" s="149">
        <f ca="1">-MAX(0,MIN(SUM(K244:K245),SUM(K$214:K220),$G247*$L269))</f>
        <v>0</v>
      </c>
      <c r="L221" s="149">
        <f ca="1">-MAX(0,MIN(SUM(L244:L245),SUM(L$214:L220),$G247*$L269))</f>
        <v>0</v>
      </c>
      <c r="M221" s="50"/>
    </row>
    <row r="222" spans="3:13" ht="13.5" customHeight="1" outlineLevel="1">
      <c r="C222" s="68" t="str">
        <f>+C212</f>
        <v>Subordinated - Note 2</v>
      </c>
      <c r="D222" s="68"/>
      <c r="E222" s="68"/>
      <c r="F222" s="68"/>
      <c r="G222" s="154"/>
      <c r="H222" s="149">
        <f ca="1">-MAX(0,MIN(SUM(H250:H251),SUM(H$214:H221),$G253*$L270))</f>
        <v>0</v>
      </c>
      <c r="I222" s="149">
        <f ca="1">-MAX(0,MIN(SUM(I250:I251),SUM(I$214:I221),$G253*$L270))</f>
        <v>0</v>
      </c>
      <c r="J222" s="149">
        <f ca="1">-MAX(0,MIN(SUM(J250:J251),SUM(J$214:J221),$G253*$L270))</f>
        <v>-6.3334999999999997E-3</v>
      </c>
      <c r="K222" s="149">
        <f ca="1">-MAX(0,MIN(SUM(K250:K251),SUM(K$214:K221),$G253*$L270))</f>
        <v>-3.8001000000000011E-3</v>
      </c>
      <c r="L222" s="149">
        <f ca="1">-MAX(0,MIN(SUM(L250:L251),SUM(L$214:L221),$G253*$L270))</f>
        <v>0</v>
      </c>
      <c r="M222" s="50"/>
    </row>
    <row r="223" spans="3:13" ht="13.5" customHeight="1" outlineLevel="1">
      <c r="C223" s="65" t="s">
        <v>273</v>
      </c>
      <c r="D223" s="65"/>
      <c r="E223" s="65"/>
      <c r="F223" s="65"/>
      <c r="G223" s="257"/>
      <c r="H223" s="179">
        <f ca="1">+SUM(H219:H222)</f>
        <v>0</v>
      </c>
      <c r="I223" s="179">
        <f t="shared" ref="I223:L223" ca="1" si="58">+SUM(I219:I222)</f>
        <v>-6.6600109130891934</v>
      </c>
      <c r="J223" s="179">
        <f t="shared" ca="1" si="58"/>
        <v>-4.0468699999999989E-2</v>
      </c>
      <c r="K223" s="179">
        <f t="shared" ca="1" si="58"/>
        <v>-3.8001000000000011E-3</v>
      </c>
      <c r="L223" s="179">
        <f t="shared" ca="1" si="58"/>
        <v>0</v>
      </c>
      <c r="M223" s="50"/>
    </row>
    <row r="224" spans="3:13" ht="13.5" customHeight="1" outlineLevel="1">
      <c r="C224" s="258"/>
      <c r="D224" s="53"/>
      <c r="E224" s="53"/>
      <c r="F224" s="259"/>
      <c r="G224" s="259"/>
      <c r="H224" s="259"/>
      <c r="I224" s="259"/>
      <c r="J224" s="259"/>
      <c r="K224" s="259"/>
      <c r="L224" s="259"/>
    </row>
    <row r="225" spans="3:13" ht="5.0999999999999996" customHeight="1" outlineLevel="1">
      <c r="C225" s="59"/>
      <c r="D225" s="59"/>
      <c r="E225" s="59"/>
      <c r="F225" s="60"/>
      <c r="G225" s="60"/>
      <c r="H225" s="60"/>
      <c r="I225" s="60"/>
      <c r="J225" s="60"/>
      <c r="K225" s="60"/>
    </row>
    <row r="226" spans="3:13" ht="13.5" customHeight="1" outlineLevel="1">
      <c r="C226" s="84" t="s">
        <v>201</v>
      </c>
      <c r="D226" s="85"/>
      <c r="E226" s="86"/>
      <c r="F226" s="86"/>
      <c r="G226" s="86"/>
      <c r="H226" s="86"/>
      <c r="I226" s="86"/>
      <c r="J226" s="86"/>
      <c r="K226" s="86"/>
      <c r="L226" s="87"/>
    </row>
    <row r="227" spans="3:13" ht="13.5" customHeight="1" outlineLevel="1">
      <c r="M227" s="30"/>
    </row>
    <row r="228" spans="3:13" ht="13.5" customHeight="1" outlineLevel="1">
      <c r="C228" s="216" t="str">
        <f>+C113</f>
        <v>Revolver</v>
      </c>
      <c r="D228" s="217"/>
      <c r="E228" s="217"/>
      <c r="F228" s="218"/>
      <c r="G228" s="219"/>
      <c r="H228" s="220"/>
      <c r="I228" s="220"/>
      <c r="J228" s="220"/>
      <c r="K228" s="220"/>
      <c r="L228" s="220"/>
    </row>
    <row r="229" spans="3:13" ht="13.5" customHeight="1" outlineLevel="1">
      <c r="C229" s="98" t="s">
        <v>202</v>
      </c>
      <c r="D229" s="118"/>
      <c r="E229" s="118"/>
      <c r="G229" s="149"/>
      <c r="H229" s="152">
        <f>G232</f>
        <v>1.2892999999999999</v>
      </c>
      <c r="I229" s="152">
        <f ca="1">H232</f>
        <v>1.4626209636692313</v>
      </c>
      <c r="J229" s="152">
        <f ca="1">I232</f>
        <v>0</v>
      </c>
      <c r="K229" s="152">
        <f ca="1">J232</f>
        <v>0</v>
      </c>
      <c r="L229" s="152">
        <f ca="1">K232</f>
        <v>0</v>
      </c>
      <c r="M229" s="50"/>
    </row>
    <row r="230" spans="3:13" ht="13.5" customHeight="1" outlineLevel="1">
      <c r="C230" s="91" t="s">
        <v>204</v>
      </c>
      <c r="D230" s="118"/>
      <c r="E230" s="118"/>
      <c r="G230" s="149"/>
      <c r="H230" s="149">
        <f ca="1">H216</f>
        <v>0.17332096366923144</v>
      </c>
      <c r="I230" s="149">
        <f ca="1">I216</f>
        <v>0</v>
      </c>
      <c r="J230" s="149">
        <f ca="1">J216</f>
        <v>0</v>
      </c>
      <c r="K230" s="149">
        <f ca="1">K216</f>
        <v>0</v>
      </c>
      <c r="L230" s="149">
        <f ca="1">L216</f>
        <v>0</v>
      </c>
      <c r="M230" s="50"/>
    </row>
    <row r="231" spans="3:13" ht="13.5" customHeight="1" outlineLevel="1">
      <c r="C231" s="91" t="s">
        <v>206</v>
      </c>
      <c r="D231" s="118"/>
      <c r="E231" s="118"/>
      <c r="G231" s="149"/>
      <c r="H231" s="149">
        <f ca="1">H219</f>
        <v>0</v>
      </c>
      <c r="I231" s="149">
        <f ca="1">I219</f>
        <v>-1.4626209636692313</v>
      </c>
      <c r="J231" s="149">
        <f ca="1">J219</f>
        <v>0</v>
      </c>
      <c r="K231" s="149">
        <f ca="1">K219</f>
        <v>0</v>
      </c>
      <c r="L231" s="149">
        <f ca="1">L219</f>
        <v>0</v>
      </c>
      <c r="M231" s="50"/>
    </row>
    <row r="232" spans="3:13" ht="13.5" customHeight="1" outlineLevel="1">
      <c r="C232" s="65" t="s">
        <v>207</v>
      </c>
      <c r="D232" s="65"/>
      <c r="E232" s="65"/>
      <c r="F232" s="65"/>
      <c r="G232" s="260">
        <f>G78</f>
        <v>1.2892999999999999</v>
      </c>
      <c r="H232" s="260">
        <f ca="1">SUM(H229:H231)</f>
        <v>1.4626209636692313</v>
      </c>
      <c r="I232" s="260">
        <f ca="1">SUM(I229:I231)</f>
        <v>0</v>
      </c>
      <c r="J232" s="260">
        <f ca="1">SUM(J229:J231)</f>
        <v>0</v>
      </c>
      <c r="K232" s="260">
        <f ca="1">SUM(K229:K231)</f>
        <v>0</v>
      </c>
      <c r="L232" s="260">
        <f ca="1">SUM(L229:L231)</f>
        <v>0</v>
      </c>
      <c r="M232" s="50"/>
    </row>
    <row r="233" spans="3:13" ht="13.5" customHeight="1" outlineLevel="1">
      <c r="C233" s="68"/>
      <c r="D233" s="68"/>
      <c r="E233" s="68"/>
      <c r="F233" s="68"/>
      <c r="G233" s="147"/>
      <c r="H233" s="154"/>
      <c r="I233" s="68"/>
      <c r="J233" s="68"/>
      <c r="K233" s="68"/>
      <c r="L233" s="68"/>
    </row>
    <row r="234" spans="3:13" ht="13.5" customHeight="1" outlineLevel="1">
      <c r="C234" s="68" t="s">
        <v>209</v>
      </c>
      <c r="D234" s="68"/>
      <c r="E234" s="68"/>
      <c r="F234" s="68"/>
      <c r="G234" s="159">
        <v>30</v>
      </c>
      <c r="H234" s="159">
        <v>30</v>
      </c>
      <c r="I234" s="159">
        <v>30</v>
      </c>
      <c r="J234" s="159">
        <v>30</v>
      </c>
      <c r="K234" s="159">
        <v>30</v>
      </c>
      <c r="L234" s="159">
        <v>30</v>
      </c>
      <c r="M234" s="50"/>
    </row>
    <row r="235" spans="3:13" ht="13.5" customHeight="1" outlineLevel="1">
      <c r="C235" s="98" t="s">
        <v>211</v>
      </c>
      <c r="D235" s="223"/>
      <c r="E235" s="223"/>
      <c r="F235" s="223"/>
      <c r="G235" s="177">
        <f t="shared" ref="G235:L235" si="59">G234-G232</f>
        <v>28.710699999999999</v>
      </c>
      <c r="H235" s="177">
        <f t="shared" ca="1" si="59"/>
        <v>28.537379036330769</v>
      </c>
      <c r="I235" s="177">
        <f t="shared" ca="1" si="59"/>
        <v>30</v>
      </c>
      <c r="J235" s="177">
        <f t="shared" ca="1" si="59"/>
        <v>30</v>
      </c>
      <c r="K235" s="177">
        <f t="shared" ca="1" si="59"/>
        <v>30</v>
      </c>
      <c r="L235" s="177">
        <f t="shared" ca="1" si="59"/>
        <v>30</v>
      </c>
      <c r="M235" s="50"/>
    </row>
    <row r="236" spans="3:13" ht="13.5" customHeight="1" outlineLevel="1">
      <c r="C236" s="68"/>
      <c r="G236" s="68"/>
      <c r="H236" s="68"/>
      <c r="I236" s="68"/>
      <c r="J236" s="68"/>
      <c r="K236" s="68"/>
      <c r="L236" s="68"/>
    </row>
    <row r="237" spans="3:13" ht="13.5" customHeight="1" outlineLevel="1">
      <c r="C237" s="216" t="str">
        <f>+C114</f>
        <v>Term Loan A</v>
      </c>
      <c r="D237" s="217"/>
      <c r="E237" s="217"/>
      <c r="F237" s="218"/>
      <c r="G237" s="219"/>
      <c r="H237" s="224"/>
      <c r="I237" s="224"/>
      <c r="J237" s="225"/>
      <c r="K237" s="225"/>
      <c r="L237" s="225"/>
    </row>
    <row r="238" spans="3:13" ht="13.5" customHeight="1" outlineLevel="1">
      <c r="C238" s="98" t="s">
        <v>202</v>
      </c>
      <c r="D238" s="118"/>
      <c r="E238" s="118"/>
      <c r="G238" s="149"/>
      <c r="H238" s="152">
        <f>G241</f>
        <v>12.001450999999999</v>
      </c>
      <c r="I238" s="152">
        <f ca="1">H241</f>
        <v>9.6011607999999988</v>
      </c>
      <c r="J238" s="152">
        <f ca="1">I241</f>
        <v>2.0034806505800358</v>
      </c>
      <c r="K238" s="152">
        <f ca="1">J241</f>
        <v>0</v>
      </c>
      <c r="L238" s="152">
        <f ca="1">K241</f>
        <v>0</v>
      </c>
      <c r="M238" s="50"/>
    </row>
    <row r="239" spans="3:13" ht="13.5" customHeight="1" outlineLevel="1">
      <c r="C239" s="91" t="s">
        <v>214</v>
      </c>
      <c r="D239" s="118"/>
      <c r="E239" s="118"/>
      <c r="G239" s="149"/>
      <c r="H239" s="177">
        <f>-MIN(($G241*H258),H238)</f>
        <v>-2.4002902000000002</v>
      </c>
      <c r="I239" s="177">
        <f ca="1">-MIN(($G241*I258),I238)</f>
        <v>-2.4002902000000002</v>
      </c>
      <c r="J239" s="177">
        <f ca="1">-MIN(($G241*J258),J238)</f>
        <v>-2.0034806505800358</v>
      </c>
      <c r="K239" s="177">
        <f ca="1">-MIN(($G241*K258),K238)</f>
        <v>0</v>
      </c>
      <c r="L239" s="177">
        <f ca="1">-MIN(($G241*L258),L238)</f>
        <v>0</v>
      </c>
      <c r="M239" s="50"/>
    </row>
    <row r="240" spans="3:13" ht="13.5" customHeight="1" outlineLevel="1">
      <c r="C240" s="91" t="s">
        <v>216</v>
      </c>
      <c r="D240" s="118"/>
      <c r="E240" s="118"/>
      <c r="G240" s="149"/>
      <c r="H240" s="177">
        <f ca="1">H220</f>
        <v>0</v>
      </c>
      <c r="I240" s="177">
        <f t="shared" ref="I240:L240" ca="1" si="60">I220</f>
        <v>-5.1973899494199625</v>
      </c>
      <c r="J240" s="177">
        <f t="shared" ca="1" si="60"/>
        <v>0</v>
      </c>
      <c r="K240" s="177">
        <f t="shared" ca="1" si="60"/>
        <v>0</v>
      </c>
      <c r="L240" s="177">
        <f t="shared" ca="1" si="60"/>
        <v>0</v>
      </c>
      <c r="M240" s="50"/>
    </row>
    <row r="241" spans="3:13" ht="13.5" customHeight="1" outlineLevel="1">
      <c r="C241" s="65" t="s">
        <v>207</v>
      </c>
      <c r="D241" s="65"/>
      <c r="E241" s="65"/>
      <c r="F241" s="65"/>
      <c r="G241" s="260">
        <f>G79</f>
        <v>12.001450999999999</v>
      </c>
      <c r="H241" s="261">
        <f ca="1">SUM(H238:H240)</f>
        <v>9.6011607999999988</v>
      </c>
      <c r="I241" s="261">
        <f ca="1">SUM(I238:I240)</f>
        <v>2.0034806505800358</v>
      </c>
      <c r="J241" s="261">
        <f ca="1">SUM(J238:J240)</f>
        <v>0</v>
      </c>
      <c r="K241" s="261">
        <f ca="1">SUM(K238:K240)</f>
        <v>0</v>
      </c>
      <c r="L241" s="261">
        <f ca="1">SUM(L238:L240)</f>
        <v>0</v>
      </c>
      <c r="M241" s="50"/>
    </row>
    <row r="242" spans="3:13" ht="13.5" customHeight="1" outlineLevel="1">
      <c r="C242" s="68"/>
      <c r="G242" s="68"/>
      <c r="H242" s="68"/>
      <c r="I242" s="68"/>
      <c r="J242" s="68"/>
      <c r="K242" s="68"/>
      <c r="L242" s="68"/>
    </row>
    <row r="243" spans="3:13" ht="13.5" customHeight="1" outlineLevel="1">
      <c r="C243" s="216" t="str">
        <f>+C115</f>
        <v>Subordinated - Note 1</v>
      </c>
      <c r="D243" s="217"/>
      <c r="E243" s="217"/>
      <c r="F243" s="218"/>
      <c r="G243" s="219"/>
      <c r="H243" s="224"/>
      <c r="I243" s="224"/>
      <c r="J243" s="225"/>
      <c r="K243" s="225"/>
      <c r="L243" s="225"/>
    </row>
    <row r="244" spans="3:13" ht="13.5" customHeight="1" outlineLevel="1">
      <c r="C244" s="98" t="s">
        <v>202</v>
      </c>
      <c r="D244" s="118"/>
      <c r="E244" s="118"/>
      <c r="G244" s="228"/>
      <c r="H244" s="228">
        <f>G247</f>
        <v>8.5337999999999997E-2</v>
      </c>
      <c r="I244" s="228">
        <f ca="1">H247</f>
        <v>6.8270399999999995E-2</v>
      </c>
      <c r="J244" s="228">
        <f ca="1">I247</f>
        <v>5.1202799999999993E-2</v>
      </c>
      <c r="K244" s="228">
        <f ca="1">J247</f>
        <v>0</v>
      </c>
      <c r="L244" s="228">
        <f ca="1">K247</f>
        <v>0</v>
      </c>
      <c r="M244" s="50"/>
    </row>
    <row r="245" spans="3:13" ht="13.5" customHeight="1" outlineLevel="1">
      <c r="C245" s="91" t="s">
        <v>214</v>
      </c>
      <c r="D245" s="118"/>
      <c r="E245" s="118"/>
      <c r="G245" s="154"/>
      <c r="H245" s="177">
        <f>-MIN(H244,(H259*$G247))</f>
        <v>-1.7067599999999999E-2</v>
      </c>
      <c r="I245" s="177">
        <f ca="1">-MIN(I244,(I259*$G247))</f>
        <v>-1.7067599999999999E-2</v>
      </c>
      <c r="J245" s="177">
        <f ca="1">-MIN(J244,(J259*$G247))</f>
        <v>-1.7067599999999999E-2</v>
      </c>
      <c r="K245" s="177">
        <f ca="1">-MIN(K244,(K259*$G247))</f>
        <v>0</v>
      </c>
      <c r="L245" s="177">
        <f ca="1">-MIN(L244,(L259*$G247))</f>
        <v>0</v>
      </c>
      <c r="M245" s="50"/>
    </row>
    <row r="246" spans="3:13" ht="13.5" customHeight="1" outlineLevel="1">
      <c r="C246" s="91" t="s">
        <v>216</v>
      </c>
      <c r="D246" s="118"/>
      <c r="E246" s="118"/>
      <c r="G246" s="154"/>
      <c r="H246" s="177">
        <f ca="1">H221</f>
        <v>0</v>
      </c>
      <c r="I246" s="177">
        <f ca="1">I221</f>
        <v>0</v>
      </c>
      <c r="J246" s="177">
        <f ca="1">J221</f>
        <v>-3.4135199999999991E-2</v>
      </c>
      <c r="K246" s="177">
        <f ca="1">K221</f>
        <v>0</v>
      </c>
      <c r="L246" s="177">
        <f ca="1">L221</f>
        <v>0</v>
      </c>
      <c r="M246" s="50"/>
    </row>
    <row r="247" spans="3:13" ht="13.5" customHeight="1" outlineLevel="1">
      <c r="C247" s="65" t="s">
        <v>207</v>
      </c>
      <c r="D247" s="65"/>
      <c r="E247" s="65"/>
      <c r="F247" s="65"/>
      <c r="G247" s="257">
        <f>G80</f>
        <v>8.5337999999999997E-2</v>
      </c>
      <c r="H247" s="262">
        <f ca="1">SUM(H244:H246)</f>
        <v>6.8270399999999995E-2</v>
      </c>
      <c r="I247" s="262">
        <f ca="1">SUM(I244:I246)</f>
        <v>5.1202799999999993E-2</v>
      </c>
      <c r="J247" s="262">
        <f ca="1">SUM(J244:J246)</f>
        <v>0</v>
      </c>
      <c r="K247" s="262">
        <f ca="1">SUM(K244:K246)</f>
        <v>0</v>
      </c>
      <c r="L247" s="262">
        <f ca="1">SUM(L244:L246)</f>
        <v>0</v>
      </c>
      <c r="M247" s="50"/>
    </row>
    <row r="248" spans="3:13" ht="13.5" customHeight="1" outlineLevel="1">
      <c r="C248" s="68"/>
      <c r="G248" s="68"/>
      <c r="H248" s="68"/>
      <c r="I248" s="68"/>
      <c r="J248" s="68"/>
      <c r="K248" s="68"/>
      <c r="L248" s="68"/>
    </row>
    <row r="249" spans="3:13" ht="13.5" customHeight="1" outlineLevel="1">
      <c r="C249" s="216" t="str">
        <f>+C116</f>
        <v>Subordinated - Note 2</v>
      </c>
      <c r="D249" s="217"/>
      <c r="E249" s="217"/>
      <c r="F249" s="218"/>
      <c r="G249" s="219"/>
      <c r="H249" s="224"/>
      <c r="I249" s="224"/>
      <c r="J249" s="225"/>
      <c r="K249" s="225"/>
      <c r="L249" s="225"/>
    </row>
    <row r="250" spans="3:13" ht="13.5" customHeight="1" outlineLevel="1">
      <c r="C250" s="98" t="s">
        <v>202</v>
      </c>
      <c r="D250" s="118"/>
      <c r="E250" s="118"/>
      <c r="G250" s="228"/>
      <c r="H250" s="228">
        <f>G253</f>
        <v>1.2666999999999999E-2</v>
      </c>
      <c r="I250" s="228">
        <f ca="1">H253</f>
        <v>1.203365E-2</v>
      </c>
      <c r="J250" s="228">
        <f ca="1">I253</f>
        <v>1.14003E-2</v>
      </c>
      <c r="K250" s="228">
        <f ca="1">J253</f>
        <v>4.4334500000000011E-3</v>
      </c>
      <c r="L250" s="228">
        <f ca="1">K253</f>
        <v>0</v>
      </c>
      <c r="M250" s="50"/>
    </row>
    <row r="251" spans="3:13" ht="13.5" customHeight="1" outlineLevel="1">
      <c r="C251" s="91" t="s">
        <v>214</v>
      </c>
      <c r="D251" s="118"/>
      <c r="E251" s="118"/>
      <c r="G251" s="154"/>
      <c r="H251" s="177">
        <f>-MIN(H250,H260*$G253)</f>
        <v>-6.3334999999999997E-4</v>
      </c>
      <c r="I251" s="177">
        <f ca="1">-MIN(I250,I260*$G253)</f>
        <v>-6.3334999999999997E-4</v>
      </c>
      <c r="J251" s="177">
        <f ca="1">-MIN(J250,J260*$G253)</f>
        <v>-6.3334999999999997E-4</v>
      </c>
      <c r="K251" s="177">
        <f ca="1">-MIN(K250,K260*$G253)</f>
        <v>-6.3334999999999997E-4</v>
      </c>
      <c r="L251" s="177">
        <f ca="1">-MIN(L250,L260*$G253)</f>
        <v>0</v>
      </c>
      <c r="M251" s="50"/>
    </row>
    <row r="252" spans="3:13" ht="13.5" customHeight="1" outlineLevel="1">
      <c r="C252" s="91" t="s">
        <v>216</v>
      </c>
      <c r="D252" s="118"/>
      <c r="E252" s="118"/>
      <c r="G252" s="154"/>
      <c r="H252" s="177">
        <f ca="1">H222</f>
        <v>0</v>
      </c>
      <c r="I252" s="177">
        <f t="shared" ref="I252:L252" ca="1" si="61">I222</f>
        <v>0</v>
      </c>
      <c r="J252" s="177">
        <f t="shared" ca="1" si="61"/>
        <v>-6.3334999999999997E-3</v>
      </c>
      <c r="K252" s="177">
        <f t="shared" ca="1" si="61"/>
        <v>-3.8001000000000011E-3</v>
      </c>
      <c r="L252" s="177">
        <f t="shared" ca="1" si="61"/>
        <v>0</v>
      </c>
      <c r="M252" s="50"/>
    </row>
    <row r="253" spans="3:13" ht="13.5" customHeight="1" outlineLevel="1">
      <c r="C253" s="65" t="s">
        <v>207</v>
      </c>
      <c r="D253" s="65"/>
      <c r="E253" s="65"/>
      <c r="F253" s="65"/>
      <c r="G253" s="257">
        <f>G81</f>
        <v>1.2666999999999999E-2</v>
      </c>
      <c r="H253" s="262">
        <f ca="1">SUM(H250:H252)</f>
        <v>1.203365E-2</v>
      </c>
      <c r="I253" s="262">
        <f ca="1">SUM(I250:I252)</f>
        <v>1.14003E-2</v>
      </c>
      <c r="J253" s="262">
        <f ca="1">SUM(J250:J252)</f>
        <v>4.4334500000000011E-3</v>
      </c>
      <c r="K253" s="262">
        <f ca="1">SUM(K250:K252)</f>
        <v>0</v>
      </c>
      <c r="L253" s="262">
        <f ca="1">SUM(L250:L252)</f>
        <v>0</v>
      </c>
      <c r="M253" s="50"/>
    </row>
    <row r="254" spans="3:13" ht="13.5" customHeight="1" outlineLevel="1">
      <c r="C254" s="68"/>
      <c r="G254" s="68"/>
      <c r="H254" s="68"/>
      <c r="I254" s="68"/>
      <c r="J254" s="68"/>
      <c r="K254" s="68"/>
      <c r="L254" s="68"/>
    </row>
    <row r="255" spans="3:13" ht="13.5" customHeight="1" outlineLevel="1">
      <c r="C255" s="84" t="s">
        <v>221</v>
      </c>
      <c r="D255" s="85"/>
      <c r="E255" s="86"/>
      <c r="F255" s="86"/>
      <c r="G255" s="234" t="s">
        <v>222</v>
      </c>
      <c r="H255" s="86"/>
      <c r="I255" s="86"/>
      <c r="J255" s="86"/>
      <c r="K255" s="86"/>
      <c r="L255" s="87"/>
    </row>
    <row r="256" spans="3:13" ht="13.5" customHeight="1" outlineLevel="1">
      <c r="C256" s="68"/>
    </row>
    <row r="257" spans="3:13" ht="13.5" customHeight="1" outlineLevel="1">
      <c r="C257" s="68"/>
      <c r="G257" s="235" t="s">
        <v>222</v>
      </c>
      <c r="H257" s="236" t="s">
        <v>223</v>
      </c>
      <c r="I257" s="237"/>
      <c r="J257" s="237"/>
      <c r="K257" s="237"/>
      <c r="L257" s="237"/>
    </row>
    <row r="258" spans="3:13" ht="13.5" customHeight="1" outlineLevel="1">
      <c r="C258" s="68" t="str">
        <f>+C237</f>
        <v>Term Loan A</v>
      </c>
      <c r="G258" s="152">
        <f>G241</f>
        <v>12.001450999999999</v>
      </c>
      <c r="H258" s="263">
        <v>0.2</v>
      </c>
      <c r="I258" s="263">
        <v>0.2</v>
      </c>
      <c r="J258" s="263">
        <v>0.2</v>
      </c>
      <c r="K258" s="263">
        <v>0.2</v>
      </c>
      <c r="L258" s="263">
        <v>0.2</v>
      </c>
      <c r="M258" s="50"/>
    </row>
    <row r="259" spans="3:13" ht="13.5" customHeight="1" outlineLevel="1">
      <c r="C259" s="68" t="str">
        <f>+C243</f>
        <v>Subordinated - Note 1</v>
      </c>
      <c r="G259" s="152">
        <f>G247</f>
        <v>8.5337999999999997E-2</v>
      </c>
      <c r="H259" s="263">
        <v>0.2</v>
      </c>
      <c r="I259" s="263">
        <v>0.2</v>
      </c>
      <c r="J259" s="263">
        <v>0.2</v>
      </c>
      <c r="K259" s="263">
        <v>0.2</v>
      </c>
      <c r="L259" s="263">
        <v>0.2</v>
      </c>
      <c r="M259" s="50"/>
    </row>
    <row r="260" spans="3:13" ht="13.5" customHeight="1" outlineLevel="1">
      <c r="C260" s="68" t="str">
        <f>+C249</f>
        <v>Subordinated - Note 2</v>
      </c>
      <c r="G260" s="152">
        <f>G253</f>
        <v>1.2666999999999999E-2</v>
      </c>
      <c r="H260" s="263">
        <v>0.05</v>
      </c>
      <c r="I260" s="263">
        <v>0.05</v>
      </c>
      <c r="J260" s="263">
        <v>0.05</v>
      </c>
      <c r="K260" s="263">
        <v>0.05</v>
      </c>
      <c r="L260" s="263">
        <v>0.8</v>
      </c>
      <c r="M260" s="50"/>
    </row>
    <row r="261" spans="3:13" ht="13.5" customHeight="1" outlineLevel="1">
      <c r="C261" s="68"/>
    </row>
    <row r="262" spans="3:13" ht="13.5" customHeight="1" outlineLevel="1">
      <c r="C262" s="84" t="s">
        <v>227</v>
      </c>
      <c r="D262" s="85"/>
      <c r="E262" s="86"/>
      <c r="F262" s="86"/>
      <c r="G262" s="86"/>
      <c r="H262" s="86"/>
      <c r="I262" s="86"/>
      <c r="J262" s="86"/>
      <c r="K262" s="86"/>
      <c r="L262" s="87"/>
    </row>
    <row r="263" spans="3:13" ht="13.5" customHeight="1" outlineLevel="1">
      <c r="C263" s="68"/>
    </row>
    <row r="264" spans="3:13" ht="13.5" customHeight="1" outlineLevel="1">
      <c r="C264" s="239"/>
      <c r="D264" s="240"/>
      <c r="E264" s="240"/>
      <c r="H264" s="54"/>
      <c r="I264" s="54" t="s">
        <v>228</v>
      </c>
      <c r="J264" s="54" t="s">
        <v>229</v>
      </c>
      <c r="K264" s="54" t="s">
        <v>230</v>
      </c>
      <c r="L264" s="54" t="s">
        <v>98</v>
      </c>
    </row>
    <row r="265" spans="3:13" ht="13.5" customHeight="1" outlineLevel="1" thickBot="1">
      <c r="C265" s="241"/>
      <c r="D265" s="242"/>
      <c r="E265" s="242"/>
      <c r="F265" s="243"/>
      <c r="G265" s="244" t="s">
        <v>231</v>
      </c>
      <c r="H265" s="243" t="s">
        <v>232</v>
      </c>
      <c r="I265" s="243" t="s">
        <v>232</v>
      </c>
      <c r="J265" s="243" t="s">
        <v>232</v>
      </c>
      <c r="K265" s="243" t="s">
        <v>233</v>
      </c>
      <c r="L265" s="243" t="s">
        <v>234</v>
      </c>
      <c r="M265" s="50"/>
    </row>
    <row r="266" spans="3:13" ht="5.0999999999999996" customHeight="1" outlineLevel="1">
      <c r="C266" s="98"/>
      <c r="D266" s="118"/>
      <c r="E266" s="118"/>
      <c r="F266" s="245"/>
      <c r="G266" s="245"/>
      <c r="H266" s="245"/>
      <c r="I266" s="245"/>
      <c r="J266" s="245"/>
      <c r="K266" s="118"/>
    </row>
    <row r="267" spans="3:13" ht="13.5" customHeight="1" outlineLevel="1">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3:13" ht="13.5" customHeight="1" outlineLevel="1">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3:13" ht="13.5" customHeight="1" outlineLevel="1">
      <c r="C269" s="98" t="str">
        <f>+C243</f>
        <v>Subordinated - Note 1</v>
      </c>
      <c r="D269" s="118"/>
      <c r="E269" s="118"/>
      <c r="F269" s="264"/>
      <c r="G269" s="265" t="s">
        <v>242</v>
      </c>
      <c r="H269" s="265" t="s">
        <v>241</v>
      </c>
      <c r="I269" s="265" t="s">
        <v>241</v>
      </c>
      <c r="J269" s="265" t="s">
        <v>241</v>
      </c>
      <c r="K269" s="265">
        <v>0.12</v>
      </c>
      <c r="L269" s="267">
        <v>1</v>
      </c>
      <c r="M269" s="50"/>
    </row>
    <row r="270" spans="3:13" ht="13.5" customHeight="1" outlineLevel="1">
      <c r="C270" s="98" t="str">
        <f>+C249</f>
        <v>Subordinated - Note 2</v>
      </c>
      <c r="D270" s="118"/>
      <c r="E270" s="118"/>
      <c r="F270" s="264"/>
      <c r="G270" s="265" t="s">
        <v>242</v>
      </c>
      <c r="H270" s="265" t="s">
        <v>241</v>
      </c>
      <c r="I270" s="265" t="s">
        <v>241</v>
      </c>
      <c r="J270" s="265" t="s">
        <v>241</v>
      </c>
      <c r="K270" s="265">
        <v>0.14499999999999999</v>
      </c>
      <c r="L270" s="267">
        <v>0.5</v>
      </c>
      <c r="M270" s="50"/>
    </row>
    <row r="271" spans="3:13" ht="5.0999999999999996" customHeight="1" outlineLevel="1" thickBot="1">
      <c r="C271" s="157"/>
      <c r="D271" s="157"/>
      <c r="E271" s="157"/>
      <c r="F271" s="83"/>
      <c r="G271" s="83"/>
      <c r="H271" s="83"/>
      <c r="I271" s="83"/>
      <c r="J271" s="83"/>
      <c r="K271" s="83"/>
      <c r="L271" s="83"/>
    </row>
    <row r="272" spans="3:13" ht="13.5" customHeight="1" outlineLevel="1"/>
    <row r="273" spans="3:13" ht="13.5" customHeight="1" outlineLevel="1">
      <c r="C273" s="84" t="s">
        <v>284</v>
      </c>
      <c r="D273" s="85"/>
      <c r="E273" s="86"/>
      <c r="F273" s="86"/>
      <c r="G273" s="86"/>
      <c r="H273" s="86"/>
      <c r="I273" s="86"/>
      <c r="J273" s="86"/>
      <c r="K273" s="86"/>
      <c r="L273" s="87"/>
      <c r="M273" s="50"/>
    </row>
    <row r="274" spans="3:13" ht="13.5" customHeight="1" outlineLevel="1">
      <c r="M274" s="30"/>
    </row>
    <row r="275" spans="3:13" ht="13.5" customHeight="1" outlineLevel="1">
      <c r="C275" s="98" t="s">
        <v>232</v>
      </c>
      <c r="H275" s="271">
        <f>H267</f>
        <v>3.7100000000000001E-2</v>
      </c>
      <c r="I275" s="271">
        <f>H275</f>
        <v>3.7100000000000001E-2</v>
      </c>
      <c r="J275" s="271">
        <f t="shared" ref="J275:L276" si="62">I275</f>
        <v>3.7100000000000001E-2</v>
      </c>
      <c r="K275" s="271">
        <f t="shared" si="62"/>
        <v>3.7100000000000001E-2</v>
      </c>
      <c r="L275" s="271">
        <f t="shared" si="62"/>
        <v>3.7100000000000001E-2</v>
      </c>
      <c r="M275" s="50"/>
    </row>
    <row r="276" spans="3:13" ht="13.5" customHeight="1" outlineLevel="1">
      <c r="C276" s="98" t="s">
        <v>287</v>
      </c>
      <c r="H276" s="272">
        <v>2.5000000000000001E-3</v>
      </c>
      <c r="I276" s="272">
        <f>H276</f>
        <v>2.5000000000000001E-3</v>
      </c>
      <c r="J276" s="272">
        <f t="shared" si="62"/>
        <v>2.5000000000000001E-3</v>
      </c>
      <c r="K276" s="272">
        <f t="shared" si="62"/>
        <v>2.5000000000000001E-3</v>
      </c>
      <c r="L276" s="272">
        <f t="shared" si="62"/>
        <v>2.5000000000000001E-3</v>
      </c>
      <c r="M276" s="50"/>
    </row>
    <row r="277" spans="3:13" ht="13.5" customHeight="1" outlineLevel="1">
      <c r="C277" s="68"/>
      <c r="H277" s="272"/>
      <c r="I277" s="272"/>
      <c r="J277" s="272"/>
      <c r="K277" s="272"/>
      <c r="L277" s="272"/>
      <c r="M277" s="30"/>
    </row>
    <row r="278" spans="3:13" ht="13.5" customHeight="1" outlineLevel="1">
      <c r="C278" s="68" t="str">
        <f>+C267</f>
        <v>Revolver</v>
      </c>
      <c r="H278" s="271">
        <f>J267</f>
        <v>7.9600000000000004E-2</v>
      </c>
      <c r="I278" s="271">
        <f t="shared" ref="I278:L281" si="63">H278</f>
        <v>7.9600000000000004E-2</v>
      </c>
      <c r="J278" s="271">
        <f t="shared" si="63"/>
        <v>7.9600000000000004E-2</v>
      </c>
      <c r="K278" s="271">
        <f t="shared" si="63"/>
        <v>7.9600000000000004E-2</v>
      </c>
      <c r="L278" s="271">
        <f t="shared" si="63"/>
        <v>7.9600000000000004E-2</v>
      </c>
      <c r="M278" s="50"/>
    </row>
    <row r="279" spans="3:13" ht="13.5" customHeight="1" outlineLevel="1">
      <c r="C279" s="68" t="str">
        <f>+C268</f>
        <v>Term Loan A</v>
      </c>
      <c r="H279" s="271">
        <f>J268</f>
        <v>8.4600000000000009E-2</v>
      </c>
      <c r="I279" s="271">
        <f t="shared" si="63"/>
        <v>8.4600000000000009E-2</v>
      </c>
      <c r="J279" s="271">
        <f t="shared" si="63"/>
        <v>8.4600000000000009E-2</v>
      </c>
      <c r="K279" s="271">
        <f t="shared" si="63"/>
        <v>8.4600000000000009E-2</v>
      </c>
      <c r="L279" s="271">
        <f t="shared" si="63"/>
        <v>8.4600000000000009E-2</v>
      </c>
      <c r="M279" s="50"/>
    </row>
    <row r="280" spans="3:13" ht="13.5" customHeight="1" outlineLevel="1">
      <c r="C280" s="68" t="str">
        <f t="shared" ref="C280:C281" si="64">+C269</f>
        <v>Subordinated - Note 1</v>
      </c>
      <c r="H280" s="271">
        <f>K269</f>
        <v>0.12</v>
      </c>
      <c r="I280" s="271">
        <f t="shared" si="63"/>
        <v>0.12</v>
      </c>
      <c r="J280" s="271">
        <f t="shared" si="63"/>
        <v>0.12</v>
      </c>
      <c r="K280" s="271">
        <f t="shared" si="63"/>
        <v>0.12</v>
      </c>
      <c r="L280" s="271">
        <f t="shared" si="63"/>
        <v>0.12</v>
      </c>
      <c r="M280" s="50"/>
    </row>
    <row r="281" spans="3:13" ht="13.5" customHeight="1" outlineLevel="1">
      <c r="C281" s="68" t="str">
        <f t="shared" si="64"/>
        <v>Subordinated - Note 2</v>
      </c>
      <c r="H281" s="271">
        <f>K270</f>
        <v>0.14499999999999999</v>
      </c>
      <c r="I281" s="271">
        <f t="shared" si="63"/>
        <v>0.14499999999999999</v>
      </c>
      <c r="J281" s="271">
        <f t="shared" si="63"/>
        <v>0.14499999999999999</v>
      </c>
      <c r="K281" s="271">
        <f t="shared" si="63"/>
        <v>0.14499999999999999</v>
      </c>
      <c r="L281" s="271">
        <f t="shared" si="63"/>
        <v>0.14499999999999999</v>
      </c>
      <c r="M281" s="50"/>
    </row>
    <row r="282" spans="3:13" ht="13.5" customHeight="1" outlineLevel="1">
      <c r="C282" s="68"/>
      <c r="M282" s="30"/>
    </row>
    <row r="283" spans="3:13" ht="13.5" customHeight="1" outlineLevel="1">
      <c r="C283" s="84" t="s">
        <v>291</v>
      </c>
      <c r="D283" s="85"/>
      <c r="E283" s="86"/>
      <c r="F283" s="86"/>
      <c r="G283" s="86"/>
      <c r="H283" s="86"/>
      <c r="I283" s="86"/>
      <c r="J283" s="86"/>
      <c r="K283" s="86"/>
      <c r="L283" s="87"/>
      <c r="M283" s="30"/>
    </row>
    <row r="284" spans="3:13" ht="13.5" customHeight="1" outlineLevel="1">
      <c r="C284" s="68"/>
      <c r="M284" s="30"/>
    </row>
    <row r="285" spans="3:13" ht="13.5" customHeight="1" outlineLevel="1">
      <c r="C285" s="98" t="s">
        <v>287</v>
      </c>
      <c r="H285" s="177">
        <f ca="1">H276*H235</f>
        <v>7.1343447590826919E-2</v>
      </c>
      <c r="I285" s="177">
        <f ca="1">I276*I235</f>
        <v>7.4999999999999997E-2</v>
      </c>
      <c r="J285" s="177">
        <f ca="1">J276*J235</f>
        <v>7.4999999999999997E-2</v>
      </c>
      <c r="K285" s="177">
        <f ca="1">K276*K235</f>
        <v>7.4999999999999997E-2</v>
      </c>
      <c r="L285" s="177">
        <f ca="1">L276*L235</f>
        <v>7.4999999999999997E-2</v>
      </c>
      <c r="M285" s="50"/>
    </row>
    <row r="286" spans="3:13" ht="13.5" customHeight="1" outlineLevel="1">
      <c r="C286" s="68"/>
      <c r="H286" s="149"/>
      <c r="I286" s="149"/>
      <c r="J286" s="149"/>
      <c r="K286" s="149"/>
      <c r="L286" s="149"/>
      <c r="M286" s="30"/>
    </row>
    <row r="287" spans="3:13" ht="13.5" customHeight="1" outlineLevel="1">
      <c r="C287" s="68" t="str">
        <f>+C278</f>
        <v>Revolver</v>
      </c>
      <c r="H287" s="177">
        <f ca="1">H278*AVERAGE(H229,H232)</f>
        <v>0.10952645435403541</v>
      </c>
      <c r="I287" s="177">
        <f ca="1">I278*AVERAGE(I229,I232)</f>
        <v>5.8212314354035413E-2</v>
      </c>
      <c r="J287" s="177">
        <f ca="1">J278*AVERAGE(J229,J232)</f>
        <v>0</v>
      </c>
      <c r="K287" s="177">
        <f ca="1">K278*AVERAGE(K229,K232)</f>
        <v>0</v>
      </c>
      <c r="L287" s="177">
        <f ca="1">L278*AVERAGE(L229,L232)</f>
        <v>0</v>
      </c>
      <c r="M287" s="50"/>
    </row>
    <row r="288" spans="3:13" ht="13.5" customHeight="1" outlineLevel="1">
      <c r="C288" s="68" t="str">
        <f t="shared" ref="C288:C290" si="65">+C279</f>
        <v>Term Loan A</v>
      </c>
      <c r="H288" s="177">
        <f ca="1">H279*AVERAGE(H238,H241)</f>
        <v>0.91379047914</v>
      </c>
      <c r="I288" s="177">
        <f ca="1">I279*AVERAGE(I238,I241)</f>
        <v>0.49087633335953551</v>
      </c>
      <c r="J288" s="177">
        <f ca="1">J279*AVERAGE(J238,J241)</f>
        <v>8.4747231519535518E-2</v>
      </c>
      <c r="K288" s="177">
        <f ca="1">K279*AVERAGE(K238,K241)</f>
        <v>0</v>
      </c>
      <c r="L288" s="177">
        <f ca="1">L279*AVERAGE(L238,L241)</f>
        <v>0</v>
      </c>
      <c r="M288" s="50"/>
    </row>
    <row r="289" spans="1:13" ht="13.5" customHeight="1" outlineLevel="1">
      <c r="C289" s="68" t="str">
        <f t="shared" si="65"/>
        <v>Subordinated - Note 1</v>
      </c>
      <c r="H289" s="177">
        <f ca="1">H280*AVERAGE(H244,H247)</f>
        <v>9.2165039999999986E-3</v>
      </c>
      <c r="I289" s="177">
        <f ca="1">I280*AVERAGE(I244,I247)</f>
        <v>7.1683919999999991E-3</v>
      </c>
      <c r="J289" s="177">
        <f ca="1">J280*AVERAGE(J244,J247)</f>
        <v>3.0721679999999993E-3</v>
      </c>
      <c r="K289" s="177">
        <f ca="1">K280*AVERAGE(K244,K247)</f>
        <v>0</v>
      </c>
      <c r="L289" s="177">
        <f ca="1">L280*AVERAGE(L244,L247)</f>
        <v>0</v>
      </c>
      <c r="M289" s="50"/>
    </row>
    <row r="290" spans="1:13" ht="13.5" customHeight="1" outlineLevel="1">
      <c r="C290" s="68" t="str">
        <f t="shared" si="65"/>
        <v>Subordinated - Note 2</v>
      </c>
      <c r="H290" s="177">
        <f ca="1">H281*AVERAGE(H250,H253)</f>
        <v>1.7907971249999997E-3</v>
      </c>
      <c r="I290" s="177">
        <f ca="1">I281*AVERAGE(I250,I253)</f>
        <v>1.6989613749999999E-3</v>
      </c>
      <c r="J290" s="177">
        <f ca="1">J281*AVERAGE(J250,J253)</f>
        <v>1.1479468749999999E-3</v>
      </c>
      <c r="K290" s="177">
        <f ca="1">K281*AVERAGE(K250,K253)</f>
        <v>3.2142512500000006E-4</v>
      </c>
      <c r="L290" s="177">
        <f ca="1">L281*AVERAGE(L250,L253)</f>
        <v>0</v>
      </c>
      <c r="M290" s="50"/>
    </row>
    <row r="291" spans="1:13" ht="13.5" customHeight="1" outlineLevel="1">
      <c r="C291" s="68"/>
      <c r="H291" s="149"/>
      <c r="I291" s="149"/>
      <c r="J291" s="149"/>
      <c r="K291" s="149"/>
      <c r="L291" s="149"/>
      <c r="M291" s="30"/>
    </row>
    <row r="292" spans="1:13" ht="13.5" customHeight="1" outlineLevel="1">
      <c r="C292" s="98" t="s">
        <v>297</v>
      </c>
      <c r="H292" s="177">
        <f ca="1">SUM(H285:H291)</f>
        <v>1.1056676822098623</v>
      </c>
      <c r="I292" s="177">
        <f ca="1">SUM(I285:I291)</f>
        <v>0.63295600108857097</v>
      </c>
      <c r="J292" s="177">
        <f ca="1">SUM(J285:J291)</f>
        <v>0.1639673463945355</v>
      </c>
      <c r="K292" s="177">
        <f ca="1">SUM(K285:K291)</f>
        <v>7.5321425124999994E-2</v>
      </c>
      <c r="L292" s="177">
        <f ca="1">SUM(L285:L291)</f>
        <v>7.4999999999999997E-2</v>
      </c>
      <c r="M292" s="50"/>
    </row>
    <row r="293" spans="1:13" ht="13.5" customHeight="1" outlineLevel="1">
      <c r="C293" s="68"/>
      <c r="M293" s="30"/>
    </row>
    <row r="294" spans="1:13" ht="13.5" customHeight="1" outlineLevel="1">
      <c r="A294" s="125"/>
      <c r="C294" s="84" t="s">
        <v>300</v>
      </c>
      <c r="D294" s="85"/>
      <c r="E294" s="86"/>
      <c r="F294" s="86"/>
      <c r="G294" s="86"/>
      <c r="H294" s="86"/>
      <c r="I294" s="86"/>
      <c r="J294" s="86"/>
      <c r="K294" s="86"/>
      <c r="L294" s="87"/>
      <c r="M294" s="50" t="s">
        <v>301</v>
      </c>
    </row>
    <row r="295" spans="1:13" ht="13.5" customHeight="1" outlineLevel="1">
      <c r="A295" s="125"/>
      <c r="C295" s="68"/>
      <c r="M295" s="30"/>
    </row>
    <row r="296" spans="1:13" ht="13.5" customHeight="1" outlineLevel="1">
      <c r="A296" s="125"/>
      <c r="C296" s="273" t="s">
        <v>302</v>
      </c>
      <c r="D296" s="274"/>
      <c r="E296" s="275"/>
      <c r="F296" s="275"/>
      <c r="G296" s="275"/>
      <c r="H296" s="275"/>
      <c r="I296" s="275"/>
      <c r="J296" s="275"/>
      <c r="K296" s="275"/>
      <c r="L296" s="275"/>
      <c r="M296" s="50" t="s">
        <v>303</v>
      </c>
    </row>
    <row r="297" spans="1:13" ht="13.5" customHeight="1" outlineLevel="1">
      <c r="A297" s="125"/>
      <c r="C297" s="68"/>
      <c r="D297" s="276"/>
      <c r="E297" s="276"/>
      <c r="F297" s="276"/>
      <c r="G297" s="276"/>
      <c r="H297" s="276"/>
      <c r="I297" s="276"/>
      <c r="J297" s="276"/>
      <c r="K297" s="276"/>
      <c r="L297" s="276"/>
      <c r="M297" s="205"/>
    </row>
    <row r="298" spans="1:13" ht="13.5" customHeight="1" outlineLevel="1">
      <c r="A298" s="125"/>
      <c r="C298" s="68" t="s">
        <v>92</v>
      </c>
      <c r="D298" s="276"/>
      <c r="E298" s="276"/>
      <c r="F298" s="276"/>
      <c r="G298" s="277"/>
      <c r="H298" s="129"/>
      <c r="I298" s="129"/>
      <c r="J298" s="129"/>
      <c r="K298" s="129"/>
      <c r="L298" s="129"/>
      <c r="M298" s="50" t="s">
        <v>304</v>
      </c>
    </row>
    <row r="299" spans="1:13" ht="13.5" customHeight="1" outlineLevel="1">
      <c r="A299" s="125"/>
      <c r="C299" s="68" t="s">
        <v>98</v>
      </c>
      <c r="D299" s="276"/>
      <c r="E299" s="276"/>
      <c r="F299" s="276"/>
      <c r="G299" s="277"/>
      <c r="H299" s="129"/>
      <c r="I299" s="129"/>
      <c r="J299" s="129"/>
      <c r="K299" s="129"/>
      <c r="L299" s="129"/>
      <c r="M299" s="50" t="s">
        <v>305</v>
      </c>
    </row>
    <row r="300" spans="1:13" ht="13.5" customHeight="1" outlineLevel="1">
      <c r="A300" s="125"/>
      <c r="C300" s="65" t="s">
        <v>306</v>
      </c>
      <c r="D300" s="278"/>
      <c r="E300" s="278"/>
      <c r="F300" s="278"/>
      <c r="G300" s="279"/>
      <c r="H300" s="251"/>
      <c r="I300" s="251"/>
      <c r="J300" s="251"/>
      <c r="K300" s="251"/>
      <c r="L300" s="251"/>
      <c r="M300" s="50" t="s">
        <v>307</v>
      </c>
    </row>
    <row r="301" spans="1:13" ht="13.5" customHeight="1" outlineLevel="1">
      <c r="A301" s="125"/>
      <c r="C301" s="68"/>
      <c r="D301" s="276"/>
      <c r="E301" s="276"/>
      <c r="F301" s="276"/>
      <c r="G301" s="280"/>
      <c r="H301" s="129"/>
      <c r="I301" s="129"/>
      <c r="J301" s="129"/>
      <c r="K301" s="129"/>
      <c r="L301" s="129"/>
      <c r="M301" s="50"/>
    </row>
    <row r="302" spans="1:13" ht="13.5" customHeight="1" outlineLevel="1">
      <c r="A302" s="125"/>
      <c r="C302" s="68" t="s">
        <v>49</v>
      </c>
      <c r="D302" s="276"/>
      <c r="E302" s="276"/>
      <c r="F302" s="276"/>
      <c r="G302" s="280"/>
      <c r="H302" s="129"/>
      <c r="I302" s="129"/>
      <c r="J302" s="129"/>
      <c r="K302" s="129"/>
      <c r="L302" s="129"/>
      <c r="M302" s="50" t="s">
        <v>308</v>
      </c>
    </row>
    <row r="303" spans="1:13" ht="13.5" customHeight="1" outlineLevel="1">
      <c r="A303" s="125"/>
      <c r="C303" s="65" t="s">
        <v>309</v>
      </c>
      <c r="D303" s="278"/>
      <c r="E303" s="278"/>
      <c r="F303" s="278"/>
      <c r="G303" s="279"/>
      <c r="H303" s="251"/>
      <c r="I303" s="251"/>
      <c r="J303" s="251"/>
      <c r="K303" s="251"/>
      <c r="L303" s="251"/>
      <c r="M303" s="50" t="s">
        <v>310</v>
      </c>
    </row>
    <row r="304" spans="1:13" ht="13.5" customHeight="1" outlineLevel="1">
      <c r="A304" s="125"/>
      <c r="C304" s="68"/>
      <c r="D304" s="276"/>
      <c r="E304" s="276"/>
      <c r="F304" s="276"/>
      <c r="G304" s="280"/>
      <c r="H304" s="151"/>
      <c r="I304" s="151"/>
      <c r="J304" s="151"/>
      <c r="K304" s="151"/>
      <c r="L304" s="151"/>
      <c r="M304" s="205"/>
    </row>
    <row r="305" spans="1:13" ht="13.5" customHeight="1" outlineLevel="1">
      <c r="A305" s="125"/>
      <c r="C305" s="68" t="s">
        <v>311</v>
      </c>
      <c r="D305" s="276"/>
      <c r="E305" s="276"/>
      <c r="F305" s="276"/>
      <c r="G305" s="280"/>
      <c r="H305" s="185"/>
      <c r="I305" s="185"/>
      <c r="J305" s="185"/>
      <c r="K305" s="185"/>
      <c r="L305" s="185"/>
      <c r="M305" s="50" t="s">
        <v>312</v>
      </c>
    </row>
    <row r="306" spans="1:13" ht="13.5" customHeight="1" outlineLevel="1">
      <c r="A306" s="125"/>
      <c r="C306" s="68"/>
      <c r="D306" s="276"/>
      <c r="E306" s="276"/>
      <c r="F306" s="276"/>
      <c r="G306" s="280"/>
      <c r="H306" s="151"/>
      <c r="I306" s="151"/>
      <c r="J306" s="151"/>
      <c r="K306" s="151"/>
      <c r="L306" s="151"/>
      <c r="M306" s="205"/>
    </row>
    <row r="307" spans="1:13" ht="13.5" customHeight="1" outlineLevel="1">
      <c r="A307" s="125"/>
      <c r="C307" s="68" t="s">
        <v>313</v>
      </c>
      <c r="D307" s="276"/>
      <c r="E307" s="276"/>
      <c r="F307" s="276"/>
      <c r="G307" s="280"/>
      <c r="H307" s="186"/>
      <c r="I307" s="186"/>
      <c r="J307" s="186"/>
      <c r="K307" s="186"/>
      <c r="L307" s="186"/>
      <c r="M307" s="50" t="s">
        <v>314</v>
      </c>
    </row>
    <row r="308" spans="1:13" ht="13.5" customHeight="1" outlineLevel="1">
      <c r="A308" s="125"/>
      <c r="C308" s="68"/>
      <c r="D308" s="276"/>
      <c r="E308" s="276"/>
      <c r="F308" s="276"/>
      <c r="G308" s="280"/>
      <c r="H308" s="151"/>
      <c r="I308" s="151"/>
      <c r="J308" s="151"/>
      <c r="K308" s="151"/>
      <c r="L308" s="151"/>
      <c r="M308" s="205"/>
    </row>
    <row r="309" spans="1:13" ht="13.5" customHeight="1" outlineLevel="1">
      <c r="A309" s="125"/>
      <c r="C309" s="68" t="s">
        <v>315</v>
      </c>
      <c r="D309" s="276"/>
      <c r="E309" s="276"/>
      <c r="F309" s="276"/>
      <c r="G309" s="280"/>
      <c r="H309" s="281"/>
      <c r="I309" s="281"/>
      <c r="J309" s="281"/>
      <c r="K309" s="281"/>
      <c r="L309" s="281"/>
      <c r="M309" s="50" t="s">
        <v>316</v>
      </c>
    </row>
    <row r="310" spans="1:13" ht="13.5" customHeight="1" outlineLevel="1">
      <c r="A310" s="125"/>
      <c r="C310" s="68"/>
      <c r="D310" s="276"/>
      <c r="E310" s="276"/>
      <c r="F310" s="276"/>
      <c r="G310" s="276"/>
      <c r="H310" s="68"/>
      <c r="I310" s="68"/>
      <c r="J310" s="68"/>
      <c r="K310" s="68"/>
      <c r="L310" s="68"/>
      <c r="M310" s="205"/>
    </row>
    <row r="311" spans="1:13" ht="13.5" customHeight="1" outlineLevel="1">
      <c r="A311" s="125"/>
      <c r="C311" s="273" t="s">
        <v>317</v>
      </c>
      <c r="D311" s="274"/>
      <c r="E311" s="275"/>
      <c r="F311" s="275"/>
      <c r="G311" s="275"/>
      <c r="H311" s="273"/>
      <c r="I311" s="273"/>
      <c r="J311" s="273"/>
      <c r="K311" s="273"/>
      <c r="L311" s="273"/>
      <c r="M311" s="205"/>
    </row>
    <row r="312" spans="1:13" ht="13.5" customHeight="1" outlineLevel="1">
      <c r="A312" s="125"/>
      <c r="C312" s="68"/>
      <c r="D312" s="276"/>
      <c r="E312" s="276"/>
      <c r="F312" s="276"/>
      <c r="G312" s="276"/>
      <c r="H312" s="68"/>
      <c r="I312" s="68"/>
      <c r="J312" s="68"/>
      <c r="K312" s="68"/>
      <c r="L312" s="68"/>
      <c r="M312" s="205"/>
    </row>
    <row r="313" spans="1:13" ht="13.5" customHeight="1" outlineLevel="1">
      <c r="A313" s="125"/>
      <c r="C313" s="68" t="s">
        <v>297</v>
      </c>
      <c r="D313" s="276"/>
      <c r="E313" s="276"/>
      <c r="F313" s="276"/>
      <c r="G313" s="280"/>
      <c r="H313" s="129"/>
      <c r="I313" s="129"/>
      <c r="J313" s="129"/>
      <c r="K313" s="129"/>
      <c r="L313" s="129"/>
      <c r="M313" s="50" t="s">
        <v>318</v>
      </c>
    </row>
    <row r="314" spans="1:13" ht="13.5" customHeight="1" outlineLevel="1">
      <c r="A314" s="125"/>
      <c r="C314" s="68" t="s">
        <v>319</v>
      </c>
      <c r="D314" s="276"/>
      <c r="E314" s="276"/>
      <c r="F314" s="276"/>
      <c r="G314" s="280"/>
      <c r="H314" s="129"/>
      <c r="I314" s="129"/>
      <c r="J314" s="129"/>
      <c r="K314" s="129"/>
      <c r="L314" s="129"/>
      <c r="M314" s="50" t="s">
        <v>320</v>
      </c>
    </row>
    <row r="315" spans="1:13" ht="13.5" customHeight="1" outlineLevel="1">
      <c r="A315" s="125"/>
      <c r="C315" s="68"/>
      <c r="D315" s="276"/>
      <c r="E315" s="276"/>
      <c r="F315" s="276"/>
      <c r="G315" s="280"/>
      <c r="H315" s="151"/>
      <c r="I315" s="151"/>
      <c r="J315" s="151"/>
      <c r="K315" s="151"/>
      <c r="L315" s="151"/>
      <c r="M315" s="50"/>
    </row>
    <row r="316" spans="1:13" ht="13.5" customHeight="1" outlineLevel="1">
      <c r="A316" s="125"/>
      <c r="C316" s="68" t="s">
        <v>70</v>
      </c>
      <c r="D316" s="276"/>
      <c r="E316" s="276"/>
      <c r="F316" s="276"/>
      <c r="G316" s="280"/>
      <c r="H316" s="129"/>
      <c r="I316" s="129"/>
      <c r="J316" s="129"/>
      <c r="K316" s="129"/>
      <c r="L316" s="129"/>
      <c r="M316" s="50" t="s">
        <v>321</v>
      </c>
    </row>
    <row r="317" spans="1:13" ht="13.5" customHeight="1" outlineLevel="1">
      <c r="A317" s="125"/>
      <c r="C317" s="68" t="s">
        <v>322</v>
      </c>
      <c r="D317" s="276"/>
      <c r="E317" s="276"/>
      <c r="F317" s="276"/>
      <c r="G317" s="280"/>
      <c r="H317" s="129"/>
      <c r="I317" s="129"/>
      <c r="J317" s="129"/>
      <c r="K317" s="129"/>
      <c r="L317" s="129"/>
      <c r="M317" s="50" t="s">
        <v>323</v>
      </c>
    </row>
    <row r="318" spans="1:13" ht="13.5" customHeight="1" outlineLevel="1">
      <c r="A318" s="125"/>
      <c r="C318" s="68" t="s">
        <v>324</v>
      </c>
      <c r="D318" s="276"/>
      <c r="E318" s="276"/>
      <c r="F318" s="276"/>
      <c r="G318" s="280"/>
      <c r="H318" s="129"/>
      <c r="I318" s="129"/>
      <c r="J318" s="129"/>
      <c r="K318" s="129"/>
      <c r="L318" s="129"/>
      <c r="M318" s="50" t="s">
        <v>325</v>
      </c>
    </row>
    <row r="319" spans="1:13" ht="13.5" customHeight="1" outlineLevel="1">
      <c r="A319" s="125"/>
      <c r="C319" s="68"/>
      <c r="D319" s="276"/>
      <c r="E319" s="276"/>
      <c r="F319" s="276"/>
      <c r="G319" s="276"/>
      <c r="H319" s="68"/>
      <c r="I319" s="68"/>
      <c r="J319" s="68"/>
      <c r="K319" s="68"/>
      <c r="L319" s="68"/>
      <c r="M319" s="205"/>
    </row>
    <row r="320" spans="1:13" ht="13.5" customHeight="1" outlineLevel="1">
      <c r="A320" s="125"/>
      <c r="C320" s="273" t="s">
        <v>326</v>
      </c>
      <c r="D320" s="274"/>
      <c r="E320" s="275"/>
      <c r="F320" s="275"/>
      <c r="G320" s="275"/>
      <c r="H320" s="273"/>
      <c r="I320" s="273"/>
      <c r="J320" s="273"/>
      <c r="K320" s="273"/>
      <c r="L320" s="273"/>
      <c r="M320" s="205"/>
    </row>
    <row r="321" spans="1:13" ht="13.5" customHeight="1" outlineLevel="1">
      <c r="A321" s="125"/>
      <c r="C321" s="68"/>
      <c r="D321" s="276"/>
      <c r="E321" s="276"/>
      <c r="F321" s="276"/>
      <c r="G321" s="276"/>
      <c r="H321" s="68"/>
      <c r="I321" s="68"/>
      <c r="J321" s="68"/>
      <c r="K321" s="68"/>
      <c r="L321" s="68"/>
      <c r="M321" s="205"/>
    </row>
    <row r="322" spans="1:13" ht="13.5" customHeight="1" outlineLevel="1">
      <c r="A322" s="125"/>
      <c r="C322" s="282" t="s">
        <v>327</v>
      </c>
      <c r="D322" s="276"/>
      <c r="E322" s="276"/>
      <c r="F322" s="276"/>
      <c r="G322" s="276"/>
      <c r="H322" s="283"/>
      <c r="I322" s="283"/>
      <c r="J322" s="283"/>
      <c r="K322" s="283"/>
      <c r="L322" s="283"/>
      <c r="M322" s="50" t="s">
        <v>328</v>
      </c>
    </row>
    <row r="323" spans="1:13" ht="13.5" customHeight="1" outlineLevel="1">
      <c r="A323" s="125"/>
      <c r="C323" s="68" t="s">
        <v>329</v>
      </c>
      <c r="D323" s="276"/>
      <c r="E323" s="276"/>
      <c r="F323" s="276"/>
      <c r="G323" s="284"/>
      <c r="H323" s="283"/>
      <c r="I323" s="283"/>
      <c r="J323" s="283"/>
      <c r="K323" s="283"/>
      <c r="L323" s="283"/>
      <c r="M323" s="50" t="s">
        <v>330</v>
      </c>
    </row>
    <row r="324" spans="1:13" ht="13.5" customHeight="1" outlineLevel="1">
      <c r="A324" s="125"/>
      <c r="C324" s="68"/>
      <c r="D324" s="276"/>
      <c r="E324" s="276"/>
      <c r="F324" s="276"/>
      <c r="G324" s="284"/>
      <c r="H324" s="283"/>
      <c r="I324" s="283"/>
      <c r="J324" s="283"/>
      <c r="K324" s="283"/>
      <c r="L324" s="283"/>
      <c r="M324" s="205"/>
    </row>
    <row r="325" spans="1:13" ht="13.5" customHeight="1" outlineLevel="1">
      <c r="A325" s="125"/>
      <c r="C325" s="68" t="s">
        <v>313</v>
      </c>
      <c r="D325" s="276"/>
      <c r="E325" s="276"/>
      <c r="F325" s="276"/>
      <c r="G325" s="284"/>
      <c r="H325" s="186"/>
      <c r="I325" s="186"/>
      <c r="J325" s="186"/>
      <c r="K325" s="186"/>
      <c r="L325" s="186"/>
      <c r="M325" s="50" t="s">
        <v>331</v>
      </c>
    </row>
    <row r="326" spans="1:13" ht="13.5" customHeight="1" outlineLevel="1">
      <c r="A326" s="125"/>
      <c r="C326" s="68"/>
      <c r="D326" s="276"/>
      <c r="E326" s="276"/>
      <c r="F326" s="276"/>
      <c r="G326" s="284"/>
      <c r="H326" s="283"/>
      <c r="I326" s="283"/>
      <c r="J326" s="283"/>
      <c r="K326" s="283"/>
      <c r="L326" s="283"/>
      <c r="M326" s="205"/>
    </row>
    <row r="327" spans="1:13" ht="13.5" customHeight="1" outlineLevel="1">
      <c r="A327" s="125"/>
      <c r="C327" s="68" t="s">
        <v>315</v>
      </c>
      <c r="D327" s="276"/>
      <c r="E327" s="276"/>
      <c r="F327" s="276"/>
      <c r="G327" s="284"/>
      <c r="H327" s="281"/>
      <c r="I327" s="281"/>
      <c r="J327" s="281"/>
      <c r="K327" s="281"/>
      <c r="L327" s="281"/>
      <c r="M327" s="50" t="s">
        <v>332</v>
      </c>
    </row>
    <row r="328" spans="1:13" ht="13.5" customHeight="1" outlineLevel="1">
      <c r="A328" s="125"/>
      <c r="C328" s="68"/>
      <c r="D328" s="276"/>
      <c r="E328" s="276"/>
      <c r="F328" s="276"/>
      <c r="G328" s="276"/>
      <c r="H328" s="256"/>
      <c r="I328" s="256"/>
      <c r="J328" s="256"/>
      <c r="K328" s="256"/>
      <c r="L328" s="256"/>
      <c r="M328" s="205"/>
    </row>
    <row r="329" spans="1:13" ht="13.5" customHeight="1" outlineLevel="1">
      <c r="A329" s="125"/>
      <c r="C329" s="72" t="s">
        <v>333</v>
      </c>
      <c r="D329" s="276"/>
      <c r="E329" s="276"/>
      <c r="F329" s="276"/>
      <c r="G329" s="277"/>
      <c r="H329" s="229"/>
      <c r="I329" s="229"/>
      <c r="J329" s="229"/>
      <c r="K329" s="229"/>
      <c r="L329" s="229"/>
      <c r="M329" s="50" t="s">
        <v>334</v>
      </c>
    </row>
    <row r="330" spans="1:13" ht="13.5" customHeight="1" outlineLevel="1">
      <c r="A330" s="125"/>
      <c r="C330" s="68" t="s">
        <v>335</v>
      </c>
      <c r="D330" s="276"/>
      <c r="E330" s="276"/>
      <c r="F330" s="276"/>
      <c r="G330" s="284"/>
      <c r="H330" s="283"/>
      <c r="I330" s="283"/>
      <c r="J330" s="283"/>
      <c r="K330" s="283"/>
      <c r="L330" s="283"/>
      <c r="M330" s="50" t="s">
        <v>336</v>
      </c>
    </row>
    <row r="331" spans="1:13" ht="13.5" customHeight="1" outlineLevel="1">
      <c r="A331" s="125"/>
      <c r="C331" s="68"/>
      <c r="D331" s="276"/>
      <c r="E331" s="276"/>
      <c r="F331" s="276"/>
      <c r="G331" s="284"/>
      <c r="H331" s="283"/>
      <c r="I331" s="283"/>
      <c r="J331" s="283"/>
      <c r="K331" s="283"/>
      <c r="L331" s="283"/>
      <c r="M331" s="205"/>
    </row>
    <row r="332" spans="1:13" ht="13.5" customHeight="1" outlineLevel="1">
      <c r="A332" s="125"/>
      <c r="C332" s="68" t="s">
        <v>313</v>
      </c>
      <c r="D332" s="276"/>
      <c r="E332" s="276"/>
      <c r="F332" s="276"/>
      <c r="G332" s="284"/>
      <c r="H332" s="186"/>
      <c r="I332" s="186"/>
      <c r="J332" s="186"/>
      <c r="K332" s="186"/>
      <c r="L332" s="186"/>
      <c r="M332" s="50" t="s">
        <v>337</v>
      </c>
    </row>
    <row r="333" spans="1:13" ht="13.5" customHeight="1" outlineLevel="1">
      <c r="A333" s="125"/>
      <c r="C333" s="68"/>
      <c r="D333" s="276"/>
      <c r="E333" s="276"/>
      <c r="F333" s="276"/>
      <c r="G333" s="284"/>
      <c r="H333" s="283"/>
      <c r="I333" s="283"/>
      <c r="J333" s="283"/>
      <c r="K333" s="283"/>
      <c r="L333" s="283"/>
      <c r="M333" s="205"/>
    </row>
    <row r="334" spans="1:13" ht="13.5" customHeight="1" outlineLevel="1">
      <c r="A334" s="125"/>
      <c r="C334" s="68" t="s">
        <v>315</v>
      </c>
      <c r="D334" s="276"/>
      <c r="E334" s="276"/>
      <c r="F334" s="276"/>
      <c r="G334" s="284"/>
      <c r="H334" s="281"/>
      <c r="I334" s="281"/>
      <c r="J334" s="281"/>
      <c r="K334" s="281"/>
      <c r="L334" s="281"/>
      <c r="M334" s="50" t="s">
        <v>338</v>
      </c>
    </row>
    <row r="335" spans="1:13" ht="5.0999999999999996" customHeight="1" outlineLevel="1" thickBot="1">
      <c r="A335" s="125"/>
      <c r="C335" s="115"/>
      <c r="D335" s="285"/>
      <c r="E335" s="285"/>
      <c r="F335" s="285"/>
      <c r="G335" s="285"/>
      <c r="H335" s="285"/>
      <c r="I335" s="285"/>
      <c r="J335" s="285"/>
      <c r="K335" s="285"/>
      <c r="L335" s="285"/>
      <c r="M335" s="205"/>
    </row>
    <row r="336" spans="1:13" ht="13.5" customHeight="1" outlineLevel="1">
      <c r="A336" s="125"/>
      <c r="C336" s="68"/>
      <c r="D336" s="276"/>
      <c r="E336" s="276"/>
      <c r="F336" s="276"/>
      <c r="G336" s="276"/>
      <c r="H336" s="276"/>
      <c r="I336" s="276"/>
      <c r="J336" s="276"/>
      <c r="K336" s="276"/>
      <c r="L336" s="276"/>
      <c r="M336" s="205"/>
    </row>
    <row r="337" spans="1:19" ht="13.5" customHeight="1">
      <c r="M337" s="30"/>
    </row>
    <row r="339" spans="1:19" ht="19.5" customHeight="1">
      <c r="A339" s="82"/>
      <c r="B339" s="82"/>
      <c r="C339" s="121"/>
      <c r="D339" s="82"/>
      <c r="E339" s="82"/>
      <c r="F339" s="82"/>
      <c r="G339" s="82"/>
      <c r="H339" s="82"/>
      <c r="I339" s="82"/>
      <c r="J339" s="82"/>
      <c r="K339" s="82"/>
      <c r="L339" s="82"/>
      <c r="M339" s="82"/>
      <c r="N339" s="82"/>
      <c r="O339" s="82"/>
      <c r="P339" s="82"/>
      <c r="Q339" s="82"/>
      <c r="R339" s="82"/>
      <c r="S339" s="82"/>
    </row>
    <row r="340" spans="1:19" ht="5.0999999999999996" customHeight="1">
      <c r="A340" s="82"/>
      <c r="B340" s="82"/>
      <c r="C340" s="82"/>
      <c r="D340" s="82"/>
      <c r="E340" s="82"/>
      <c r="F340" s="82"/>
      <c r="G340" s="82"/>
      <c r="H340" s="82"/>
      <c r="I340" s="82"/>
      <c r="J340" s="82"/>
      <c r="K340" s="82"/>
      <c r="L340" s="82"/>
      <c r="M340" s="82"/>
      <c r="N340" s="82"/>
      <c r="O340" s="82"/>
      <c r="P340" s="82"/>
      <c r="Q340" s="82"/>
      <c r="R340" s="82"/>
      <c r="S340" s="82"/>
    </row>
    <row r="341" spans="1:19" ht="13.5" customHeight="1">
      <c r="A341" s="82"/>
      <c r="B341" s="82"/>
      <c r="C341" s="123"/>
      <c r="D341" s="82"/>
      <c r="E341" s="82"/>
      <c r="F341" s="82"/>
      <c r="G341" s="82"/>
      <c r="H341" s="82"/>
      <c r="I341" s="82"/>
      <c r="J341" s="82"/>
      <c r="K341" s="82"/>
      <c r="L341" s="82"/>
      <c r="M341" s="82"/>
      <c r="N341" s="82"/>
      <c r="O341" s="82"/>
      <c r="P341" s="82"/>
      <c r="Q341" s="82"/>
      <c r="R341" s="82"/>
      <c r="S341" s="82"/>
    </row>
    <row r="342" spans="1:19" ht="13.5" customHeight="1">
      <c r="A342" s="82"/>
      <c r="B342" s="82"/>
      <c r="C342" s="82"/>
      <c r="D342" s="82"/>
      <c r="E342" s="82"/>
      <c r="F342" s="124"/>
      <c r="G342" s="124"/>
      <c r="H342" s="82"/>
      <c r="I342" s="82"/>
      <c r="J342" s="82"/>
      <c r="K342" s="82"/>
      <c r="L342" s="82"/>
      <c r="M342" s="82"/>
      <c r="N342" s="82"/>
      <c r="O342" s="82"/>
      <c r="P342" s="82"/>
      <c r="Q342" s="82"/>
      <c r="R342" s="82"/>
      <c r="S342" s="82"/>
    </row>
    <row r="343" spans="1:19" ht="13.5" customHeight="1">
      <c r="A343" s="82"/>
      <c r="B343" s="82"/>
      <c r="C343" s="82"/>
      <c r="D343" s="82"/>
      <c r="E343" s="82"/>
      <c r="F343" s="124"/>
      <c r="G343" s="124"/>
      <c r="H343" s="82"/>
      <c r="I343" s="82"/>
      <c r="J343" s="82"/>
      <c r="K343" s="82"/>
      <c r="L343" s="82"/>
      <c r="M343" s="82"/>
      <c r="N343" s="82"/>
      <c r="O343" s="82"/>
      <c r="P343" s="82"/>
      <c r="Q343" s="82"/>
      <c r="R343" s="82"/>
      <c r="S343" s="82"/>
    </row>
    <row r="344" spans="1:19" ht="13.5" customHeight="1">
      <c r="A344" s="82"/>
      <c r="B344" s="82"/>
      <c r="C344" s="82"/>
      <c r="D344" s="82"/>
      <c r="E344" s="82"/>
      <c r="F344" s="124"/>
      <c r="G344" s="124"/>
      <c r="H344" s="82"/>
      <c r="I344" s="82"/>
      <c r="J344" s="82"/>
      <c r="K344" s="82"/>
      <c r="L344" s="82"/>
      <c r="M344" s="82"/>
      <c r="N344" s="82"/>
      <c r="O344" s="82"/>
      <c r="P344" s="82"/>
      <c r="Q344" s="82"/>
      <c r="R344" s="82"/>
      <c r="S344" s="82"/>
    </row>
    <row r="345" spans="1:19" ht="13.5" customHeight="1">
      <c r="A345" s="82"/>
      <c r="B345" s="82"/>
      <c r="C345" s="82"/>
      <c r="D345" s="82"/>
      <c r="E345" s="82"/>
      <c r="F345" s="124"/>
      <c r="G345" s="124"/>
      <c r="H345" s="82"/>
      <c r="I345" s="82"/>
      <c r="J345" s="82"/>
      <c r="K345" s="82"/>
      <c r="L345" s="82"/>
      <c r="M345" s="82"/>
      <c r="N345" s="82"/>
      <c r="O345" s="82"/>
      <c r="P345" s="82"/>
      <c r="Q345" s="82"/>
      <c r="R345" s="82"/>
      <c r="S345" s="82"/>
    </row>
    <row r="346" spans="1:19" ht="13.5" customHeight="1">
      <c r="A346" s="82"/>
      <c r="B346" s="82"/>
      <c r="C346" s="82"/>
      <c r="D346" s="82"/>
      <c r="E346" s="82"/>
      <c r="F346" s="82"/>
      <c r="G346" s="82"/>
      <c r="H346" s="82"/>
      <c r="I346" s="82"/>
      <c r="J346" s="82"/>
      <c r="K346" s="82"/>
      <c r="L346" s="82"/>
      <c r="M346" s="82"/>
      <c r="N346" s="82"/>
      <c r="O346" s="82"/>
      <c r="P346" s="82"/>
      <c r="Q346" s="82"/>
      <c r="R346" s="82"/>
      <c r="S346" s="82"/>
    </row>
    <row r="347" spans="1:19" ht="13.5" customHeight="1">
      <c r="A347" s="82"/>
      <c r="B347" s="82"/>
      <c r="C347" s="123"/>
      <c r="D347" s="82"/>
      <c r="E347" s="82"/>
      <c r="F347" s="82"/>
      <c r="G347" s="82"/>
      <c r="H347" s="82"/>
      <c r="I347" s="82"/>
      <c r="J347" s="82"/>
      <c r="K347" s="82"/>
      <c r="L347" s="82"/>
      <c r="M347" s="82"/>
      <c r="N347" s="82"/>
      <c r="O347" s="82"/>
      <c r="P347" s="82"/>
      <c r="Q347" s="82"/>
      <c r="R347" s="82"/>
      <c r="S347" s="82"/>
    </row>
    <row r="348" spans="1:19" ht="13.5" customHeight="1">
      <c r="A348" s="82"/>
      <c r="B348" s="82"/>
      <c r="C348" s="82"/>
      <c r="D348" s="82"/>
      <c r="E348" s="82"/>
      <c r="F348" s="124"/>
      <c r="G348" s="124"/>
      <c r="H348" s="82"/>
      <c r="I348" s="82"/>
      <c r="J348" s="82"/>
      <c r="K348" s="82"/>
      <c r="L348" s="82"/>
      <c r="M348" s="82"/>
      <c r="N348" s="82"/>
      <c r="O348" s="82"/>
      <c r="P348" s="82"/>
      <c r="Q348" s="82"/>
      <c r="R348" s="82"/>
      <c r="S348" s="82"/>
    </row>
    <row r="349" spans="1:19" ht="13.5" customHeight="1">
      <c r="A349" s="82"/>
      <c r="B349" s="82"/>
      <c r="C349" s="82"/>
      <c r="D349" s="82"/>
      <c r="E349" s="82"/>
      <c r="F349" s="124"/>
      <c r="G349" s="124"/>
      <c r="H349" s="82"/>
      <c r="I349" s="82"/>
      <c r="J349" s="82"/>
      <c r="K349" s="82"/>
      <c r="L349" s="82"/>
      <c r="M349" s="82"/>
      <c r="N349" s="82"/>
      <c r="O349" s="82"/>
      <c r="P349" s="82"/>
      <c r="Q349" s="82"/>
      <c r="R349" s="82"/>
      <c r="S349" s="82"/>
    </row>
    <row r="350" spans="1:19" ht="13.5" customHeight="1">
      <c r="A350" s="82"/>
      <c r="B350" s="82"/>
      <c r="C350" s="82"/>
      <c r="D350" s="82"/>
      <c r="E350" s="82"/>
      <c r="F350" s="124"/>
      <c r="G350" s="124"/>
      <c r="H350" s="82"/>
      <c r="I350" s="82"/>
      <c r="J350" s="82"/>
      <c r="K350" s="82"/>
      <c r="L350" s="82"/>
      <c r="M350" s="82"/>
      <c r="N350" s="82"/>
      <c r="O350" s="82"/>
      <c r="P350" s="82"/>
      <c r="Q350" s="82"/>
      <c r="R350" s="82"/>
      <c r="S350" s="82"/>
    </row>
    <row r="351" spans="1:19" ht="13.5" customHeight="1">
      <c r="A351" s="82"/>
      <c r="B351" s="82"/>
      <c r="C351" s="82"/>
      <c r="D351" s="82"/>
      <c r="E351" s="82"/>
      <c r="F351" s="124"/>
      <c r="G351" s="124"/>
      <c r="H351" s="82"/>
      <c r="I351" s="82"/>
      <c r="J351" s="82"/>
      <c r="K351" s="82"/>
      <c r="L351" s="82"/>
      <c r="M351" s="82"/>
      <c r="N351" s="82"/>
      <c r="O351" s="82"/>
      <c r="P351" s="82"/>
      <c r="Q351" s="82"/>
      <c r="R351" s="82"/>
      <c r="S351" s="82"/>
    </row>
    <row r="352" spans="1:19" ht="5.0999999999999996" customHeight="1">
      <c r="A352" s="82"/>
      <c r="B352" s="82"/>
      <c r="C352" s="82"/>
      <c r="D352" s="82"/>
      <c r="E352" s="82"/>
      <c r="F352" s="82"/>
      <c r="G352" s="82"/>
      <c r="H352" s="82"/>
      <c r="I352" s="82"/>
      <c r="J352" s="82"/>
      <c r="K352" s="82"/>
      <c r="L352" s="82"/>
      <c r="M352" s="82"/>
      <c r="N352" s="82"/>
      <c r="O352" s="82"/>
      <c r="P352" s="82"/>
      <c r="Q352" s="82"/>
      <c r="R352" s="82"/>
      <c r="S352" s="82"/>
    </row>
    <row r="353" spans="1:19" ht="13.5" customHeight="1">
      <c r="A353" s="82"/>
      <c r="B353" s="82"/>
      <c r="C353" s="82"/>
      <c r="D353" s="82"/>
      <c r="E353" s="82"/>
      <c r="F353" s="124"/>
      <c r="G353" s="124"/>
      <c r="H353" s="82"/>
      <c r="I353" s="82"/>
      <c r="J353" s="82"/>
      <c r="K353" s="82"/>
      <c r="L353" s="82"/>
      <c r="M353" s="82"/>
      <c r="N353" s="82"/>
      <c r="O353" s="82"/>
      <c r="P353" s="82"/>
      <c r="Q353" s="82"/>
      <c r="R353" s="82"/>
      <c r="S353" s="82"/>
    </row>
    <row r="354" spans="1:19" ht="13.5" customHeight="1">
      <c r="A354" s="82"/>
      <c r="B354" s="82"/>
      <c r="C354" s="82"/>
      <c r="D354" s="82"/>
      <c r="E354" s="82"/>
      <c r="F354" s="124"/>
      <c r="G354" s="124"/>
      <c r="H354" s="82"/>
      <c r="I354" s="82"/>
      <c r="J354" s="82"/>
      <c r="K354" s="82"/>
      <c r="L354" s="82"/>
      <c r="M354" s="82"/>
      <c r="N354" s="82"/>
      <c r="O354" s="82"/>
      <c r="P354" s="82"/>
      <c r="Q354" s="82"/>
      <c r="R354" s="82"/>
      <c r="S354" s="82"/>
    </row>
    <row r="355" spans="1:19" ht="13.5" customHeight="1">
      <c r="A355" s="82"/>
      <c r="B355" s="82"/>
      <c r="C355" s="82"/>
      <c r="D355" s="82"/>
      <c r="E355" s="82"/>
      <c r="F355" s="82"/>
      <c r="G355" s="82"/>
      <c r="H355" s="82"/>
      <c r="I355" s="82"/>
      <c r="J355" s="82"/>
      <c r="K355" s="82"/>
      <c r="L355" s="82"/>
      <c r="M355" s="82"/>
      <c r="N355" s="82"/>
      <c r="O355" s="82"/>
      <c r="P355" s="82"/>
      <c r="Q355" s="82"/>
      <c r="R355" s="82"/>
      <c r="S355" s="82"/>
    </row>
    <row r="356" spans="1:19" ht="13.5" customHeight="1">
      <c r="F356" s="124"/>
      <c r="G356" s="124"/>
    </row>
  </sheetData>
  <conditionalFormatting sqref="H309:L309">
    <cfRule type="cellIs" dxfId="5" priority="5" operator="equal">
      <formula>"ISSUE"</formula>
    </cfRule>
    <cfRule type="cellIs" dxfId="4" priority="6" operator="equal">
      <formula>"OK"</formula>
    </cfRule>
  </conditionalFormatting>
  <conditionalFormatting sqref="H327:L327">
    <cfRule type="cellIs" dxfId="3" priority="3" operator="equal">
      <formula>"ISSUE"</formula>
    </cfRule>
    <cfRule type="cellIs" dxfId="2" priority="4" operator="equal">
      <formula>"OK"</formula>
    </cfRule>
  </conditionalFormatting>
  <conditionalFormatting sqref="H334:L334">
    <cfRule type="cellIs" dxfId="1" priority="1" operator="equal">
      <formula>"ISSUE"</formula>
    </cfRule>
    <cfRule type="cellIs" dxfId="0" priority="2" operator="equal">
      <formula>"OK"</formula>
    </cfRule>
  </conditionalFormatting>
  <dataValidations count="1">
    <dataValidation type="whole" showInputMessage="1" showErrorMessage="1" errorTitle="Validation Error" error="Enter either 0 or 1." sqref="F267:F270" xr:uid="{24AFA811-EC8D-4E3C-B439-00500219856A}">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5752498D-739D-4190-9BB8-CAA24C442A53}"/>
</file>

<file path=customXml/itemProps2.xml><?xml version="1.0" encoding="utf-8"?>
<ds:datastoreItem xmlns:ds="http://schemas.openxmlformats.org/officeDocument/2006/customXml" ds:itemID="{7AC497E6-5D06-44E0-A50C-7CB4C1243EF2}"/>
</file>

<file path=customXml/itemProps3.xml><?xml version="1.0" encoding="utf-8"?>
<ds:datastoreItem xmlns:ds="http://schemas.openxmlformats.org/officeDocument/2006/customXml" ds:itemID="{91AE9B6F-D503-44D8-9477-967BB703AE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18</vt:i4>
      </vt:variant>
    </vt:vector>
  </HeadingPairs>
  <TitlesOfParts>
    <vt:vector size="37" baseType="lpstr">
      <vt:lpstr>PART I - MODEL BUILD &gt;&gt;&gt;</vt:lpstr>
      <vt:lpstr>Financials from CIP</vt:lpstr>
      <vt:lpstr>Step 1</vt:lpstr>
      <vt:lpstr>Step 1 Answer Key</vt:lpstr>
      <vt:lpstr>Step 2</vt:lpstr>
      <vt:lpstr>Step 2 Answer Key</vt:lpstr>
      <vt:lpstr>Step 3</vt:lpstr>
      <vt:lpstr>Step 3 Answer Key</vt:lpstr>
      <vt:lpstr>Step 4</vt:lpstr>
      <vt:lpstr>Step 4 Answer Key</vt:lpstr>
      <vt:lpstr>Step 5</vt:lpstr>
      <vt:lpstr>Step 5 Answer Key</vt:lpstr>
      <vt:lpstr>Step 6</vt:lpstr>
      <vt:lpstr>Step 6 Answer Key</vt:lpstr>
      <vt:lpstr>Step 7</vt:lpstr>
      <vt:lpstr>Step 7 Answer Key</vt:lpstr>
      <vt:lpstr>Step 8</vt:lpstr>
      <vt:lpstr>Step 8 Answer Key</vt:lpstr>
      <vt:lpstr>Step 9</vt:lpstr>
      <vt:lpstr>'Financials from CIP'!Print_Area</vt:lpstr>
      <vt:lpstr>'Step 1'!Print_Area</vt:lpstr>
      <vt:lpstr>'Step 1 Answer Key'!Print_Area</vt:lpstr>
      <vt:lpstr>'Step 2'!Print_Area</vt:lpstr>
      <vt:lpstr>'Step 2 Answer Key'!Print_Area</vt:lpstr>
      <vt:lpstr>'Step 3'!Print_Area</vt:lpstr>
      <vt:lpstr>'Step 3 Answer Key'!Print_Area</vt:lpstr>
      <vt:lpstr>'Step 4'!Print_Area</vt:lpstr>
      <vt:lpstr>'Step 4 Answer Key'!Print_Area</vt:lpstr>
      <vt:lpstr>'Step 5'!Print_Area</vt:lpstr>
      <vt:lpstr>'Step 5 Answer Key'!Print_Area</vt:lpstr>
      <vt:lpstr>'Step 6'!Print_Area</vt:lpstr>
      <vt:lpstr>'Step 6 Answer Key'!Print_Area</vt:lpstr>
      <vt:lpstr>'Step 7'!Print_Area</vt:lpstr>
      <vt:lpstr>'Step 7 Answer Key'!Print_Area</vt:lpstr>
      <vt:lpstr>'Step 8'!Print_Area</vt:lpstr>
      <vt:lpstr>'Step 8 Answer Key'!Print_Area</vt:lpstr>
      <vt:lpstr>'Step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0x010100FFC4E61526377E47AF828979A7A771F0</vt:lpwstr>
  </property>
</Properties>
</file>