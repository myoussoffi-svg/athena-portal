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0" documentId="8_{9E6295C9-7A52-48FF-B914-1B4F22F05FB6}" xr6:coauthVersionLast="47" xr6:coauthVersionMax="47" xr10:uidLastSave="{00000000-0000-0000-0000-000000000000}"/>
  <bookViews>
    <workbookView xWindow="-120" yWindow="-120" windowWidth="29040" windowHeight="17520" firstSheet="10" activeTab="14"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 name="Step 3 Answer Key" sheetId="8" r:id="rId8"/>
    <sheet name="Step 4" sheetId="9" r:id="rId9"/>
    <sheet name="Step 4 Answer Key" sheetId="10" r:id="rId10"/>
    <sheet name="Step 5" sheetId="11" r:id="rId11"/>
    <sheet name="Step 5 Answer Key" sheetId="12" r:id="rId12"/>
    <sheet name="Step 6" sheetId="13" r:id="rId13"/>
    <sheet name="Step 6 Answer Key" sheetId="14" r:id="rId14"/>
    <sheet name="Step 7" sheetId="15" r:id="rId15"/>
  </sheets>
  <externalReferences>
    <externalReference r:id="rId16"/>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ags1" localSheetId="7" hidden="1">"&lt;tags&gt;&lt;tag n=""Palette"" v=""-1"" /&gt;&lt;tag n=""ClosestPalette"" v=""1"" /&gt;&lt;/tags&gt;"</definedName>
    <definedName name="_tags1" localSheetId="8" hidden="1">"&lt;tags&gt;&lt;tag n=""Palette"" v=""-1"" /&gt;&lt;tag n=""ClosestPalette"" v=""1"" /&gt;&lt;/tags&gt;"</definedName>
    <definedName name="_tags1" localSheetId="9" hidden="1">"&lt;tags&gt;&lt;tag n=""Palette"" v=""-1"" /&gt;&lt;tag n=""ClosestPalette"" v=""1"" /&gt;&lt;/tags&gt;"</definedName>
    <definedName name="_tags1" localSheetId="10" hidden="1">"&lt;tags&gt;&lt;tag n=""Palette"" v=""-1"" /&gt;&lt;tag n=""ClosestPalette"" v=""1"" /&gt;&lt;/tags&gt;"</definedName>
    <definedName name="_tags1" localSheetId="11" hidden="1">"&lt;tags&gt;&lt;tag n=""Palette"" v=""-1"" /&gt;&lt;tag n=""ClosestPalette"" v=""1"" /&gt;&lt;/tags&gt;"</definedName>
    <definedName name="_tags1" localSheetId="12" hidden="1">"&lt;tags&gt;&lt;tag n=""Palette"" v=""-1"" /&gt;&lt;tag n=""ClosestPalette"" v=""1"" /&gt;&lt;/tags&gt;"</definedName>
    <definedName name="_tags1" localSheetId="13" hidden="1">"&lt;tags&gt;&lt;tag n=""Palette"" v=""-1"" /&gt;&lt;tag n=""ClosestPalette"" v=""1"" /&gt;&lt;/tags&gt;"</definedName>
    <definedName name="_tags1" localSheetId="14"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_xlnm.Print_Area" localSheetId="7">'Step 3 Answer Key'!$A$1:$M$90</definedName>
    <definedName name="_xlnm.Print_Area" localSheetId="8">'Step 4'!$A$1:$M$90</definedName>
    <definedName name="_xlnm.Print_Area" localSheetId="9">'Step 4 Answer Key'!$A$1:$M$90</definedName>
    <definedName name="_xlnm.Print_Area" localSheetId="10">'Step 5'!$A$1:$M$90</definedName>
    <definedName name="_xlnm.Print_Area" localSheetId="11">'Step 5 Answer Key'!$A$1:$M$90</definedName>
    <definedName name="_xlnm.Print_Area" localSheetId="12">'Step 6'!$A$1:$M$90</definedName>
    <definedName name="_xlnm.Print_Area" localSheetId="13">'Step 6 Answer Key'!$A$1:$M$90</definedName>
    <definedName name="_xlnm.Print_Area" localSheetId="14">'Step 7'!$A$1:$M$90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localSheetId="7" hidden="1">_xll.ContributionAxisOffset(#REF!,#REF!,#REF!,0)</definedName>
    <definedName name="VI7_AxisOffset" localSheetId="8" hidden="1">_xll.ContributionAxisOffset(#REF!,#REF!,#REF!,0)</definedName>
    <definedName name="VI7_AxisOffset" localSheetId="9" hidden="1">_xll.ContributionAxisOffset(#REF!,#REF!,#REF!,0)</definedName>
    <definedName name="VI7_AxisOffset" localSheetId="10" hidden="1">_xll.ContributionAxisOffset(#REF!,#REF!,#REF!,0)</definedName>
    <definedName name="VI7_AxisOffset" localSheetId="11" hidden="1">_xll.ContributionAxisOffset(#REF!,#REF!,#REF!,0)</definedName>
    <definedName name="VI7_AxisOffset" localSheetId="12" hidden="1">_xll.ContributionAxisOffset(#REF!,#REF!,#REF!,0)</definedName>
    <definedName name="VI7_AxisOffset" localSheetId="13" hidden="1">_xll.ContributionAxisOffset(#REF!,#REF!,#REF!,0)</definedName>
    <definedName name="VI7_AxisOffset" localSheetId="14"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localSheetId="7" hidden="1">_xll.ContributionCumulative(#REF!,#REF!,#REF!)</definedName>
    <definedName name="VI7_Cumulative" localSheetId="8" hidden="1">_xll.ContributionCumulative(#REF!,#REF!,#REF!)</definedName>
    <definedName name="VI7_Cumulative" localSheetId="9" hidden="1">_xll.ContributionCumulative(#REF!,#REF!,#REF!)</definedName>
    <definedName name="VI7_Cumulative" localSheetId="10" hidden="1">_xll.ContributionCumulative(#REF!,#REF!,#REF!)</definedName>
    <definedName name="VI7_Cumulative" localSheetId="11" hidden="1">_xll.ContributionCumulative(#REF!,#REF!,#REF!)</definedName>
    <definedName name="VI7_Cumulative" localSheetId="12" hidden="1">_xll.ContributionCumulative(#REF!,#REF!,#REF!)</definedName>
    <definedName name="VI7_Cumulative" localSheetId="13" hidden="1">_xll.ContributionCumulative(#REF!,#REF!,#REF!)</definedName>
    <definedName name="VI7_Cumulative" localSheetId="14"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localSheetId="7" hidden="1">_xll.DifferenceCalculatedIndex(#REF!,#REF!,#REF!,#REF!)</definedName>
    <definedName name="VI7_Difference1CalculatedIndex1" localSheetId="8" hidden="1">_xll.DifferenceCalculatedIndex(#REF!,#REF!,#REF!,#REF!)</definedName>
    <definedName name="VI7_Difference1CalculatedIndex1" localSheetId="9" hidden="1">_xll.DifferenceCalculatedIndex(#REF!,#REF!,#REF!,#REF!)</definedName>
    <definedName name="VI7_Difference1CalculatedIndex1" localSheetId="10" hidden="1">_xll.DifferenceCalculatedIndex(#REF!,#REF!,#REF!,#REF!)</definedName>
    <definedName name="VI7_Difference1CalculatedIndex1" localSheetId="11" hidden="1">_xll.DifferenceCalculatedIndex(#REF!,#REF!,#REF!,#REF!)</definedName>
    <definedName name="VI7_Difference1CalculatedIndex1" localSheetId="12" hidden="1">_xll.DifferenceCalculatedIndex(#REF!,#REF!,#REF!,#REF!)</definedName>
    <definedName name="VI7_Difference1CalculatedIndex1" localSheetId="13" hidden="1">_xll.DifferenceCalculatedIndex(#REF!,#REF!,#REF!,#REF!)</definedName>
    <definedName name="VI7_Difference1CalculatedIndex1" localSheetId="14"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localSheetId="7" hidden="1">_xll.DifferenceCalculatedIndex(#REF!,#REF!,#REF!,#REF!)</definedName>
    <definedName name="VI7_Difference1CalculatedIndex2" localSheetId="8" hidden="1">_xll.DifferenceCalculatedIndex(#REF!,#REF!,#REF!,#REF!)</definedName>
    <definedName name="VI7_Difference1CalculatedIndex2" localSheetId="9" hidden="1">_xll.DifferenceCalculatedIndex(#REF!,#REF!,#REF!,#REF!)</definedName>
    <definedName name="VI7_Difference1CalculatedIndex2" localSheetId="10" hidden="1">_xll.DifferenceCalculatedIndex(#REF!,#REF!,#REF!,#REF!)</definedName>
    <definedName name="VI7_Difference1CalculatedIndex2" localSheetId="11" hidden="1">_xll.DifferenceCalculatedIndex(#REF!,#REF!,#REF!,#REF!)</definedName>
    <definedName name="VI7_Difference1CalculatedIndex2" localSheetId="12" hidden="1">_xll.DifferenceCalculatedIndex(#REF!,#REF!,#REF!,#REF!)</definedName>
    <definedName name="VI7_Difference1CalculatedIndex2" localSheetId="13" hidden="1">_xll.DifferenceCalculatedIndex(#REF!,#REF!,#REF!,#REF!)</definedName>
    <definedName name="VI7_Difference1CalculatedIndex2" localSheetId="14"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localSheetId="7" hidden="1">_xll.ContributionDifferenceY(#REF!,#REF!,0,0,0)</definedName>
    <definedName name="VI7_Difference1LabelY1" localSheetId="8" hidden="1">_xll.ContributionDifferenceY(#REF!,#REF!,0,0,0)</definedName>
    <definedName name="VI7_Difference1LabelY1" localSheetId="9" hidden="1">_xll.ContributionDifferenceY(#REF!,#REF!,0,0,0)</definedName>
    <definedName name="VI7_Difference1LabelY1" localSheetId="10" hidden="1">_xll.ContributionDifferenceY(#REF!,#REF!,0,0,0)</definedName>
    <definedName name="VI7_Difference1LabelY1" localSheetId="11" hidden="1">_xll.ContributionDifferenceY(#REF!,#REF!,0,0,0)</definedName>
    <definedName name="VI7_Difference1LabelY1" localSheetId="12" hidden="1">_xll.ContributionDifferenceY(#REF!,#REF!,0,0,0)</definedName>
    <definedName name="VI7_Difference1LabelY1" localSheetId="13" hidden="1">_xll.ContributionDifferenceY(#REF!,#REF!,0,0,0)</definedName>
    <definedName name="VI7_Difference1LabelY1" localSheetId="14"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localSheetId="7" hidden="1">_xll.ContributionDifferenceY(#REF!,#REF!,0,0,0)</definedName>
    <definedName name="VI7_Difference1LabelY2" localSheetId="8" hidden="1">_xll.ContributionDifferenceY(#REF!,#REF!,0,0,0)</definedName>
    <definedName name="VI7_Difference1LabelY2" localSheetId="9" hidden="1">_xll.ContributionDifferenceY(#REF!,#REF!,0,0,0)</definedName>
    <definedName name="VI7_Difference1LabelY2" localSheetId="10" hidden="1">_xll.ContributionDifferenceY(#REF!,#REF!,0,0,0)</definedName>
    <definedName name="VI7_Difference1LabelY2" localSheetId="11" hidden="1">_xll.ContributionDifferenceY(#REF!,#REF!,0,0,0)</definedName>
    <definedName name="VI7_Difference1LabelY2" localSheetId="12" hidden="1">_xll.ContributionDifferenceY(#REF!,#REF!,0,0,0)</definedName>
    <definedName name="VI7_Difference1LabelY2" localSheetId="13" hidden="1">_xll.ContributionDifferenceY(#REF!,#REF!,0,0,0)</definedName>
    <definedName name="VI7_Difference1LabelY2" localSheetId="14"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localSheetId="7" hidden="1">_xll.LabelOffset(#REF!,#REF!,204,10,"$#,##0.0",1,0,0)</definedName>
    <definedName name="VI7_LabelOffsetMax" localSheetId="8" hidden="1">_xll.LabelOffset(#REF!,#REF!,204,10,"$#,##0.0",1,0,0)</definedName>
    <definedName name="VI7_LabelOffsetMax" localSheetId="9" hidden="1">_xll.LabelOffset(#REF!,#REF!,204,10,"$#,##0.0",1,0,0)</definedName>
    <definedName name="VI7_LabelOffsetMax" localSheetId="10" hidden="1">_xll.LabelOffset(#REF!,#REF!,204,10,"$#,##0.0",1,0,0)</definedName>
    <definedName name="VI7_LabelOffsetMax" localSheetId="11" hidden="1">_xll.LabelOffset(#REF!,#REF!,204,10,"$#,##0.0",1,0,0)</definedName>
    <definedName name="VI7_LabelOffsetMax" localSheetId="12" hidden="1">_xll.LabelOffset(#REF!,#REF!,204,10,"$#,##0.0",1,0,0)</definedName>
    <definedName name="VI7_LabelOffsetMax" localSheetId="13" hidden="1">_xll.LabelOffset(#REF!,#REF!,204,10,"$#,##0.0",1,0,0)</definedName>
    <definedName name="VI7_LabelOffsetMax" localSheetId="14"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localSheetId="7" hidden="1">_xll.LabelOffset(#REF!,#REF!,204,10,"$#,##0.0",0,0,0)</definedName>
    <definedName name="VI7_LabelOffsetMin" localSheetId="8" hidden="1">_xll.LabelOffset(#REF!,#REF!,204,10,"$#,##0.0",0,0,0)</definedName>
    <definedName name="VI7_LabelOffsetMin" localSheetId="9" hidden="1">_xll.LabelOffset(#REF!,#REF!,204,10,"$#,##0.0",0,0,0)</definedName>
    <definedName name="VI7_LabelOffsetMin" localSheetId="10" hidden="1">_xll.LabelOffset(#REF!,#REF!,204,10,"$#,##0.0",0,0,0)</definedName>
    <definedName name="VI7_LabelOffsetMin" localSheetId="11" hidden="1">_xll.LabelOffset(#REF!,#REF!,204,10,"$#,##0.0",0,0,0)</definedName>
    <definedName name="VI7_LabelOffsetMin" localSheetId="12" hidden="1">_xll.LabelOffset(#REF!,#REF!,204,10,"$#,##0.0",0,0,0)</definedName>
    <definedName name="VI7_LabelOffsetMin" localSheetId="13" hidden="1">_xll.LabelOffset(#REF!,#REF!,204,10,"$#,##0.0",0,0,0)</definedName>
    <definedName name="VI7_LabelOffsetMin" localSheetId="14"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localSheetId="7" hidden="1">_xll.MaxFromSeriesWithBreak(#REF!,#REF!,0)</definedName>
    <definedName name="VI7_Max" localSheetId="8" hidden="1">_xll.MaxFromSeriesWithBreak(#REF!,#REF!,0)</definedName>
    <definedName name="VI7_Max" localSheetId="9" hidden="1">_xll.MaxFromSeriesWithBreak(#REF!,#REF!,0)</definedName>
    <definedName name="VI7_Max" localSheetId="10" hidden="1">_xll.MaxFromSeriesWithBreak(#REF!,#REF!,0)</definedName>
    <definedName name="VI7_Max" localSheetId="11" hidden="1">_xll.MaxFromSeriesWithBreak(#REF!,#REF!,0)</definedName>
    <definedName name="VI7_Max" localSheetId="12" hidden="1">_xll.MaxFromSeriesWithBreak(#REF!,#REF!,0)</definedName>
    <definedName name="VI7_Max" localSheetId="13" hidden="1">_xll.MaxFromSeriesWithBreak(#REF!,#REF!,0)</definedName>
    <definedName name="VI7_Max" localSheetId="14"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localSheetId="7" hidden="1">_xll.MinFromSeries(#REF!)</definedName>
    <definedName name="VI7_Min" localSheetId="8" hidden="1">_xll.MinFromSeries(#REF!)</definedName>
    <definedName name="VI7_Min" localSheetId="9" hidden="1">_xll.MinFromSeries(#REF!)</definedName>
    <definedName name="VI7_Min" localSheetId="10" hidden="1">_xll.MinFromSeries(#REF!)</definedName>
    <definedName name="VI7_Min" localSheetId="11" hidden="1">_xll.MinFromSeries(#REF!)</definedName>
    <definedName name="VI7_Min" localSheetId="12" hidden="1">_xll.MinFromSeries(#REF!)</definedName>
    <definedName name="VI7_Min" localSheetId="13" hidden="1">_xll.MinFromSeries(#REF!)</definedName>
    <definedName name="VI7_Min" localSheetId="14"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8" i="15" l="1"/>
  <c r="C268" i="15"/>
  <c r="J267" i="15"/>
  <c r="C267" i="15"/>
  <c r="C258" i="15"/>
  <c r="C249" i="15"/>
  <c r="C243" i="15"/>
  <c r="C237" i="15"/>
  <c r="C228" i="15"/>
  <c r="C220" i="15"/>
  <c r="C210" i="15"/>
  <c r="H201" i="15"/>
  <c r="G201" i="15"/>
  <c r="F201" i="15"/>
  <c r="F187" i="15"/>
  <c r="D187" i="15"/>
  <c r="G187" i="15" s="1"/>
  <c r="H187" i="15" s="1"/>
  <c r="C187" i="15"/>
  <c r="C137" i="15"/>
  <c r="G136" i="15"/>
  <c r="F136" i="15"/>
  <c r="C136" i="15"/>
  <c r="C135" i="15"/>
  <c r="F132" i="15"/>
  <c r="C132" i="15"/>
  <c r="G131" i="15"/>
  <c r="C131" i="15"/>
  <c r="C130" i="15"/>
  <c r="G126" i="15"/>
  <c r="F126" i="15"/>
  <c r="L117" i="15"/>
  <c r="K117" i="15"/>
  <c r="J117" i="15"/>
  <c r="I117" i="15"/>
  <c r="H117" i="15"/>
  <c r="C116" i="15"/>
  <c r="C115" i="15"/>
  <c r="C114" i="15"/>
  <c r="H96" i="15"/>
  <c r="G96" i="15"/>
  <c r="F96" i="15"/>
  <c r="G86" i="15"/>
  <c r="F86" i="15"/>
  <c r="H85" i="15"/>
  <c r="I85" i="15" s="1"/>
  <c r="J85" i="15" s="1"/>
  <c r="K85" i="15" s="1"/>
  <c r="L85" i="15" s="1"/>
  <c r="G85" i="15"/>
  <c r="F85" i="15"/>
  <c r="H83" i="15"/>
  <c r="I83" i="15" s="1"/>
  <c r="J83" i="15" s="1"/>
  <c r="K83" i="15" s="1"/>
  <c r="L83" i="15" s="1"/>
  <c r="G83" i="15"/>
  <c r="F83" i="15"/>
  <c r="G81" i="15"/>
  <c r="G253" i="15" s="1"/>
  <c r="F81" i="15"/>
  <c r="G80" i="15"/>
  <c r="G247" i="15" s="1"/>
  <c r="F80" i="15"/>
  <c r="G79" i="15"/>
  <c r="G241" i="15" s="1"/>
  <c r="G258" i="15" s="1"/>
  <c r="F79" i="15"/>
  <c r="G78" i="15"/>
  <c r="G232" i="15" s="1"/>
  <c r="F78" i="15"/>
  <c r="G76" i="15"/>
  <c r="G137" i="15" s="1"/>
  <c r="F76" i="15"/>
  <c r="F137" i="15" s="1"/>
  <c r="G75" i="15"/>
  <c r="F75" i="15"/>
  <c r="G74" i="15"/>
  <c r="F74" i="15"/>
  <c r="G69" i="15"/>
  <c r="H21" i="15" s="1"/>
  <c r="F69" i="15"/>
  <c r="G67" i="15"/>
  <c r="F67" i="15"/>
  <c r="G63" i="15"/>
  <c r="G132" i="15" s="1"/>
  <c r="F63" i="15"/>
  <c r="G62" i="15"/>
  <c r="G64" i="15" s="1"/>
  <c r="F62" i="15"/>
  <c r="F131" i="15" s="1"/>
  <c r="G61" i="15"/>
  <c r="G130" i="15" s="1"/>
  <c r="F61" i="15"/>
  <c r="G60" i="15"/>
  <c r="F60" i="15"/>
  <c r="F168" i="15" s="1"/>
  <c r="H56" i="15"/>
  <c r="G56" i="15"/>
  <c r="F56" i="15"/>
  <c r="G36" i="15"/>
  <c r="G32" i="15"/>
  <c r="F32" i="15"/>
  <c r="G30" i="15"/>
  <c r="F30" i="15"/>
  <c r="L29" i="15"/>
  <c r="K29" i="15"/>
  <c r="J29" i="15"/>
  <c r="I29" i="15"/>
  <c r="H29" i="15"/>
  <c r="G29" i="15"/>
  <c r="F29" i="15"/>
  <c r="C28" i="15"/>
  <c r="C27" i="15"/>
  <c r="C26" i="15"/>
  <c r="G21" i="15"/>
  <c r="F21" i="15"/>
  <c r="G20" i="15"/>
  <c r="F20" i="15"/>
  <c r="G17" i="15"/>
  <c r="F17" i="15"/>
  <c r="G14" i="15"/>
  <c r="F14" i="15"/>
  <c r="F146" i="15" s="1"/>
  <c r="G13" i="15"/>
  <c r="G48" i="15" s="1"/>
  <c r="H48" i="15" s="1"/>
  <c r="H11" i="15"/>
  <c r="F11" i="15"/>
  <c r="C246" i="14"/>
  <c r="J245" i="14"/>
  <c r="C245" i="14"/>
  <c r="J244" i="14"/>
  <c r="C235" i="14"/>
  <c r="H227" i="14"/>
  <c r="G209" i="14"/>
  <c r="C205" i="14"/>
  <c r="C244" i="14" s="1"/>
  <c r="G201" i="14"/>
  <c r="F201" i="14"/>
  <c r="C187" i="14"/>
  <c r="G137" i="14"/>
  <c r="G155" i="14" s="1"/>
  <c r="C137" i="14"/>
  <c r="F136" i="14"/>
  <c r="C136" i="14"/>
  <c r="C135" i="14"/>
  <c r="C132" i="14"/>
  <c r="C131" i="14"/>
  <c r="C130" i="14"/>
  <c r="G126" i="14"/>
  <c r="F126" i="14"/>
  <c r="L117" i="14"/>
  <c r="K117" i="14"/>
  <c r="J117" i="14"/>
  <c r="I117" i="14"/>
  <c r="H117" i="14"/>
  <c r="C116" i="14"/>
  <c r="C226" i="14" s="1"/>
  <c r="C115" i="14"/>
  <c r="C220" i="14" s="1"/>
  <c r="C236" i="14" s="1"/>
  <c r="C114" i="14"/>
  <c r="C214" i="14" s="1"/>
  <c r="G96" i="14"/>
  <c r="F96" i="14"/>
  <c r="G86" i="14"/>
  <c r="F86" i="14"/>
  <c r="H85" i="14"/>
  <c r="I85" i="14" s="1"/>
  <c r="J85" i="14" s="1"/>
  <c r="K85" i="14" s="1"/>
  <c r="L85" i="14" s="1"/>
  <c r="G85" i="14"/>
  <c r="F85" i="14"/>
  <c r="G83" i="14"/>
  <c r="H83" i="14" s="1"/>
  <c r="I83" i="14" s="1"/>
  <c r="J83" i="14" s="1"/>
  <c r="K83" i="14" s="1"/>
  <c r="L83" i="14" s="1"/>
  <c r="F83" i="14"/>
  <c r="G81" i="14"/>
  <c r="G230" i="14" s="1"/>
  <c r="G237" i="14" s="1"/>
  <c r="F81" i="14"/>
  <c r="G80" i="14"/>
  <c r="G224" i="14" s="1"/>
  <c r="F80" i="14"/>
  <c r="G79" i="14"/>
  <c r="G218" i="14" s="1"/>
  <c r="F79" i="14"/>
  <c r="G78" i="14"/>
  <c r="F78" i="14"/>
  <c r="G76" i="14"/>
  <c r="F76" i="14"/>
  <c r="F137" i="14" s="1"/>
  <c r="G75" i="14"/>
  <c r="G136" i="14" s="1"/>
  <c r="F75" i="14"/>
  <c r="G74" i="14"/>
  <c r="F74" i="14"/>
  <c r="F135" i="14" s="1"/>
  <c r="G69" i="14"/>
  <c r="F69" i="14"/>
  <c r="G67" i="14"/>
  <c r="D187" i="14" s="1"/>
  <c r="G187" i="14" s="1"/>
  <c r="H187" i="14" s="1"/>
  <c r="F67" i="14"/>
  <c r="G63" i="14"/>
  <c r="G132" i="14" s="1"/>
  <c r="G151" i="14" s="1"/>
  <c r="F63" i="14"/>
  <c r="F132" i="14" s="1"/>
  <c r="G62" i="14"/>
  <c r="G131" i="14" s="1"/>
  <c r="F62" i="14"/>
  <c r="F131" i="14" s="1"/>
  <c r="G61" i="14"/>
  <c r="G130" i="14" s="1"/>
  <c r="G133" i="14" s="1"/>
  <c r="F61" i="14"/>
  <c r="F130" i="14" s="1"/>
  <c r="G60" i="14"/>
  <c r="F60" i="14"/>
  <c r="G56" i="14"/>
  <c r="F56" i="14" s="1"/>
  <c r="G36" i="14"/>
  <c r="G32" i="14"/>
  <c r="F32" i="14"/>
  <c r="G30" i="14"/>
  <c r="F30" i="14"/>
  <c r="L29" i="14"/>
  <c r="K29" i="14"/>
  <c r="J29" i="14"/>
  <c r="I29" i="14"/>
  <c r="H29" i="14"/>
  <c r="G29" i="14"/>
  <c r="F29" i="14"/>
  <c r="C28" i="14"/>
  <c r="C27" i="14"/>
  <c r="C26" i="14"/>
  <c r="G21" i="14"/>
  <c r="F21" i="14"/>
  <c r="G20" i="14"/>
  <c r="F187" i="14" s="1"/>
  <c r="F20" i="14"/>
  <c r="G17" i="14"/>
  <c r="G147" i="14" s="1"/>
  <c r="F17" i="14"/>
  <c r="F147" i="14" s="1"/>
  <c r="F151" i="14" s="1"/>
  <c r="G14" i="14"/>
  <c r="G146" i="14" s="1"/>
  <c r="F14" i="14"/>
  <c r="F146" i="14" s="1"/>
  <c r="H11" i="14"/>
  <c r="H185" i="14" s="1"/>
  <c r="C188" i="14" s="1"/>
  <c r="F11" i="14"/>
  <c r="C247" i="13"/>
  <c r="G237" i="13"/>
  <c r="C237" i="13"/>
  <c r="G236" i="13"/>
  <c r="G235" i="13"/>
  <c r="C226" i="13"/>
  <c r="C220" i="13"/>
  <c r="C205" i="13"/>
  <c r="C244" i="13" s="1"/>
  <c r="H201" i="13"/>
  <c r="G201" i="13"/>
  <c r="F187" i="13"/>
  <c r="C187" i="13"/>
  <c r="F137" i="13"/>
  <c r="C137" i="13"/>
  <c r="C136" i="13"/>
  <c r="G135" i="13"/>
  <c r="C135" i="13"/>
  <c r="C132" i="13"/>
  <c r="F131" i="13"/>
  <c r="C131" i="13"/>
  <c r="C130" i="13"/>
  <c r="G126" i="13"/>
  <c r="L117" i="13"/>
  <c r="K117" i="13"/>
  <c r="J117" i="13"/>
  <c r="I117" i="13"/>
  <c r="H117" i="13"/>
  <c r="C116" i="13"/>
  <c r="C115" i="13"/>
  <c r="C114" i="13"/>
  <c r="C214" i="13" s="1"/>
  <c r="C245" i="13" s="1"/>
  <c r="G96" i="13"/>
  <c r="G86" i="13"/>
  <c r="F86" i="13"/>
  <c r="G85" i="13"/>
  <c r="H85" i="13" s="1"/>
  <c r="I85" i="13" s="1"/>
  <c r="J85" i="13" s="1"/>
  <c r="K85" i="13" s="1"/>
  <c r="L85" i="13" s="1"/>
  <c r="F85" i="13"/>
  <c r="H83" i="13"/>
  <c r="I83" i="13" s="1"/>
  <c r="J83" i="13" s="1"/>
  <c r="K83" i="13" s="1"/>
  <c r="L83" i="13" s="1"/>
  <c r="G83" i="13"/>
  <c r="F83" i="13"/>
  <c r="L82" i="13"/>
  <c r="K82" i="13"/>
  <c r="J82" i="13"/>
  <c r="I82" i="13"/>
  <c r="H82" i="13"/>
  <c r="G81" i="13"/>
  <c r="F81" i="13"/>
  <c r="G80" i="13"/>
  <c r="F80" i="13"/>
  <c r="G79" i="13"/>
  <c r="F79" i="13"/>
  <c r="G78" i="13"/>
  <c r="F78" i="13"/>
  <c r="F82" i="13" s="1"/>
  <c r="G76" i="13"/>
  <c r="G137" i="13" s="1"/>
  <c r="F76" i="13"/>
  <c r="G75" i="13"/>
  <c r="G136" i="13" s="1"/>
  <c r="F75" i="13"/>
  <c r="F136" i="13" s="1"/>
  <c r="G74" i="13"/>
  <c r="F74" i="13"/>
  <c r="G69" i="13"/>
  <c r="H69" i="13" s="1"/>
  <c r="F69" i="13"/>
  <c r="G67" i="13"/>
  <c r="F67" i="13"/>
  <c r="G63" i="13"/>
  <c r="G132" i="13" s="1"/>
  <c r="F63" i="13"/>
  <c r="F132" i="13" s="1"/>
  <c r="G62" i="13"/>
  <c r="G131" i="13" s="1"/>
  <c r="F62" i="13"/>
  <c r="G61" i="13"/>
  <c r="G130" i="13" s="1"/>
  <c r="F61" i="13"/>
  <c r="G60" i="13"/>
  <c r="G168" i="13" s="1"/>
  <c r="F60" i="13"/>
  <c r="F168" i="13" s="1"/>
  <c r="H56" i="13"/>
  <c r="G56" i="13"/>
  <c r="F56" i="13" s="1"/>
  <c r="G36" i="13"/>
  <c r="G32" i="13"/>
  <c r="F32" i="13"/>
  <c r="G30" i="13"/>
  <c r="F30" i="13"/>
  <c r="L29" i="13"/>
  <c r="K29" i="13"/>
  <c r="J29" i="13"/>
  <c r="I29" i="13"/>
  <c r="H29" i="13"/>
  <c r="G29" i="13"/>
  <c r="F29" i="13"/>
  <c r="C28" i="13"/>
  <c r="C27" i="13"/>
  <c r="C26" i="13"/>
  <c r="G21" i="13"/>
  <c r="H21" i="13" s="1"/>
  <c r="H102" i="13" s="1"/>
  <c r="F21" i="13"/>
  <c r="G20" i="13"/>
  <c r="F20" i="13"/>
  <c r="G17" i="13"/>
  <c r="G147" i="13" s="1"/>
  <c r="F17" i="13"/>
  <c r="G14" i="13"/>
  <c r="G146" i="13" s="1"/>
  <c r="F14" i="13"/>
  <c r="F146" i="13" s="1"/>
  <c r="F150" i="13" s="1"/>
  <c r="G13" i="13"/>
  <c r="I11" i="13"/>
  <c r="H11" i="13"/>
  <c r="F11" i="13"/>
  <c r="C187" i="12"/>
  <c r="C137" i="12"/>
  <c r="G136" i="12"/>
  <c r="F136" i="12"/>
  <c r="C136" i="12"/>
  <c r="G135" i="12"/>
  <c r="F135" i="12"/>
  <c r="C135" i="12"/>
  <c r="C132" i="12"/>
  <c r="C131" i="12"/>
  <c r="C130" i="12"/>
  <c r="G126" i="12"/>
  <c r="F126" i="12"/>
  <c r="L117" i="12"/>
  <c r="K117" i="12"/>
  <c r="J117" i="12"/>
  <c r="I117" i="12"/>
  <c r="H117" i="12"/>
  <c r="C116" i="12"/>
  <c r="C115" i="12"/>
  <c r="C114" i="12"/>
  <c r="H96" i="12"/>
  <c r="G96" i="12"/>
  <c r="F96" i="12"/>
  <c r="G86" i="12"/>
  <c r="F86" i="12"/>
  <c r="G85" i="12"/>
  <c r="H85" i="12" s="1"/>
  <c r="I85" i="12" s="1"/>
  <c r="J85" i="12" s="1"/>
  <c r="K85" i="12" s="1"/>
  <c r="L85" i="12" s="1"/>
  <c r="F85" i="12"/>
  <c r="F173" i="12" s="1"/>
  <c r="H83" i="12"/>
  <c r="I83" i="12" s="1"/>
  <c r="J83" i="12" s="1"/>
  <c r="K83" i="12" s="1"/>
  <c r="L83" i="12" s="1"/>
  <c r="G83" i="12"/>
  <c r="F83" i="12"/>
  <c r="L82" i="12"/>
  <c r="K82" i="12"/>
  <c r="J82" i="12"/>
  <c r="I82" i="12"/>
  <c r="H82" i="12"/>
  <c r="G81" i="12"/>
  <c r="F81" i="12"/>
  <c r="G80" i="12"/>
  <c r="F80" i="12"/>
  <c r="G79" i="12"/>
  <c r="F79" i="12"/>
  <c r="G78" i="12"/>
  <c r="F78" i="12"/>
  <c r="G76" i="12"/>
  <c r="G137" i="12" s="1"/>
  <c r="F76" i="12"/>
  <c r="F137" i="12" s="1"/>
  <c r="G75" i="12"/>
  <c r="F75" i="12"/>
  <c r="G74" i="12"/>
  <c r="F74" i="12"/>
  <c r="F77" i="12" s="1"/>
  <c r="G69" i="12"/>
  <c r="F69" i="12"/>
  <c r="G67" i="12"/>
  <c r="D187" i="12" s="1"/>
  <c r="G187" i="12" s="1"/>
  <c r="H187" i="12" s="1"/>
  <c r="F67" i="12"/>
  <c r="G63" i="12"/>
  <c r="G132" i="12" s="1"/>
  <c r="F63" i="12"/>
  <c r="F132" i="12" s="1"/>
  <c r="G62" i="12"/>
  <c r="G131" i="12" s="1"/>
  <c r="F62" i="12"/>
  <c r="F131" i="12" s="1"/>
  <c r="G61" i="12"/>
  <c r="G130" i="12" s="1"/>
  <c r="F61" i="12"/>
  <c r="F130" i="12" s="1"/>
  <c r="G60" i="12"/>
  <c r="G168" i="12" s="1"/>
  <c r="F60" i="12"/>
  <c r="G56" i="12"/>
  <c r="F56" i="12"/>
  <c r="G36" i="12"/>
  <c r="G32" i="12"/>
  <c r="F32" i="12"/>
  <c r="G30" i="12"/>
  <c r="F30" i="12"/>
  <c r="L29" i="12"/>
  <c r="K29" i="12"/>
  <c r="J29" i="12"/>
  <c r="I29" i="12"/>
  <c r="H29" i="12"/>
  <c r="G29" i="12"/>
  <c r="F29" i="12"/>
  <c r="C28" i="12"/>
  <c r="C27" i="12"/>
  <c r="C26" i="12"/>
  <c r="G21" i="12"/>
  <c r="F21" i="12"/>
  <c r="G20" i="12"/>
  <c r="F187" i="12" s="1"/>
  <c r="F20" i="12"/>
  <c r="G17" i="12"/>
  <c r="F17" i="12"/>
  <c r="G14" i="12"/>
  <c r="F14" i="12"/>
  <c r="F146" i="12" s="1"/>
  <c r="G13" i="12"/>
  <c r="H11" i="12"/>
  <c r="F11" i="12"/>
  <c r="C188" i="11"/>
  <c r="C187" i="11"/>
  <c r="I185" i="11"/>
  <c r="C189" i="11" s="1"/>
  <c r="H185" i="11"/>
  <c r="G168" i="11"/>
  <c r="F137" i="11"/>
  <c r="C137" i="11"/>
  <c r="C136" i="11"/>
  <c r="C135" i="11"/>
  <c r="C132" i="11"/>
  <c r="C131" i="11"/>
  <c r="C130" i="11"/>
  <c r="I126" i="11"/>
  <c r="H126" i="11"/>
  <c r="G126" i="11"/>
  <c r="L117" i="11"/>
  <c r="K117" i="11"/>
  <c r="J117" i="11"/>
  <c r="I117" i="11"/>
  <c r="H117" i="11"/>
  <c r="C116" i="11"/>
  <c r="C115" i="11"/>
  <c r="C114" i="11"/>
  <c r="I105" i="11"/>
  <c r="H105" i="11"/>
  <c r="L103" i="11"/>
  <c r="L105" i="11" s="1"/>
  <c r="K103" i="11"/>
  <c r="K105" i="11" s="1"/>
  <c r="J103" i="11"/>
  <c r="J105" i="11" s="1"/>
  <c r="I103" i="11"/>
  <c r="H103" i="11"/>
  <c r="I96" i="11"/>
  <c r="H96" i="11"/>
  <c r="G96" i="11"/>
  <c r="G86" i="11"/>
  <c r="F86" i="11"/>
  <c r="G85" i="11"/>
  <c r="H85" i="11" s="1"/>
  <c r="I85" i="11" s="1"/>
  <c r="J85" i="11" s="1"/>
  <c r="K85" i="11" s="1"/>
  <c r="L85" i="11" s="1"/>
  <c r="F85" i="11"/>
  <c r="F173" i="11" s="1"/>
  <c r="G83" i="11"/>
  <c r="H83" i="11" s="1"/>
  <c r="I83" i="11" s="1"/>
  <c r="J83" i="11" s="1"/>
  <c r="K83" i="11" s="1"/>
  <c r="L83" i="11" s="1"/>
  <c r="F83" i="11"/>
  <c r="L82" i="11"/>
  <c r="K82" i="11"/>
  <c r="J82" i="11"/>
  <c r="I82" i="11"/>
  <c r="H82" i="11"/>
  <c r="G81" i="11"/>
  <c r="F81" i="11"/>
  <c r="G80" i="11"/>
  <c r="F80" i="11"/>
  <c r="G79" i="11"/>
  <c r="F79" i="11"/>
  <c r="G78" i="11"/>
  <c r="F78" i="11"/>
  <c r="G76" i="11"/>
  <c r="G137" i="11" s="1"/>
  <c r="F76" i="11"/>
  <c r="G75" i="11"/>
  <c r="F75" i="11"/>
  <c r="G74" i="11"/>
  <c r="G135" i="11" s="1"/>
  <c r="F74" i="11"/>
  <c r="F135" i="11" s="1"/>
  <c r="G69" i="11"/>
  <c r="F69" i="11"/>
  <c r="G67" i="11"/>
  <c r="D187" i="11" s="1"/>
  <c r="G187" i="11" s="1"/>
  <c r="H187" i="11" s="1"/>
  <c r="F67" i="11"/>
  <c r="G63" i="11"/>
  <c r="G132" i="11" s="1"/>
  <c r="F63" i="11"/>
  <c r="F132" i="11" s="1"/>
  <c r="G62" i="11"/>
  <c r="G131" i="11" s="1"/>
  <c r="F62" i="11"/>
  <c r="F131" i="11" s="1"/>
  <c r="G61" i="11"/>
  <c r="G130" i="11" s="1"/>
  <c r="F61" i="11"/>
  <c r="F130" i="11" s="1"/>
  <c r="F133" i="11" s="1"/>
  <c r="G60" i="11"/>
  <c r="F60" i="11"/>
  <c r="I56" i="11"/>
  <c r="G56" i="11"/>
  <c r="F56" i="11" s="1"/>
  <c r="G36" i="11"/>
  <c r="G32" i="11"/>
  <c r="F32" i="11"/>
  <c r="G30" i="11"/>
  <c r="F30" i="11"/>
  <c r="L29" i="11"/>
  <c r="K29" i="11"/>
  <c r="J29" i="11"/>
  <c r="I29" i="11"/>
  <c r="H29" i="11"/>
  <c r="G29" i="11"/>
  <c r="F29" i="11"/>
  <c r="C28" i="11"/>
  <c r="C27" i="11"/>
  <c r="C26" i="11"/>
  <c r="G21" i="11"/>
  <c r="F21" i="11"/>
  <c r="G20" i="11"/>
  <c r="F187" i="11" s="1"/>
  <c r="F20" i="11"/>
  <c r="G17" i="11"/>
  <c r="F17" i="11"/>
  <c r="G14" i="11"/>
  <c r="G146" i="11" s="1"/>
  <c r="F14" i="11"/>
  <c r="F146" i="11" s="1"/>
  <c r="G13" i="11"/>
  <c r="G145" i="11" s="1"/>
  <c r="G149" i="11" s="1"/>
  <c r="I11" i="11"/>
  <c r="J11" i="11" s="1"/>
  <c r="H11" i="11"/>
  <c r="H56" i="11" s="1"/>
  <c r="F11" i="11"/>
  <c r="C157" i="10"/>
  <c r="H155" i="10"/>
  <c r="C158" i="10" s="1"/>
  <c r="F117" i="10"/>
  <c r="F121" i="10" s="1"/>
  <c r="F116" i="10"/>
  <c r="F120" i="10" s="1"/>
  <c r="G115" i="10"/>
  <c r="F107" i="10"/>
  <c r="F125" i="10" s="1"/>
  <c r="C107" i="10"/>
  <c r="C106" i="10"/>
  <c r="C105" i="10"/>
  <c r="F102" i="10"/>
  <c r="C102" i="10"/>
  <c r="G101" i="10"/>
  <c r="F101" i="10"/>
  <c r="C101" i="10"/>
  <c r="G100" i="10"/>
  <c r="C100" i="10"/>
  <c r="H96" i="10"/>
  <c r="G96" i="10"/>
  <c r="F96" i="10"/>
  <c r="G86" i="10"/>
  <c r="F86" i="10"/>
  <c r="G85" i="10"/>
  <c r="H85" i="10" s="1"/>
  <c r="I85" i="10" s="1"/>
  <c r="J85" i="10" s="1"/>
  <c r="K85" i="10" s="1"/>
  <c r="L85" i="10" s="1"/>
  <c r="F85" i="10"/>
  <c r="G83" i="10"/>
  <c r="H83" i="10" s="1"/>
  <c r="I83" i="10" s="1"/>
  <c r="J83" i="10" s="1"/>
  <c r="K83" i="10" s="1"/>
  <c r="L83" i="10" s="1"/>
  <c r="F83" i="10"/>
  <c r="L82" i="10"/>
  <c r="K82" i="10"/>
  <c r="J82" i="10"/>
  <c r="I82" i="10"/>
  <c r="H82" i="10"/>
  <c r="G81" i="10"/>
  <c r="F81" i="10"/>
  <c r="G80" i="10"/>
  <c r="F80" i="10"/>
  <c r="G79" i="10"/>
  <c r="F79" i="10"/>
  <c r="G78" i="10"/>
  <c r="F78" i="10"/>
  <c r="G76" i="10"/>
  <c r="G107" i="10" s="1"/>
  <c r="F76" i="10"/>
  <c r="G75" i="10"/>
  <c r="G106" i="10" s="1"/>
  <c r="F75" i="10"/>
  <c r="F106" i="10" s="1"/>
  <c r="G74" i="10"/>
  <c r="F74" i="10"/>
  <c r="F77" i="10" s="1"/>
  <c r="G69" i="10"/>
  <c r="F69" i="10"/>
  <c r="G67" i="10"/>
  <c r="D157" i="10" s="1"/>
  <c r="G157" i="10" s="1"/>
  <c r="H157" i="10" s="1"/>
  <c r="F67" i="10"/>
  <c r="G63" i="10"/>
  <c r="G102" i="10" s="1"/>
  <c r="F63" i="10"/>
  <c r="G62" i="10"/>
  <c r="F62" i="10"/>
  <c r="G61" i="10"/>
  <c r="F61" i="10"/>
  <c r="F100" i="10" s="1"/>
  <c r="G60" i="10"/>
  <c r="G138" i="10" s="1"/>
  <c r="F60" i="10"/>
  <c r="F64" i="10" s="1"/>
  <c r="G56" i="10"/>
  <c r="F56" i="10"/>
  <c r="G36" i="10"/>
  <c r="G32" i="10"/>
  <c r="F32" i="10"/>
  <c r="G30" i="10"/>
  <c r="F30" i="10"/>
  <c r="L29" i="10"/>
  <c r="K29" i="10"/>
  <c r="J29" i="10"/>
  <c r="I29" i="10"/>
  <c r="H29" i="10"/>
  <c r="G29" i="10"/>
  <c r="F29" i="10"/>
  <c r="C28" i="10"/>
  <c r="C27" i="10"/>
  <c r="C26" i="10"/>
  <c r="G21" i="10"/>
  <c r="F21" i="10"/>
  <c r="G20" i="10"/>
  <c r="F157" i="10" s="1"/>
  <c r="F20" i="10"/>
  <c r="G17" i="10"/>
  <c r="F17" i="10"/>
  <c r="G14" i="10"/>
  <c r="F14" i="10"/>
  <c r="G13" i="10"/>
  <c r="G132" i="10" s="1"/>
  <c r="H11" i="10"/>
  <c r="H56" i="10" s="1"/>
  <c r="F11" i="10"/>
  <c r="F157" i="9"/>
  <c r="D157" i="9"/>
  <c r="G157" i="9" s="1"/>
  <c r="H157" i="9" s="1"/>
  <c r="C157" i="9"/>
  <c r="I155" i="9"/>
  <c r="C159" i="9" s="1"/>
  <c r="H155" i="9"/>
  <c r="C158" i="9" s="1"/>
  <c r="L108" i="9"/>
  <c r="K108" i="9"/>
  <c r="K109" i="9" s="1"/>
  <c r="J108" i="9"/>
  <c r="J109" i="9" s="1"/>
  <c r="I108" i="9"/>
  <c r="H108" i="9"/>
  <c r="H109" i="9" s="1"/>
  <c r="G108" i="9"/>
  <c r="F108" i="9"/>
  <c r="C107" i="9"/>
  <c r="C106" i="9"/>
  <c r="C105" i="9"/>
  <c r="L103" i="9"/>
  <c r="L109" i="9" s="1"/>
  <c r="K103" i="9"/>
  <c r="J103" i="9"/>
  <c r="I103" i="9"/>
  <c r="H103" i="9"/>
  <c r="G103" i="9"/>
  <c r="G109" i="9" s="1"/>
  <c r="F103" i="9"/>
  <c r="F109" i="9" s="1"/>
  <c r="C102" i="9"/>
  <c r="C101" i="9"/>
  <c r="C100" i="9"/>
  <c r="H96" i="9"/>
  <c r="G96" i="9"/>
  <c r="G86" i="9"/>
  <c r="F86" i="9"/>
  <c r="G85" i="9"/>
  <c r="F85" i="9"/>
  <c r="G83" i="9"/>
  <c r="H83" i="9" s="1"/>
  <c r="H84" i="9" s="1"/>
  <c r="F83" i="9"/>
  <c r="L82" i="9"/>
  <c r="K82" i="9"/>
  <c r="J82" i="9"/>
  <c r="I82" i="9"/>
  <c r="H82" i="9"/>
  <c r="G81" i="9"/>
  <c r="F81" i="9"/>
  <c r="G80" i="9"/>
  <c r="F80" i="9"/>
  <c r="G79" i="9"/>
  <c r="F79" i="9"/>
  <c r="G78" i="9"/>
  <c r="F78" i="9"/>
  <c r="L77" i="9"/>
  <c r="K77" i="9"/>
  <c r="J77" i="9"/>
  <c r="I77" i="9"/>
  <c r="H77" i="9"/>
  <c r="G76" i="9"/>
  <c r="F76" i="9"/>
  <c r="G75" i="9"/>
  <c r="F75" i="9"/>
  <c r="G74" i="9"/>
  <c r="F74" i="9"/>
  <c r="G69" i="9"/>
  <c r="F69" i="9"/>
  <c r="G67" i="9"/>
  <c r="F67" i="9"/>
  <c r="L64" i="9"/>
  <c r="K64" i="9"/>
  <c r="J64" i="9"/>
  <c r="I64" i="9"/>
  <c r="H64" i="9"/>
  <c r="G63" i="9"/>
  <c r="F63" i="9"/>
  <c r="F64" i="9" s="1"/>
  <c r="G62" i="9"/>
  <c r="F62" i="9"/>
  <c r="G61" i="9"/>
  <c r="F61" i="9"/>
  <c r="G60" i="9"/>
  <c r="F60" i="9"/>
  <c r="F138" i="9" s="1"/>
  <c r="H56" i="9"/>
  <c r="G56" i="9"/>
  <c r="F56" i="9" s="1"/>
  <c r="G36" i="9"/>
  <c r="G32" i="9"/>
  <c r="F32" i="9"/>
  <c r="G30" i="9"/>
  <c r="F30" i="9"/>
  <c r="L29" i="9"/>
  <c r="K29" i="9"/>
  <c r="J29" i="9"/>
  <c r="I29" i="9"/>
  <c r="H29" i="9"/>
  <c r="G29" i="9"/>
  <c r="F29" i="9"/>
  <c r="C28" i="9"/>
  <c r="C27" i="9"/>
  <c r="C26" i="9"/>
  <c r="G21" i="9"/>
  <c r="H21" i="9" s="1"/>
  <c r="F21" i="9"/>
  <c r="G20" i="9"/>
  <c r="F20" i="9"/>
  <c r="G17" i="9"/>
  <c r="F17" i="9"/>
  <c r="G14" i="9"/>
  <c r="F14" i="9"/>
  <c r="G13" i="9"/>
  <c r="I11" i="9"/>
  <c r="H11" i="9"/>
  <c r="F11" i="9"/>
  <c r="F96" i="9" s="1"/>
  <c r="C120" i="8"/>
  <c r="C119" i="8"/>
  <c r="H117" i="8"/>
  <c r="G86" i="8"/>
  <c r="F86" i="8"/>
  <c r="G85" i="8"/>
  <c r="H85" i="8" s="1"/>
  <c r="I85" i="8" s="1"/>
  <c r="J85" i="8" s="1"/>
  <c r="K85" i="8" s="1"/>
  <c r="L85" i="8" s="1"/>
  <c r="F85" i="8"/>
  <c r="G83" i="8"/>
  <c r="H83" i="8" s="1"/>
  <c r="H84" i="8" s="1"/>
  <c r="F83" i="8"/>
  <c r="L82" i="8"/>
  <c r="K82" i="8"/>
  <c r="J82" i="8"/>
  <c r="I82" i="8"/>
  <c r="H82" i="8"/>
  <c r="G81" i="8"/>
  <c r="F81" i="8"/>
  <c r="G80" i="8"/>
  <c r="F80" i="8"/>
  <c r="G79" i="8"/>
  <c r="F79" i="8"/>
  <c r="F82" i="8" s="1"/>
  <c r="G78" i="8"/>
  <c r="G82" i="8" s="1"/>
  <c r="F78" i="8"/>
  <c r="L77" i="8"/>
  <c r="K77" i="8"/>
  <c r="J77" i="8"/>
  <c r="I77" i="8"/>
  <c r="H77" i="8"/>
  <c r="G76" i="8"/>
  <c r="F76" i="8"/>
  <c r="G75" i="8"/>
  <c r="F75" i="8"/>
  <c r="G74" i="8"/>
  <c r="F74" i="8"/>
  <c r="G69" i="8"/>
  <c r="F69" i="8"/>
  <c r="G67" i="8"/>
  <c r="D119" i="8" s="1"/>
  <c r="G119" i="8" s="1"/>
  <c r="H119" i="8" s="1"/>
  <c r="F67" i="8"/>
  <c r="L64" i="8"/>
  <c r="K64" i="8"/>
  <c r="J64" i="8"/>
  <c r="I64" i="8"/>
  <c r="H64" i="8"/>
  <c r="G63" i="8"/>
  <c r="F63" i="8"/>
  <c r="G62" i="8"/>
  <c r="F62" i="8"/>
  <c r="G61" i="8"/>
  <c r="F61" i="8"/>
  <c r="G60" i="8"/>
  <c r="F60" i="8"/>
  <c r="G56" i="8"/>
  <c r="F56" i="8"/>
  <c r="G36" i="8"/>
  <c r="G32" i="8"/>
  <c r="F32" i="8"/>
  <c r="G30" i="8"/>
  <c r="F30" i="8"/>
  <c r="L29" i="8"/>
  <c r="K29" i="8"/>
  <c r="J29" i="8"/>
  <c r="I29" i="8"/>
  <c r="H29" i="8"/>
  <c r="G29" i="8"/>
  <c r="F29" i="8"/>
  <c r="C28" i="8"/>
  <c r="C27" i="8"/>
  <c r="C26" i="8"/>
  <c r="G21" i="8"/>
  <c r="F21" i="8"/>
  <c r="G20" i="8"/>
  <c r="F119" i="8" s="1"/>
  <c r="F20" i="8"/>
  <c r="G17" i="8"/>
  <c r="F17" i="8"/>
  <c r="G14" i="8"/>
  <c r="F14" i="8"/>
  <c r="G13" i="8"/>
  <c r="I11" i="8"/>
  <c r="H11" i="8"/>
  <c r="H56" i="8" s="1"/>
  <c r="F11" i="8"/>
  <c r="F119" i="7"/>
  <c r="C119" i="7"/>
  <c r="H87" i="7"/>
  <c r="G86" i="7"/>
  <c r="F86" i="7"/>
  <c r="G85" i="7"/>
  <c r="F85" i="7"/>
  <c r="K84" i="7"/>
  <c r="K87" i="7" s="1"/>
  <c r="G83" i="7"/>
  <c r="F83" i="7"/>
  <c r="L82" i="7"/>
  <c r="K82" i="7"/>
  <c r="J82" i="7"/>
  <c r="J84" i="7" s="1"/>
  <c r="J87" i="7" s="1"/>
  <c r="I82" i="7"/>
  <c r="H82" i="7"/>
  <c r="H84" i="7" s="1"/>
  <c r="G81" i="7"/>
  <c r="F81" i="7"/>
  <c r="G80" i="7"/>
  <c r="F80" i="7"/>
  <c r="G79" i="7"/>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F61" i="7"/>
  <c r="G60" i="7"/>
  <c r="G100" i="7" s="1"/>
  <c r="F60" i="7"/>
  <c r="F100" i="7" s="1"/>
  <c r="G56" i="7"/>
  <c r="F56" i="7" s="1"/>
  <c r="G32" i="7"/>
  <c r="F32" i="7"/>
  <c r="G30" i="7"/>
  <c r="F30" i="7"/>
  <c r="L29" i="7"/>
  <c r="K29" i="7"/>
  <c r="J29" i="7"/>
  <c r="I29" i="7"/>
  <c r="H29" i="7"/>
  <c r="G29" i="7"/>
  <c r="F29" i="7"/>
  <c r="C28" i="7"/>
  <c r="C27" i="7"/>
  <c r="C26" i="7"/>
  <c r="G21" i="7"/>
  <c r="H21" i="7" s="1"/>
  <c r="I21" i="7" s="1"/>
  <c r="J21" i="7" s="1"/>
  <c r="K21" i="7" s="1"/>
  <c r="L21" i="7" s="1"/>
  <c r="F21" i="7"/>
  <c r="G20" i="7"/>
  <c r="F20" i="7"/>
  <c r="G17" i="7"/>
  <c r="F17" i="7"/>
  <c r="G14" i="7"/>
  <c r="F14" i="7"/>
  <c r="H11" i="7"/>
  <c r="F11" i="7"/>
  <c r="C119" i="6"/>
  <c r="H117" i="6"/>
  <c r="C120" i="6" s="1"/>
  <c r="G100" i="6"/>
  <c r="F100" i="6"/>
  <c r="G86" i="6"/>
  <c r="F86" i="6"/>
  <c r="G85" i="6"/>
  <c r="F85" i="6"/>
  <c r="F105" i="6" s="1"/>
  <c r="G83" i="6"/>
  <c r="F83" i="6"/>
  <c r="G81" i="6"/>
  <c r="F81" i="6"/>
  <c r="G80" i="6"/>
  <c r="F80" i="6"/>
  <c r="G79" i="6"/>
  <c r="F79" i="6"/>
  <c r="G78" i="6"/>
  <c r="F78" i="6"/>
  <c r="F82" i="6" s="1"/>
  <c r="G76" i="6"/>
  <c r="G77" i="6" s="1"/>
  <c r="F76" i="6"/>
  <c r="G75" i="6"/>
  <c r="F75" i="6"/>
  <c r="G74" i="6"/>
  <c r="F74" i="6"/>
  <c r="G69" i="6"/>
  <c r="F69" i="6"/>
  <c r="G67" i="6"/>
  <c r="D119" i="6" s="1"/>
  <c r="G119" i="6" s="1"/>
  <c r="H119" i="6" s="1"/>
  <c r="H126" i="6" s="1"/>
  <c r="H20" i="6" s="1"/>
  <c r="F67" i="6"/>
  <c r="G63" i="6"/>
  <c r="F63" i="6"/>
  <c r="F64" i="6" s="1"/>
  <c r="F70" i="6" s="1"/>
  <c r="G62" i="6"/>
  <c r="F62" i="6"/>
  <c r="G61" i="6"/>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H85" i="9" l="1"/>
  <c r="I85" i="9" s="1"/>
  <c r="J85" i="9" s="1"/>
  <c r="K85" i="9" s="1"/>
  <c r="L85" i="9" s="1"/>
  <c r="G143" i="9"/>
  <c r="G43" i="11"/>
  <c r="F82" i="14"/>
  <c r="H230" i="14"/>
  <c r="H81" i="14" s="1"/>
  <c r="G94" i="5"/>
  <c r="F153" i="12"/>
  <c r="F138" i="12"/>
  <c r="G135" i="14"/>
  <c r="G153" i="14" s="1"/>
  <c r="G77" i="14"/>
  <c r="H228" i="14"/>
  <c r="F141" i="10"/>
  <c r="F150" i="14"/>
  <c r="F155" i="14"/>
  <c r="H155" i="14" s="1"/>
  <c r="F154" i="14"/>
  <c r="H154" i="14" s="1"/>
  <c r="I154" i="14" s="1"/>
  <c r="G82" i="7"/>
  <c r="F168" i="12"/>
  <c r="F64" i="12"/>
  <c r="F169" i="12" s="1"/>
  <c r="G155" i="13"/>
  <c r="H21" i="14"/>
  <c r="H102" i="14" s="1"/>
  <c r="H151" i="14"/>
  <c r="G105" i="6"/>
  <c r="G82" i="9"/>
  <c r="G151" i="13"/>
  <c r="G82" i="13"/>
  <c r="F82" i="15"/>
  <c r="G77" i="9"/>
  <c r="G84" i="9" s="1"/>
  <c r="G87" i="9" s="1"/>
  <c r="F82" i="9"/>
  <c r="F138" i="10"/>
  <c r="G64" i="6"/>
  <c r="G44" i="8"/>
  <c r="G44" i="9"/>
  <c r="F105" i="10"/>
  <c r="F108" i="10" s="1"/>
  <c r="G143" i="10"/>
  <c r="F173" i="13"/>
  <c r="G64" i="7"/>
  <c r="G70" i="7" s="1"/>
  <c r="F70" i="10"/>
  <c r="F140" i="10" s="1"/>
  <c r="F77" i="14"/>
  <c r="F171" i="14" s="1"/>
  <c r="G69" i="4"/>
  <c r="G82" i="6"/>
  <c r="G154" i="14"/>
  <c r="G43" i="8"/>
  <c r="G43" i="9"/>
  <c r="F103" i="10"/>
  <c r="F109" i="10" s="1"/>
  <c r="G44" i="11"/>
  <c r="G82" i="5"/>
  <c r="G84" i="5" s="1"/>
  <c r="G87" i="5" s="1"/>
  <c r="G64" i="9"/>
  <c r="G139" i="9" s="1"/>
  <c r="G77" i="13"/>
  <c r="G84" i="13" s="1"/>
  <c r="G87" i="13" s="1"/>
  <c r="G89" i="13" s="1"/>
  <c r="F150" i="11"/>
  <c r="G154" i="13"/>
  <c r="F173" i="14"/>
  <c r="G133" i="15"/>
  <c r="G77" i="5"/>
  <c r="F77" i="6"/>
  <c r="F64" i="13"/>
  <c r="F70" i="13" s="1"/>
  <c r="F51" i="4"/>
  <c r="F57" i="4" s="1"/>
  <c r="F89" i="4" s="1"/>
  <c r="F64" i="4"/>
  <c r="F90" i="4" s="1"/>
  <c r="H21" i="10"/>
  <c r="F70" i="12"/>
  <c r="F170" i="12" s="1"/>
  <c r="G150" i="13"/>
  <c r="H150" i="13" s="1"/>
  <c r="I150" i="13" s="1"/>
  <c r="J150" i="13" s="1"/>
  <c r="K150" i="13" s="1"/>
  <c r="L150" i="13" s="1"/>
  <c r="G82" i="14"/>
  <c r="F150" i="15"/>
  <c r="H238" i="15"/>
  <c r="F102" i="6"/>
  <c r="G163" i="12"/>
  <c r="I119" i="7"/>
  <c r="I126" i="7" s="1"/>
  <c r="I20" i="7" s="1"/>
  <c r="H126" i="7"/>
  <c r="H20" i="7" s="1"/>
  <c r="J119" i="7"/>
  <c r="J126" i="7" s="1"/>
  <c r="J20" i="7" s="1"/>
  <c r="G102" i="7"/>
  <c r="F44" i="8"/>
  <c r="H44" i="8" s="1"/>
  <c r="G150" i="11"/>
  <c r="H150" i="11" s="1"/>
  <c r="I150" i="11" s="1"/>
  <c r="J150" i="11" s="1"/>
  <c r="K150" i="11" s="1"/>
  <c r="L150" i="11" s="1"/>
  <c r="G133" i="11"/>
  <c r="I187" i="12"/>
  <c r="F22" i="3"/>
  <c r="F31" i="3" s="1"/>
  <c r="F33" i="3" s="1"/>
  <c r="F34" i="3" s="1"/>
  <c r="F19" i="3"/>
  <c r="I56" i="5"/>
  <c r="J11" i="5"/>
  <c r="I56" i="8"/>
  <c r="J11" i="8"/>
  <c r="I117" i="8"/>
  <c r="C121" i="8" s="1"/>
  <c r="G117" i="10"/>
  <c r="G44" i="10"/>
  <c r="H69" i="11"/>
  <c r="I155" i="14"/>
  <c r="I187" i="15"/>
  <c r="J187" i="15" s="1"/>
  <c r="H239" i="15"/>
  <c r="H241" i="15" s="1"/>
  <c r="F64" i="8"/>
  <c r="F100" i="8"/>
  <c r="G77" i="8"/>
  <c r="I83" i="9"/>
  <c r="I157" i="9"/>
  <c r="G64" i="10"/>
  <c r="F82" i="11"/>
  <c r="I187" i="11"/>
  <c r="J187" i="11"/>
  <c r="I48" i="15"/>
  <c r="J11" i="3"/>
  <c r="I43" i="3"/>
  <c r="I11" i="4"/>
  <c r="H43" i="4"/>
  <c r="J19" i="5"/>
  <c r="J22" i="5"/>
  <c r="J31" i="5" s="1"/>
  <c r="J33" i="5" s="1"/>
  <c r="J34" i="5" s="1"/>
  <c r="I117" i="6"/>
  <c r="C121" i="6" s="1"/>
  <c r="I56" i="6"/>
  <c r="J11" i="6"/>
  <c r="F70" i="9"/>
  <c r="F139" i="9"/>
  <c r="F44" i="11"/>
  <c r="H44" i="11" s="1"/>
  <c r="G48" i="13"/>
  <c r="H48" i="13" s="1"/>
  <c r="G15" i="13"/>
  <c r="G163" i="13" s="1"/>
  <c r="G145" i="13"/>
  <c r="G149" i="13" s="1"/>
  <c r="D187" i="13"/>
  <c r="G187" i="13" s="1"/>
  <c r="H187" i="13" s="1"/>
  <c r="H221" i="14"/>
  <c r="H222" i="14" s="1"/>
  <c r="G236" i="14"/>
  <c r="F13" i="15"/>
  <c r="G41" i="15" s="1"/>
  <c r="H41" i="15" s="1"/>
  <c r="F13" i="14"/>
  <c r="F162" i="14" s="1"/>
  <c r="F132" i="10"/>
  <c r="F13" i="13"/>
  <c r="F44" i="13" s="1"/>
  <c r="F13" i="11"/>
  <c r="F13" i="6"/>
  <c r="F15" i="6" s="1"/>
  <c r="F13" i="5"/>
  <c r="F15" i="5" s="1"/>
  <c r="F13" i="10"/>
  <c r="F13" i="4"/>
  <c r="F15" i="4" s="1"/>
  <c r="D19" i="2"/>
  <c r="F13" i="7"/>
  <c r="F15" i="7" s="1"/>
  <c r="F94" i="7"/>
  <c r="F94" i="8"/>
  <c r="H69" i="9"/>
  <c r="G150" i="12"/>
  <c r="G146" i="15"/>
  <c r="G150" i="15" s="1"/>
  <c r="H150" i="15" s="1"/>
  <c r="I150" i="15" s="1"/>
  <c r="J150" i="15" s="1"/>
  <c r="K150" i="15" s="1"/>
  <c r="L150" i="15" s="1"/>
  <c r="G43" i="15"/>
  <c r="G133" i="10"/>
  <c r="G95" i="5"/>
  <c r="E34" i="2"/>
  <c r="E21" i="2"/>
  <c r="G43" i="7"/>
  <c r="H21" i="8"/>
  <c r="H69" i="8"/>
  <c r="I157" i="10"/>
  <c r="J157" i="10" s="1"/>
  <c r="J126" i="11"/>
  <c r="J96" i="11"/>
  <c r="K11" i="11"/>
  <c r="J185" i="11"/>
  <c r="C190" i="11" s="1"/>
  <c r="J56" i="11"/>
  <c r="G43" i="13"/>
  <c r="F84" i="7"/>
  <c r="F87" i="7" s="1"/>
  <c r="F135" i="13"/>
  <c r="F77" i="13"/>
  <c r="F84" i="13" s="1"/>
  <c r="F87" i="13" s="1"/>
  <c r="F89" i="13" s="1"/>
  <c r="F81" i="4"/>
  <c r="F64" i="5"/>
  <c r="F100" i="5"/>
  <c r="F84" i="5"/>
  <c r="F87" i="5" s="1"/>
  <c r="F103" i="7"/>
  <c r="F13" i="8"/>
  <c r="F15" i="8" s="1"/>
  <c r="G100" i="8"/>
  <c r="G64" i="8"/>
  <c r="F84" i="10"/>
  <c r="F87" i="10" s="1"/>
  <c r="F13" i="12"/>
  <c r="G64" i="12"/>
  <c r="G70" i="12" s="1"/>
  <c r="G170" i="12" s="1"/>
  <c r="C236" i="13"/>
  <c r="C246" i="13"/>
  <c r="H206" i="14"/>
  <c r="H209" i="14" s="1"/>
  <c r="G212" i="14"/>
  <c r="G41" i="8"/>
  <c r="H41" i="8" s="1"/>
  <c r="G15" i="8"/>
  <c r="G94" i="8"/>
  <c r="G48" i="8"/>
  <c r="H48" i="8" s="1"/>
  <c r="I83" i="8"/>
  <c r="J83" i="8" s="1"/>
  <c r="I119" i="8"/>
  <c r="J11" i="9"/>
  <c r="I56" i="9"/>
  <c r="I96" i="9"/>
  <c r="G121" i="10"/>
  <c r="H121" i="10" s="1"/>
  <c r="G64" i="11"/>
  <c r="F153" i="11"/>
  <c r="F147" i="11"/>
  <c r="G15" i="12"/>
  <c r="G145" i="12"/>
  <c r="G149" i="12" s="1"/>
  <c r="G70" i="15"/>
  <c r="G169" i="15"/>
  <c r="C260" i="15"/>
  <c r="C270" i="15"/>
  <c r="C212" i="15"/>
  <c r="C222" i="15" s="1"/>
  <c r="D79" i="2"/>
  <c r="G71" i="4"/>
  <c r="G74" i="4" s="1"/>
  <c r="F84" i="6"/>
  <c r="F87" i="6" s="1"/>
  <c r="F108" i="6" s="1"/>
  <c r="G119" i="10"/>
  <c r="G103" i="10"/>
  <c r="F123" i="10"/>
  <c r="G15" i="11"/>
  <c r="G163" i="11" s="1"/>
  <c r="H21" i="11"/>
  <c r="G153" i="11"/>
  <c r="G147" i="11"/>
  <c r="G151" i="11" s="1"/>
  <c r="G138" i="12"/>
  <c r="G18" i="5"/>
  <c r="F13" i="9"/>
  <c r="F43" i="9" s="1"/>
  <c r="H43" i="9" s="1"/>
  <c r="G138" i="9"/>
  <c r="G105" i="10"/>
  <c r="G77" i="10"/>
  <c r="F64" i="11"/>
  <c r="F136" i="11"/>
  <c r="F154" i="11" s="1"/>
  <c r="F77" i="11"/>
  <c r="F84" i="11" s="1"/>
  <c r="F87" i="11" s="1"/>
  <c r="I185" i="13"/>
  <c r="C189" i="13" s="1"/>
  <c r="I126" i="13"/>
  <c r="I56" i="13"/>
  <c r="J11" i="13"/>
  <c r="I96" i="13"/>
  <c r="I201" i="13"/>
  <c r="G133" i="13"/>
  <c r="F171" i="12"/>
  <c r="F103" i="6"/>
  <c r="F103" i="5"/>
  <c r="D69" i="2"/>
  <c r="H56" i="7"/>
  <c r="H117" i="7"/>
  <c r="C120" i="7" s="1"/>
  <c r="I11" i="7"/>
  <c r="G132" i="9"/>
  <c r="G15" i="9"/>
  <c r="G133" i="9" s="1"/>
  <c r="G48" i="9"/>
  <c r="H48" i="9" s="1"/>
  <c r="G141" i="9"/>
  <c r="G43" i="10"/>
  <c r="G116" i="10"/>
  <c r="G120" i="10" s="1"/>
  <c r="H120" i="10" s="1"/>
  <c r="I120" i="10" s="1"/>
  <c r="J120" i="10" s="1"/>
  <c r="K120" i="10" s="1"/>
  <c r="L120" i="10" s="1"/>
  <c r="G136" i="11"/>
  <c r="G77" i="11"/>
  <c r="H102" i="15"/>
  <c r="H69" i="15"/>
  <c r="G77" i="7"/>
  <c r="I109" i="9"/>
  <c r="F124" i="10"/>
  <c r="F82" i="10"/>
  <c r="F126" i="11"/>
  <c r="F96" i="11"/>
  <c r="G162" i="11"/>
  <c r="F147" i="12"/>
  <c r="F151" i="12" s="1"/>
  <c r="F44" i="12"/>
  <c r="H44" i="12" s="1"/>
  <c r="G82" i="12"/>
  <c r="F168" i="14"/>
  <c r="F64" i="14"/>
  <c r="I151" i="14"/>
  <c r="G145" i="15"/>
  <c r="H244" i="15"/>
  <c r="G259" i="15"/>
  <c r="C269" i="15"/>
  <c r="C211" i="15"/>
  <c r="C221" i="15" s="1"/>
  <c r="C259" i="15"/>
  <c r="K22" i="5"/>
  <c r="K31" i="5" s="1"/>
  <c r="K33" i="5" s="1"/>
  <c r="K34" i="5" s="1"/>
  <c r="G44" i="6"/>
  <c r="G170" i="13"/>
  <c r="G22" i="3"/>
  <c r="G31" i="3" s="1"/>
  <c r="G33" i="3" s="1"/>
  <c r="G34" i="3" s="1"/>
  <c r="G51" i="4"/>
  <c r="H117" i="5"/>
  <c r="C120" i="5" s="1"/>
  <c r="H56" i="5"/>
  <c r="L19" i="5"/>
  <c r="L22" i="5"/>
  <c r="L31" i="5" s="1"/>
  <c r="L33" i="5" s="1"/>
  <c r="L34" i="5" s="1"/>
  <c r="F43" i="8"/>
  <c r="H43" i="8" s="1"/>
  <c r="I11" i="10"/>
  <c r="G82" i="10"/>
  <c r="G48" i="11"/>
  <c r="H48" i="11" s="1"/>
  <c r="G155" i="11"/>
  <c r="G82" i="11"/>
  <c r="G146" i="12"/>
  <c r="G153" i="12" s="1"/>
  <c r="G43" i="12"/>
  <c r="G44" i="12"/>
  <c r="G147" i="12"/>
  <c r="G154" i="12" s="1"/>
  <c r="I21" i="13"/>
  <c r="I69" i="13" s="1"/>
  <c r="F130" i="13"/>
  <c r="F170" i="13"/>
  <c r="G168" i="14"/>
  <c r="G64" i="14"/>
  <c r="H215" i="14"/>
  <c r="H216" i="14" s="1"/>
  <c r="G235" i="14"/>
  <c r="F133" i="14"/>
  <c r="I227" i="14"/>
  <c r="G168" i="15"/>
  <c r="G171" i="14"/>
  <c r="G171" i="11"/>
  <c r="G90" i="4"/>
  <c r="G103" i="6"/>
  <c r="E69" i="2"/>
  <c r="G84" i="6"/>
  <c r="G87" i="6" s="1"/>
  <c r="H70" i="7"/>
  <c r="G141" i="10"/>
  <c r="F168" i="11"/>
  <c r="G48" i="12"/>
  <c r="H48" i="12" s="1"/>
  <c r="G153" i="13"/>
  <c r="G138" i="13"/>
  <c r="H251" i="15"/>
  <c r="G260" i="15"/>
  <c r="H229" i="15"/>
  <c r="H232" i="15" s="1"/>
  <c r="G235" i="15"/>
  <c r="H250" i="15"/>
  <c r="I119" i="6"/>
  <c r="I84" i="7"/>
  <c r="I87" i="7" s="1"/>
  <c r="G15" i="10"/>
  <c r="G41" i="10"/>
  <c r="H41" i="10" s="1"/>
  <c r="G48" i="10"/>
  <c r="H48" i="10" s="1"/>
  <c r="H201" i="14"/>
  <c r="H96" i="14"/>
  <c r="H56" i="14"/>
  <c r="H126" i="14"/>
  <c r="C237" i="14"/>
  <c r="C247" i="14"/>
  <c r="J119" i="6"/>
  <c r="J126" i="6" s="1"/>
  <c r="J20" i="6" s="1"/>
  <c r="H126" i="12"/>
  <c r="H185" i="12"/>
  <c r="C188" i="12" s="1"/>
  <c r="H56" i="12"/>
  <c r="H21" i="12"/>
  <c r="F201" i="13"/>
  <c r="F126" i="13"/>
  <c r="F96" i="13"/>
  <c r="I11" i="14"/>
  <c r="G149" i="15"/>
  <c r="G173" i="12"/>
  <c r="G173" i="14"/>
  <c r="G105" i="8"/>
  <c r="G173" i="15"/>
  <c r="G105" i="7"/>
  <c r="G173" i="13"/>
  <c r="G173" i="11"/>
  <c r="G15" i="4"/>
  <c r="G82" i="4" s="1"/>
  <c r="G103" i="5"/>
  <c r="F64" i="7"/>
  <c r="F70" i="7" s="1"/>
  <c r="F77" i="8"/>
  <c r="F77" i="9"/>
  <c r="I11" i="12"/>
  <c r="H96" i="13"/>
  <c r="H126" i="13"/>
  <c r="H185" i="13"/>
  <c r="C188" i="13" s="1"/>
  <c r="G150" i="14"/>
  <c r="H150" i="14" s="1"/>
  <c r="I150" i="14" s="1"/>
  <c r="J150" i="14" s="1"/>
  <c r="K150" i="14" s="1"/>
  <c r="L150" i="14" s="1"/>
  <c r="G15" i="15"/>
  <c r="G163" i="15" s="1"/>
  <c r="G162" i="15"/>
  <c r="G162" i="12"/>
  <c r="G13" i="7"/>
  <c r="G13" i="6"/>
  <c r="G64" i="5"/>
  <c r="F101" i="6"/>
  <c r="F139" i="10"/>
  <c r="F82" i="12"/>
  <c r="F84" i="12" s="1"/>
  <c r="F87" i="12" s="1"/>
  <c r="G162" i="13"/>
  <c r="I228" i="14"/>
  <c r="F130" i="15"/>
  <c r="F64" i="15"/>
  <c r="F70" i="15" s="1"/>
  <c r="F173" i="15"/>
  <c r="F143" i="9"/>
  <c r="F105" i="7"/>
  <c r="F147" i="13"/>
  <c r="F151" i="13" s="1"/>
  <c r="H151" i="13" s="1"/>
  <c r="C235" i="13"/>
  <c r="G13" i="14"/>
  <c r="F169" i="13"/>
  <c r="D78" i="2"/>
  <c r="F101" i="7"/>
  <c r="G133" i="12"/>
  <c r="I187" i="14"/>
  <c r="F153" i="14"/>
  <c r="F138" i="14"/>
  <c r="G147" i="15"/>
  <c r="G155" i="15" s="1"/>
  <c r="G44" i="15"/>
  <c r="F77" i="15"/>
  <c r="F84" i="15" s="1"/>
  <c r="F87" i="15" s="1"/>
  <c r="F135" i="15"/>
  <c r="F155" i="15"/>
  <c r="H155" i="15" s="1"/>
  <c r="E78" i="2"/>
  <c r="F105" i="8"/>
  <c r="F143" i="10"/>
  <c r="F150" i="12"/>
  <c r="H150" i="12" s="1"/>
  <c r="I150" i="12" s="1"/>
  <c r="J150" i="12" s="1"/>
  <c r="K150" i="12" s="1"/>
  <c r="L150" i="12" s="1"/>
  <c r="G77" i="12"/>
  <c r="G84" i="12" s="1"/>
  <c r="G87" i="12" s="1"/>
  <c r="G89" i="12" s="1"/>
  <c r="G77" i="15"/>
  <c r="G135" i="15"/>
  <c r="H126" i="15"/>
  <c r="I11" i="15"/>
  <c r="G82" i="15"/>
  <c r="H185" i="15"/>
  <c r="C188" i="15" s="1"/>
  <c r="F133" i="12"/>
  <c r="F147" i="15"/>
  <c r="F154" i="15" s="1"/>
  <c r="G44" i="13"/>
  <c r="F43" i="13"/>
  <c r="G64" i="13"/>
  <c r="G70" i="13" s="1"/>
  <c r="K187" i="15" l="1"/>
  <c r="L187" i="15"/>
  <c r="F71" i="4"/>
  <c r="F74" i="4" s="1"/>
  <c r="H43" i="13"/>
  <c r="I43" i="13" s="1"/>
  <c r="F89" i="12"/>
  <c r="F171" i="13"/>
  <c r="F89" i="10"/>
  <c r="F95" i="4"/>
  <c r="G154" i="15"/>
  <c r="H154" i="15" s="1"/>
  <c r="I154" i="15" s="1"/>
  <c r="G169" i="13"/>
  <c r="F155" i="13"/>
  <c r="H155" i="13" s="1"/>
  <c r="H69" i="10"/>
  <c r="I21" i="10" s="1"/>
  <c r="G70" i="9"/>
  <c r="G89" i="9" s="1"/>
  <c r="G84" i="7"/>
  <c r="G87" i="7" s="1"/>
  <c r="G108" i="7" s="1"/>
  <c r="F176" i="12"/>
  <c r="F84" i="14"/>
  <c r="F87" i="14" s="1"/>
  <c r="F44" i="14"/>
  <c r="F89" i="15"/>
  <c r="H69" i="14"/>
  <c r="G171" i="13"/>
  <c r="G101" i="7"/>
  <c r="F43" i="7"/>
  <c r="H43" i="7" s="1"/>
  <c r="I43" i="7" s="1"/>
  <c r="I84" i="8"/>
  <c r="F44" i="7"/>
  <c r="F84" i="9"/>
  <c r="F87" i="9" s="1"/>
  <c r="F146" i="9" s="1"/>
  <c r="G138" i="14"/>
  <c r="G139" i="14" s="1"/>
  <c r="G141" i="14" s="1"/>
  <c r="H153" i="12"/>
  <c r="I153" i="12" s="1"/>
  <c r="J153" i="12" s="1"/>
  <c r="K153" i="12" s="1"/>
  <c r="L153" i="12" s="1"/>
  <c r="F88" i="4"/>
  <c r="F169" i="15"/>
  <c r="F139" i="12"/>
  <c r="G151" i="15"/>
  <c r="F141" i="9"/>
  <c r="H44" i="13"/>
  <c r="I44" i="13" s="1"/>
  <c r="G101" i="6"/>
  <c r="G70" i="6"/>
  <c r="G102" i="6" s="1"/>
  <c r="G84" i="14"/>
  <c r="G87" i="14" s="1"/>
  <c r="I238" i="15"/>
  <c r="H79" i="15"/>
  <c r="I41" i="15"/>
  <c r="H13" i="15"/>
  <c r="I121" i="10"/>
  <c r="I155" i="15"/>
  <c r="H13" i="10"/>
  <c r="I41" i="10"/>
  <c r="F169" i="11"/>
  <c r="F70" i="11"/>
  <c r="H36" i="10"/>
  <c r="I48" i="10"/>
  <c r="H78" i="15"/>
  <c r="H235" i="15"/>
  <c r="I229" i="15"/>
  <c r="I232" i="15" s="1"/>
  <c r="I230" i="14"/>
  <c r="G18" i="9"/>
  <c r="G16" i="9"/>
  <c r="F171" i="15"/>
  <c r="G145" i="14"/>
  <c r="G149" i="14" s="1"/>
  <c r="G41" i="14"/>
  <c r="H41" i="14" s="1"/>
  <c r="G44" i="14"/>
  <c r="G15" i="14"/>
  <c r="G48" i="14"/>
  <c r="H48" i="14" s="1"/>
  <c r="I126" i="6"/>
  <c r="I20" i="6" s="1"/>
  <c r="H102" i="12"/>
  <c r="F139" i="14"/>
  <c r="J21" i="13"/>
  <c r="J69" i="13" s="1"/>
  <c r="I102" i="13"/>
  <c r="I43" i="8"/>
  <c r="J151" i="14"/>
  <c r="I117" i="7"/>
  <c r="C121" i="7" s="1"/>
  <c r="I56" i="7"/>
  <c r="J11" i="7"/>
  <c r="G139" i="13"/>
  <c r="G16" i="12"/>
  <c r="G18" i="12"/>
  <c r="G18" i="8"/>
  <c r="G16" i="8"/>
  <c r="F145" i="12"/>
  <c r="F149" i="12" s="1"/>
  <c r="H149" i="12" s="1"/>
  <c r="I149" i="12" s="1"/>
  <c r="J149" i="12" s="1"/>
  <c r="K149" i="12" s="1"/>
  <c r="L149" i="12" s="1"/>
  <c r="F43" i="12"/>
  <c r="H43" i="12" s="1"/>
  <c r="F15" i="12"/>
  <c r="F163" i="12" s="1"/>
  <c r="G95" i="8"/>
  <c r="F16" i="5"/>
  <c r="F18" i="5"/>
  <c r="F70" i="8"/>
  <c r="F101" i="8"/>
  <c r="G169" i="14"/>
  <c r="G70" i="14"/>
  <c r="F172" i="15"/>
  <c r="F104" i="6"/>
  <c r="F172" i="12"/>
  <c r="F104" i="5"/>
  <c r="F142" i="10"/>
  <c r="F172" i="13"/>
  <c r="F104" i="7"/>
  <c r="D76" i="2"/>
  <c r="D81" i="2" s="1"/>
  <c r="F172" i="11"/>
  <c r="I69" i="9"/>
  <c r="F138" i="15"/>
  <c r="F153" i="15"/>
  <c r="I48" i="11"/>
  <c r="J11" i="4"/>
  <c r="I43" i="4"/>
  <c r="I69" i="15"/>
  <c r="I155" i="13"/>
  <c r="I69" i="14"/>
  <c r="F162" i="12"/>
  <c r="F15" i="11"/>
  <c r="F145" i="11"/>
  <c r="F149" i="11" s="1"/>
  <c r="H149" i="11" s="1"/>
  <c r="I149" i="11" s="1"/>
  <c r="J149" i="11" s="1"/>
  <c r="K149" i="11" s="1"/>
  <c r="L149" i="11" s="1"/>
  <c r="F43" i="11"/>
  <c r="H43" i="11" s="1"/>
  <c r="K119" i="7"/>
  <c r="K126" i="7" s="1"/>
  <c r="K20" i="7" s="1"/>
  <c r="F44" i="15"/>
  <c r="H44" i="15" s="1"/>
  <c r="I96" i="12"/>
  <c r="I126" i="12"/>
  <c r="J11" i="12"/>
  <c r="I56" i="12"/>
  <c r="I185" i="12"/>
  <c r="C189" i="12" s="1"/>
  <c r="I56" i="10"/>
  <c r="J11" i="10"/>
  <c r="I96" i="10"/>
  <c r="I155" i="10"/>
  <c r="C159" i="10" s="1"/>
  <c r="G84" i="10"/>
  <c r="G87" i="10" s="1"/>
  <c r="F154" i="12"/>
  <c r="H154" i="12" s="1"/>
  <c r="K11" i="9"/>
  <c r="J96" i="9"/>
  <c r="J56" i="9"/>
  <c r="J155" i="9"/>
  <c r="C160" i="9" s="1"/>
  <c r="I206" i="14"/>
  <c r="I209" i="14" s="1"/>
  <c r="H78" i="14"/>
  <c r="H212" i="14"/>
  <c r="F162" i="11"/>
  <c r="H224" i="14"/>
  <c r="K11" i="3"/>
  <c r="J43" i="3"/>
  <c r="G125" i="10"/>
  <c r="H125" i="10" s="1"/>
  <c r="G124" i="10"/>
  <c r="H124" i="10" s="1"/>
  <c r="F149" i="13"/>
  <c r="H149" i="13" s="1"/>
  <c r="I149" i="13" s="1"/>
  <c r="J149" i="13" s="1"/>
  <c r="K149" i="13" s="1"/>
  <c r="L149" i="13" s="1"/>
  <c r="F133" i="13"/>
  <c r="I43" i="9"/>
  <c r="F44" i="6"/>
  <c r="H44" i="6" s="1"/>
  <c r="I21" i="15"/>
  <c r="G108" i="10"/>
  <c r="G123" i="10"/>
  <c r="H123" i="10" s="1"/>
  <c r="I123" i="10" s="1"/>
  <c r="J123" i="10" s="1"/>
  <c r="K123" i="10" s="1"/>
  <c r="L123" i="10" s="1"/>
  <c r="I21" i="14"/>
  <c r="I21" i="8"/>
  <c r="I69" i="8" s="1"/>
  <c r="F15" i="13"/>
  <c r="F163" i="13" s="1"/>
  <c r="F145" i="13"/>
  <c r="G139" i="10"/>
  <c r="G70" i="10"/>
  <c r="H153" i="14"/>
  <c r="I153" i="14" s="1"/>
  <c r="J153" i="14" s="1"/>
  <c r="K153" i="14" s="1"/>
  <c r="L153" i="14" s="1"/>
  <c r="I151" i="13"/>
  <c r="F171" i="11"/>
  <c r="F15" i="9"/>
  <c r="F44" i="9"/>
  <c r="H44" i="9" s="1"/>
  <c r="G41" i="9"/>
  <c r="H41" i="9" s="1"/>
  <c r="G41" i="12"/>
  <c r="H41" i="12" s="1"/>
  <c r="G43" i="14"/>
  <c r="G70" i="8"/>
  <c r="G101" i="8"/>
  <c r="F153" i="13"/>
  <c r="H153" i="13" s="1"/>
  <c r="I153" i="13" s="1"/>
  <c r="J153" i="13" s="1"/>
  <c r="K153" i="13" s="1"/>
  <c r="L153" i="13" s="1"/>
  <c r="F138" i="13"/>
  <c r="K96" i="11"/>
  <c r="K185" i="11"/>
  <c r="C191" i="11" s="1"/>
  <c r="L11" i="11"/>
  <c r="K126" i="11"/>
  <c r="K56" i="11"/>
  <c r="F43" i="6"/>
  <c r="G153" i="15"/>
  <c r="G138" i="15"/>
  <c r="G139" i="15" s="1"/>
  <c r="K187" i="14"/>
  <c r="F108" i="7"/>
  <c r="F102" i="7"/>
  <c r="I21" i="11"/>
  <c r="F151" i="11"/>
  <c r="H151" i="11" s="1"/>
  <c r="F155" i="11"/>
  <c r="H155" i="11" s="1"/>
  <c r="F132" i="9"/>
  <c r="J56" i="6"/>
  <c r="J117" i="6"/>
  <c r="C122" i="6" s="1"/>
  <c r="K11" i="6"/>
  <c r="J157" i="9"/>
  <c r="K157" i="9" s="1"/>
  <c r="I44" i="8"/>
  <c r="G84" i="15"/>
  <c r="G87" i="15" s="1"/>
  <c r="G89" i="15" s="1"/>
  <c r="J187" i="14"/>
  <c r="G44" i="7"/>
  <c r="G15" i="7"/>
  <c r="G94" i="7"/>
  <c r="G41" i="7"/>
  <c r="H41" i="7" s="1"/>
  <c r="G171" i="15"/>
  <c r="K119" i="6"/>
  <c r="K126" i="6" s="1"/>
  <c r="K20" i="6" s="1"/>
  <c r="I48" i="12"/>
  <c r="G170" i="15"/>
  <c r="H245" i="15"/>
  <c r="H247" i="15" s="1"/>
  <c r="F151" i="15"/>
  <c r="G154" i="11"/>
  <c r="H154" i="11" s="1"/>
  <c r="G138" i="11"/>
  <c r="J185" i="13"/>
  <c r="C190" i="13" s="1"/>
  <c r="K11" i="13"/>
  <c r="J96" i="13"/>
  <c r="J56" i="13"/>
  <c r="J201" i="13"/>
  <c r="J126" i="13"/>
  <c r="G16" i="11"/>
  <c r="G18" i="11"/>
  <c r="F138" i="11"/>
  <c r="F139" i="11" s="1"/>
  <c r="J84" i="8"/>
  <c r="K83" i="8"/>
  <c r="F16" i="8"/>
  <c r="F18" i="8"/>
  <c r="E39" i="2"/>
  <c r="E36" i="2"/>
  <c r="F95" i="6"/>
  <c r="F82" i="4"/>
  <c r="F95" i="7"/>
  <c r="F163" i="11"/>
  <c r="D34" i="2"/>
  <c r="F95" i="8"/>
  <c r="F95" i="5"/>
  <c r="F133" i="9"/>
  <c r="D21" i="2"/>
  <c r="F162" i="13"/>
  <c r="F176" i="13"/>
  <c r="J83" i="9"/>
  <c r="I84" i="9"/>
  <c r="J155" i="14"/>
  <c r="K11" i="8"/>
  <c r="J56" i="8"/>
  <c r="J117" i="8"/>
  <c r="C122" i="8" s="1"/>
  <c r="J187" i="12"/>
  <c r="K187" i="12" s="1"/>
  <c r="I21" i="9"/>
  <c r="G169" i="12"/>
  <c r="G18" i="15"/>
  <c r="G16" i="15"/>
  <c r="H218" i="14"/>
  <c r="F155" i="12"/>
  <c r="F140" i="9"/>
  <c r="G103" i="7"/>
  <c r="H153" i="11"/>
  <c r="I153" i="11" s="1"/>
  <c r="J153" i="11" s="1"/>
  <c r="K153" i="11" s="1"/>
  <c r="L153" i="11" s="1"/>
  <c r="I48" i="8"/>
  <c r="F154" i="13"/>
  <c r="H154" i="13" s="1"/>
  <c r="F18" i="4"/>
  <c r="F16" i="4"/>
  <c r="F145" i="14"/>
  <c r="F149" i="14" s="1"/>
  <c r="F15" i="14"/>
  <c r="F163" i="14" s="1"/>
  <c r="F43" i="14"/>
  <c r="H43" i="14" s="1"/>
  <c r="G41" i="13"/>
  <c r="H41" i="13" s="1"/>
  <c r="G84" i="8"/>
  <c r="G87" i="8" s="1"/>
  <c r="G103" i="8"/>
  <c r="F133" i="15"/>
  <c r="G18" i="4"/>
  <c r="G16" i="4"/>
  <c r="I44" i="12"/>
  <c r="G18" i="13"/>
  <c r="G16" i="13"/>
  <c r="F89" i="11"/>
  <c r="H13" i="8"/>
  <c r="H36" i="8" s="1"/>
  <c r="I41" i="8"/>
  <c r="F16" i="6"/>
  <c r="F18" i="6"/>
  <c r="F145" i="15"/>
  <c r="F149" i="15" s="1"/>
  <c r="H149" i="15" s="1"/>
  <c r="I149" i="15" s="1"/>
  <c r="J149" i="15" s="1"/>
  <c r="K149" i="15" s="1"/>
  <c r="L149" i="15" s="1"/>
  <c r="F43" i="15"/>
  <c r="H43" i="15" s="1"/>
  <c r="F15" i="15"/>
  <c r="I48" i="13"/>
  <c r="J11" i="14"/>
  <c r="I185" i="14"/>
  <c r="C189" i="14" s="1"/>
  <c r="I201" i="14"/>
  <c r="I56" i="14"/>
  <c r="I96" i="14"/>
  <c r="I126" i="14"/>
  <c r="G16" i="10"/>
  <c r="G18" i="10"/>
  <c r="I48" i="9"/>
  <c r="F70" i="5"/>
  <c r="F101" i="5"/>
  <c r="F94" i="5"/>
  <c r="I44" i="11"/>
  <c r="K187" i="11"/>
  <c r="L187" i="11" s="1"/>
  <c r="G139" i="11"/>
  <c r="G171" i="12"/>
  <c r="G172" i="14"/>
  <c r="G104" i="6"/>
  <c r="G172" i="12"/>
  <c r="G104" i="5"/>
  <c r="G172" i="13"/>
  <c r="G142" i="9"/>
  <c r="E76" i="2"/>
  <c r="E81" i="2" s="1"/>
  <c r="G172" i="11"/>
  <c r="G91" i="4"/>
  <c r="L119" i="7"/>
  <c r="L126" i="7" s="1"/>
  <c r="L20" i="7" s="1"/>
  <c r="G70" i="5"/>
  <c r="G101" i="5"/>
  <c r="F84" i="8"/>
  <c r="F87" i="8" s="1"/>
  <c r="F89" i="8" s="1"/>
  <c r="F103" i="8"/>
  <c r="F16" i="7"/>
  <c r="F18" i="7"/>
  <c r="J48" i="15"/>
  <c r="I201" i="15"/>
  <c r="I185" i="15"/>
  <c r="C189" i="15" s="1"/>
  <c r="I96" i="15"/>
  <c r="I56" i="15"/>
  <c r="I126" i="15"/>
  <c r="J11" i="15"/>
  <c r="G41" i="6"/>
  <c r="H41" i="6" s="1"/>
  <c r="G15" i="6"/>
  <c r="G43" i="6"/>
  <c r="G94" i="6"/>
  <c r="G155" i="12"/>
  <c r="G151" i="12"/>
  <c r="H151" i="12" s="1"/>
  <c r="F70" i="14"/>
  <c r="F169" i="14"/>
  <c r="G84" i="11"/>
  <c r="G87" i="11" s="1"/>
  <c r="G19" i="5"/>
  <c r="G22" i="5"/>
  <c r="G31" i="5" s="1"/>
  <c r="G33" i="5" s="1"/>
  <c r="G34" i="5" s="1"/>
  <c r="J119" i="8"/>
  <c r="J154" i="14"/>
  <c r="I187" i="13"/>
  <c r="J187" i="13" s="1"/>
  <c r="H69" i="12"/>
  <c r="I21" i="12" s="1"/>
  <c r="G176" i="13"/>
  <c r="G139" i="12"/>
  <c r="F170" i="15"/>
  <c r="F176" i="15"/>
  <c r="G162" i="14"/>
  <c r="G41" i="11"/>
  <c r="H41" i="11" s="1"/>
  <c r="H253" i="15"/>
  <c r="G88" i="4"/>
  <c r="G57" i="4"/>
  <c r="G109" i="10"/>
  <c r="G111" i="10" s="1"/>
  <c r="G70" i="11"/>
  <c r="G169" i="11"/>
  <c r="G176" i="12"/>
  <c r="F94" i="6"/>
  <c r="K157" i="10"/>
  <c r="F146" i="10"/>
  <c r="F44" i="10"/>
  <c r="H44" i="10" s="1"/>
  <c r="F43" i="10"/>
  <c r="H43" i="10" s="1"/>
  <c r="F15" i="10"/>
  <c r="F115" i="10"/>
  <c r="F119" i="10" s="1"/>
  <c r="H119" i="10" s="1"/>
  <c r="I119" i="10" s="1"/>
  <c r="J119" i="10" s="1"/>
  <c r="K119" i="10" s="1"/>
  <c r="L119" i="10" s="1"/>
  <c r="F162" i="15"/>
  <c r="J117" i="5"/>
  <c r="C122" i="5" s="1"/>
  <c r="K11" i="5"/>
  <c r="J56" i="5"/>
  <c r="H155" i="12" l="1"/>
  <c r="F172" i="14"/>
  <c r="F89" i="9"/>
  <c r="F91" i="4"/>
  <c r="F139" i="15"/>
  <c r="H44" i="7"/>
  <c r="G104" i="7"/>
  <c r="H151" i="15"/>
  <c r="F142" i="9"/>
  <c r="H44" i="14"/>
  <c r="G108" i="6"/>
  <c r="H149" i="14"/>
  <c r="I149" i="14" s="1"/>
  <c r="J149" i="14" s="1"/>
  <c r="K149" i="14" s="1"/>
  <c r="L149" i="14" s="1"/>
  <c r="G146" i="9"/>
  <c r="G140" i="9"/>
  <c r="G141" i="12"/>
  <c r="F89" i="14"/>
  <c r="G89" i="8"/>
  <c r="I69" i="10"/>
  <c r="J21" i="10" s="1"/>
  <c r="I151" i="12"/>
  <c r="I102" i="12"/>
  <c r="H80" i="15"/>
  <c r="I244" i="15"/>
  <c r="I154" i="11"/>
  <c r="I44" i="14"/>
  <c r="I44" i="7"/>
  <c r="I154" i="13"/>
  <c r="J155" i="15"/>
  <c r="H65" i="8"/>
  <c r="D120" i="8"/>
  <c r="G120" i="8" s="1"/>
  <c r="H120" i="8" s="1"/>
  <c r="H132" i="15"/>
  <c r="H63" i="15" s="1"/>
  <c r="I151" i="15"/>
  <c r="I155" i="11"/>
  <c r="J151" i="13"/>
  <c r="G89" i="10"/>
  <c r="K56" i="8"/>
  <c r="K117" i="8"/>
  <c r="C123" i="8" s="1"/>
  <c r="L11" i="8"/>
  <c r="I36" i="10"/>
  <c r="D159" i="10" s="1"/>
  <c r="G159" i="10" s="1"/>
  <c r="I159" i="10" s="1"/>
  <c r="J48" i="10"/>
  <c r="J126" i="14"/>
  <c r="J56" i="14"/>
  <c r="J201" i="14"/>
  <c r="J96" i="14"/>
  <c r="K11" i="14"/>
  <c r="J185" i="14"/>
  <c r="C190" i="14" s="1"/>
  <c r="H13" i="7"/>
  <c r="H17" i="7" s="1"/>
  <c r="I41" i="7"/>
  <c r="D158" i="10"/>
  <c r="G158" i="10" s="1"/>
  <c r="H158" i="10" s="1"/>
  <c r="H65" i="10"/>
  <c r="F16" i="10"/>
  <c r="F18" i="10"/>
  <c r="K48" i="15"/>
  <c r="J21" i="8"/>
  <c r="J155" i="13"/>
  <c r="L119" i="6"/>
  <c r="L126" i="6" s="1"/>
  <c r="L20" i="6" s="1"/>
  <c r="F176" i="11"/>
  <c r="F170" i="11"/>
  <c r="H145" i="15"/>
  <c r="H130" i="15" s="1"/>
  <c r="H36" i="15"/>
  <c r="J43" i="9"/>
  <c r="J43" i="7"/>
  <c r="J48" i="8"/>
  <c r="D39" i="2"/>
  <c r="D36" i="2"/>
  <c r="F84" i="4"/>
  <c r="G19" i="11"/>
  <c r="G22" i="11"/>
  <c r="G31" i="11" s="1"/>
  <c r="H15" i="8"/>
  <c r="H17" i="8"/>
  <c r="F16" i="13"/>
  <c r="F18" i="13"/>
  <c r="J69" i="8"/>
  <c r="F22" i="5"/>
  <c r="F31" i="5" s="1"/>
  <c r="F33" i="5" s="1"/>
  <c r="F34" i="5" s="1"/>
  <c r="F19" i="5"/>
  <c r="J117" i="7"/>
  <c r="C122" i="7" s="1"/>
  <c r="K11" i="7"/>
  <c r="J56" i="7"/>
  <c r="J44" i="13"/>
  <c r="I69" i="12"/>
  <c r="J21" i="12" s="1"/>
  <c r="H13" i="13"/>
  <c r="I41" i="13"/>
  <c r="K155" i="14"/>
  <c r="J44" i="8"/>
  <c r="G108" i="8"/>
  <c r="G102" i="8"/>
  <c r="I43" i="10"/>
  <c r="H14" i="10"/>
  <c r="H116" i="10" s="1"/>
  <c r="G95" i="4"/>
  <c r="G89" i="4"/>
  <c r="G89" i="11"/>
  <c r="J48" i="13"/>
  <c r="G19" i="4"/>
  <c r="G22" i="4"/>
  <c r="G31" i="4" s="1"/>
  <c r="G33" i="4" s="1"/>
  <c r="I43" i="14"/>
  <c r="G22" i="15"/>
  <c r="G31" i="15" s="1"/>
  <c r="G19" i="15"/>
  <c r="G18" i="7"/>
  <c r="G16" i="7"/>
  <c r="G95" i="7"/>
  <c r="I102" i="14"/>
  <c r="J21" i="14"/>
  <c r="J69" i="14" s="1"/>
  <c r="I125" i="10"/>
  <c r="J48" i="11"/>
  <c r="F104" i="8"/>
  <c r="J41" i="15"/>
  <c r="I13" i="15"/>
  <c r="K154" i="14"/>
  <c r="G146" i="10"/>
  <c r="G140" i="10"/>
  <c r="I154" i="12"/>
  <c r="L11" i="5"/>
  <c r="K56" i="5"/>
  <c r="K117" i="5"/>
  <c r="C123" i="5" s="1"/>
  <c r="J43" i="13"/>
  <c r="G19" i="12"/>
  <c r="G22" i="12"/>
  <c r="G31" i="12" s="1"/>
  <c r="H13" i="6"/>
  <c r="I41" i="6"/>
  <c r="I44" i="15"/>
  <c r="H17" i="15"/>
  <c r="H147" i="15" s="1"/>
  <c r="J102" i="13"/>
  <c r="K21" i="13"/>
  <c r="K69" i="13" s="1"/>
  <c r="K119" i="8"/>
  <c r="L119" i="8"/>
  <c r="J41" i="8"/>
  <c r="I13" i="8"/>
  <c r="I17" i="8" s="1"/>
  <c r="J21" i="11"/>
  <c r="G108" i="5"/>
  <c r="G102" i="5"/>
  <c r="F18" i="15"/>
  <c r="F16" i="15"/>
  <c r="I41" i="12"/>
  <c r="H13" i="12"/>
  <c r="H14" i="12" s="1"/>
  <c r="H146" i="12" s="1"/>
  <c r="J155" i="10"/>
  <c r="C160" i="10" s="1"/>
  <c r="J56" i="10"/>
  <c r="K11" i="10"/>
  <c r="J96" i="10"/>
  <c r="F18" i="12"/>
  <c r="F16" i="12"/>
  <c r="I48" i="14"/>
  <c r="I69" i="11"/>
  <c r="G97" i="5"/>
  <c r="L157" i="9"/>
  <c r="I43" i="11"/>
  <c r="G19" i="9"/>
  <c r="G22" i="9"/>
  <c r="G31" i="9" s="1"/>
  <c r="G142" i="10"/>
  <c r="G22" i="10"/>
  <c r="G31" i="10" s="1"/>
  <c r="G19" i="10"/>
  <c r="G19" i="13"/>
  <c r="G22" i="13"/>
  <c r="G31" i="13" s="1"/>
  <c r="K201" i="13"/>
  <c r="K56" i="13"/>
  <c r="K126" i="13"/>
  <c r="K185" i="13"/>
  <c r="C191" i="13" s="1"/>
  <c r="L11" i="13"/>
  <c r="K96" i="13"/>
  <c r="I44" i="9"/>
  <c r="J21" i="15"/>
  <c r="I102" i="15"/>
  <c r="K43" i="3"/>
  <c r="L11" i="3"/>
  <c r="L43" i="3" s="1"/>
  <c r="K151" i="14"/>
  <c r="I13" i="10"/>
  <c r="J41" i="10"/>
  <c r="F19" i="6"/>
  <c r="F22" i="6"/>
  <c r="F31" i="6" s="1"/>
  <c r="F19" i="4"/>
  <c r="F22" i="4"/>
  <c r="F31" i="4" s="1"/>
  <c r="F33" i="4" s="1"/>
  <c r="F34" i="4" s="1"/>
  <c r="F163" i="15"/>
  <c r="G164" i="15"/>
  <c r="G134" i="9"/>
  <c r="G96" i="7"/>
  <c r="G164" i="12"/>
  <c r="G164" i="11"/>
  <c r="G96" i="8"/>
  <c r="G96" i="5"/>
  <c r="G83" i="4"/>
  <c r="E40" i="2"/>
  <c r="G164" i="13"/>
  <c r="G134" i="10"/>
  <c r="F22" i="8"/>
  <c r="F31" i="8" s="1"/>
  <c r="F19" i="8"/>
  <c r="J48" i="12"/>
  <c r="L187" i="14"/>
  <c r="F16" i="9"/>
  <c r="F18" i="9"/>
  <c r="H17" i="6"/>
  <c r="I44" i="6"/>
  <c r="I221" i="14"/>
  <c r="H80" i="14"/>
  <c r="F16" i="11"/>
  <c r="F18" i="11"/>
  <c r="K11" i="4"/>
  <c r="J43" i="4"/>
  <c r="G176" i="14"/>
  <c r="G89" i="14"/>
  <c r="G170" i="14"/>
  <c r="I41" i="14"/>
  <c r="H13" i="14"/>
  <c r="J227" i="14"/>
  <c r="I81" i="14"/>
  <c r="J229" i="15"/>
  <c r="J232" i="15" s="1"/>
  <c r="I235" i="15"/>
  <c r="I78" i="15"/>
  <c r="H115" i="10"/>
  <c r="H100" i="10" s="1"/>
  <c r="H15" i="10"/>
  <c r="L157" i="10"/>
  <c r="I239" i="15"/>
  <c r="I241" i="15" s="1"/>
  <c r="I155" i="12"/>
  <c r="L83" i="8"/>
  <c r="L84" i="8" s="1"/>
  <c r="K84" i="8"/>
  <c r="G176" i="15"/>
  <c r="J43" i="8"/>
  <c r="G176" i="11"/>
  <c r="G170" i="11"/>
  <c r="G18" i="6"/>
  <c r="G96" i="6" s="1"/>
  <c r="G16" i="6"/>
  <c r="G95" i="6"/>
  <c r="G172" i="15"/>
  <c r="J44" i="12"/>
  <c r="G141" i="15"/>
  <c r="J121" i="10"/>
  <c r="F108" i="5"/>
  <c r="F102" i="5"/>
  <c r="H79" i="14"/>
  <c r="I215" i="14"/>
  <c r="I151" i="11"/>
  <c r="F139" i="13"/>
  <c r="G141" i="13" s="1"/>
  <c r="F108" i="8"/>
  <c r="F102" i="8"/>
  <c r="J185" i="15"/>
  <c r="C190" i="15" s="1"/>
  <c r="J96" i="15"/>
  <c r="J56" i="15"/>
  <c r="J201" i="15"/>
  <c r="K11" i="15"/>
  <c r="J126" i="15"/>
  <c r="I44" i="10"/>
  <c r="H17" i="10"/>
  <c r="H117" i="10" s="1"/>
  <c r="H102" i="10" s="1"/>
  <c r="H63" i="10" s="1"/>
  <c r="J48" i="9"/>
  <c r="F16" i="14"/>
  <c r="F18" i="14"/>
  <c r="J84" i="9"/>
  <c r="K83" i="9"/>
  <c r="J206" i="14"/>
  <c r="J209" i="14" s="1"/>
  <c r="I78" i="14"/>
  <c r="I212" i="14"/>
  <c r="I124" i="10"/>
  <c r="H81" i="15"/>
  <c r="H82" i="15" s="1"/>
  <c r="I250" i="15"/>
  <c r="F176" i="14"/>
  <c r="F170" i="14"/>
  <c r="G104" i="8"/>
  <c r="G141" i="11"/>
  <c r="I43" i="15"/>
  <c r="H14" i="15"/>
  <c r="H146" i="15" s="1"/>
  <c r="H43" i="6"/>
  <c r="H13" i="9"/>
  <c r="H17" i="9" s="1"/>
  <c r="I41" i="9"/>
  <c r="I43" i="12"/>
  <c r="G18" i="14"/>
  <c r="G16" i="14"/>
  <c r="G163" i="14"/>
  <c r="J154" i="15"/>
  <c r="H13" i="11"/>
  <c r="H14" i="11" s="1"/>
  <c r="H146" i="11" s="1"/>
  <c r="I41" i="11"/>
  <c r="K187" i="13"/>
  <c r="K56" i="6"/>
  <c r="L11" i="6"/>
  <c r="K117" i="6"/>
  <c r="C123" i="6" s="1"/>
  <c r="L187" i="12"/>
  <c r="F19" i="7"/>
  <c r="F22" i="7"/>
  <c r="F31" i="7" s="1"/>
  <c r="J44" i="11"/>
  <c r="J21" i="9"/>
  <c r="F133" i="10"/>
  <c r="L56" i="11"/>
  <c r="L185" i="11"/>
  <c r="C192" i="11" s="1"/>
  <c r="L96" i="11"/>
  <c r="L126" i="11"/>
  <c r="K96" i="9"/>
  <c r="L11" i="9"/>
  <c r="K155" i="9"/>
  <c r="C161" i="9" s="1"/>
  <c r="K56" i="9"/>
  <c r="J126" i="12"/>
  <c r="K11" i="12"/>
  <c r="J96" i="12"/>
  <c r="J56" i="12"/>
  <c r="J185" i="12"/>
  <c r="C190" i="12" s="1"/>
  <c r="H153" i="15"/>
  <c r="I153" i="15" s="1"/>
  <c r="J153" i="15" s="1"/>
  <c r="K153" i="15" s="1"/>
  <c r="L153" i="15" s="1"/>
  <c r="G22" i="8"/>
  <c r="G31" i="8" s="1"/>
  <c r="G19" i="8"/>
  <c r="H14" i="8"/>
  <c r="J69" i="10" l="1"/>
  <c r="K21" i="10" s="1"/>
  <c r="H82" i="14"/>
  <c r="I36" i="8"/>
  <c r="D121" i="8" s="1"/>
  <c r="G121" i="8" s="1"/>
  <c r="I121" i="8" s="1"/>
  <c r="I14" i="8"/>
  <c r="I15" i="8" s="1"/>
  <c r="J238" i="15"/>
  <c r="I79" i="15"/>
  <c r="J102" i="12"/>
  <c r="G19" i="14"/>
  <c r="G22" i="14"/>
  <c r="G31" i="14" s="1"/>
  <c r="J102" i="15"/>
  <c r="L96" i="9"/>
  <c r="L155" i="9"/>
  <c r="C162" i="9" s="1"/>
  <c r="L56" i="9"/>
  <c r="H135" i="12"/>
  <c r="H131" i="12"/>
  <c r="H62" i="12" s="1"/>
  <c r="I216" i="14"/>
  <c r="I218" i="14" s="1"/>
  <c r="J228" i="14"/>
  <c r="J230" i="14" s="1"/>
  <c r="H145" i="14"/>
  <c r="H130" i="14" s="1"/>
  <c r="G33" i="9"/>
  <c r="G46" i="9"/>
  <c r="K43" i="13"/>
  <c r="J41" i="9"/>
  <c r="I13" i="9"/>
  <c r="J155" i="12"/>
  <c r="H15" i="12"/>
  <c r="H145" i="12"/>
  <c r="H130" i="12" s="1"/>
  <c r="H36" i="12"/>
  <c r="H17" i="12"/>
  <c r="H147" i="12" s="1"/>
  <c r="G19" i="7"/>
  <c r="G22" i="7"/>
  <c r="G31" i="7" s="1"/>
  <c r="K48" i="13"/>
  <c r="I65" i="10"/>
  <c r="I120" i="8"/>
  <c r="I126" i="8" s="1"/>
  <c r="I20" i="8" s="1"/>
  <c r="H126" i="8"/>
  <c r="H20" i="8" s="1"/>
  <c r="H66" i="8" s="1"/>
  <c r="I66" i="8" s="1"/>
  <c r="I245" i="15"/>
  <c r="I247" i="15" s="1"/>
  <c r="K44" i="11"/>
  <c r="H36" i="9"/>
  <c r="H14" i="9"/>
  <c r="H15" i="9" s="1"/>
  <c r="L83" i="9"/>
  <c r="L84" i="9" s="1"/>
  <c r="K84" i="9"/>
  <c r="K185" i="15"/>
  <c r="C191" i="15" s="1"/>
  <c r="L11" i="15"/>
  <c r="K96" i="15"/>
  <c r="K56" i="15"/>
  <c r="K126" i="15"/>
  <c r="K201" i="15"/>
  <c r="J44" i="9"/>
  <c r="I17" i="9"/>
  <c r="G46" i="13"/>
  <c r="G33" i="13"/>
  <c r="I13" i="12"/>
  <c r="J41" i="12"/>
  <c r="H137" i="15"/>
  <c r="H76" i="15" s="1"/>
  <c r="H136" i="15"/>
  <c r="H75" i="15" s="1"/>
  <c r="I158" i="10"/>
  <c r="I164" i="10" s="1"/>
  <c r="I20" i="10" s="1"/>
  <c r="H164" i="10"/>
  <c r="H20" i="10" s="1"/>
  <c r="H66" i="10" s="1"/>
  <c r="H67" i="10" s="1"/>
  <c r="K96" i="14"/>
  <c r="K201" i="14"/>
  <c r="L11" i="14"/>
  <c r="K185" i="14"/>
  <c r="C191" i="14" s="1"/>
  <c r="K126" i="14"/>
  <c r="K56" i="14"/>
  <c r="I65" i="8"/>
  <c r="I43" i="6"/>
  <c r="H14" i="6"/>
  <c r="H15" i="6" s="1"/>
  <c r="G22" i="6"/>
  <c r="G31" i="6" s="1"/>
  <c r="G19" i="6"/>
  <c r="L187" i="13"/>
  <c r="I14" i="11"/>
  <c r="I146" i="11" s="1"/>
  <c r="J43" i="11"/>
  <c r="J69" i="11"/>
  <c r="K21" i="11" s="1"/>
  <c r="J44" i="15"/>
  <c r="I17" i="15"/>
  <c r="I147" i="15" s="1"/>
  <c r="K44" i="8"/>
  <c r="F97" i="5"/>
  <c r="K155" i="13"/>
  <c r="J151" i="11"/>
  <c r="J78" i="15"/>
  <c r="J235" i="15"/>
  <c r="K229" i="15"/>
  <c r="K232" i="15" s="1"/>
  <c r="L151" i="14"/>
  <c r="G33" i="12"/>
  <c r="G46" i="12"/>
  <c r="G34" i="4"/>
  <c r="G84" i="4"/>
  <c r="J43" i="10"/>
  <c r="I14" i="10"/>
  <c r="I116" i="10" s="1"/>
  <c r="H18" i="8"/>
  <c r="H16" i="8"/>
  <c r="J36" i="8"/>
  <c r="D122" i="8" s="1"/>
  <c r="G122" i="8" s="1"/>
  <c r="J122" i="8" s="1"/>
  <c r="K48" i="8"/>
  <c r="J154" i="11"/>
  <c r="K96" i="10"/>
  <c r="K155" i="10"/>
  <c r="C161" i="10" s="1"/>
  <c r="L11" i="10"/>
  <c r="K56" i="10"/>
  <c r="K44" i="13"/>
  <c r="G33" i="11"/>
  <c r="G46" i="11"/>
  <c r="K43" i="7"/>
  <c r="F22" i="10"/>
  <c r="F31" i="10" s="1"/>
  <c r="F19" i="10"/>
  <c r="L117" i="8"/>
  <c r="C124" i="8" s="1"/>
  <c r="L56" i="8"/>
  <c r="I251" i="15"/>
  <c r="I253" i="15" s="1"/>
  <c r="F33" i="8"/>
  <c r="F46" i="8"/>
  <c r="I13" i="7"/>
  <c r="I17" i="7" s="1"/>
  <c r="J41" i="7"/>
  <c r="J44" i="10"/>
  <c r="I17" i="10"/>
  <c r="I117" i="10" s="1"/>
  <c r="I102" i="10" s="1"/>
  <c r="I63" i="10" s="1"/>
  <c r="L21" i="13"/>
  <c r="L102" i="13" s="1"/>
  <c r="K102" i="13"/>
  <c r="K117" i="7"/>
  <c r="C123" i="7" s="1"/>
  <c r="K56" i="7"/>
  <c r="L11" i="7"/>
  <c r="K43" i="9"/>
  <c r="H14" i="7"/>
  <c r="H15" i="7" s="1"/>
  <c r="J41" i="14"/>
  <c r="I13" i="14"/>
  <c r="I36" i="14" s="1"/>
  <c r="J44" i="6"/>
  <c r="I17" i="6"/>
  <c r="G164" i="14"/>
  <c r="H131" i="15"/>
  <c r="H62" i="15" s="1"/>
  <c r="H135" i="15"/>
  <c r="F19" i="14"/>
  <c r="F22" i="14"/>
  <c r="F31" i="14" s="1"/>
  <c r="F19" i="9"/>
  <c r="F22" i="9"/>
  <c r="F31" i="9" s="1"/>
  <c r="H36" i="14"/>
  <c r="G33" i="15"/>
  <c r="G46" i="15"/>
  <c r="K21" i="8"/>
  <c r="K155" i="15"/>
  <c r="I14" i="15"/>
  <c r="I146" i="15" s="1"/>
  <c r="J43" i="15"/>
  <c r="H16" i="10"/>
  <c r="H18" i="10"/>
  <c r="J125" i="10"/>
  <c r="L155" i="14"/>
  <c r="D188" i="15"/>
  <c r="G188" i="15" s="1"/>
  <c r="H188" i="15" s="1"/>
  <c r="H109" i="15"/>
  <c r="H65" i="15"/>
  <c r="K151" i="13"/>
  <c r="J44" i="14"/>
  <c r="H103" i="10"/>
  <c r="H61" i="10"/>
  <c r="H107" i="10"/>
  <c r="H76" i="10" s="1"/>
  <c r="I13" i="13"/>
  <c r="J41" i="13"/>
  <c r="F134" i="10"/>
  <c r="F96" i="8"/>
  <c r="F164" i="15"/>
  <c r="F96" i="5"/>
  <c r="D40" i="2"/>
  <c r="F96" i="7"/>
  <c r="F164" i="14"/>
  <c r="F164" i="12"/>
  <c r="F96" i="6"/>
  <c r="F83" i="4"/>
  <c r="F164" i="11"/>
  <c r="F134" i="9"/>
  <c r="F164" i="13"/>
  <c r="H15" i="15"/>
  <c r="J155" i="11"/>
  <c r="K96" i="12"/>
  <c r="K56" i="12"/>
  <c r="L11" i="12"/>
  <c r="K185" i="12"/>
  <c r="C191" i="12" s="1"/>
  <c r="K126" i="12"/>
  <c r="J124" i="10"/>
  <c r="K48" i="9"/>
  <c r="J14" i="8"/>
  <c r="K43" i="8"/>
  <c r="J13" i="10"/>
  <c r="K41" i="10"/>
  <c r="L201" i="13"/>
  <c r="L126" i="13"/>
  <c r="L56" i="13"/>
  <c r="L185" i="13"/>
  <c r="C192" i="13" s="1"/>
  <c r="L96" i="13"/>
  <c r="F19" i="12"/>
  <c r="F22" i="12"/>
  <c r="F31" i="12" s="1"/>
  <c r="F22" i="15"/>
  <c r="F31" i="15" s="1"/>
  <c r="F19" i="15"/>
  <c r="I13" i="6"/>
  <c r="J41" i="6"/>
  <c r="L56" i="5"/>
  <c r="L117" i="5"/>
  <c r="C124" i="5" s="1"/>
  <c r="I145" i="15"/>
  <c r="I130" i="15" s="1"/>
  <c r="I36" i="15"/>
  <c r="K21" i="14"/>
  <c r="K69" i="14" s="1"/>
  <c r="J102" i="14"/>
  <c r="J43" i="14"/>
  <c r="H145" i="13"/>
  <c r="H130" i="13" s="1"/>
  <c r="H14" i="13"/>
  <c r="H146" i="13" s="1"/>
  <c r="H17" i="13"/>
  <c r="H147" i="13" s="1"/>
  <c r="H36" i="13"/>
  <c r="H133" i="15"/>
  <c r="H61" i="15"/>
  <c r="L48" i="15"/>
  <c r="J151" i="12"/>
  <c r="L56" i="6"/>
  <c r="L117" i="6"/>
  <c r="C124" i="6" s="1"/>
  <c r="F22" i="11"/>
  <c r="F31" i="11" s="1"/>
  <c r="F19" i="11"/>
  <c r="J154" i="12"/>
  <c r="K44" i="12"/>
  <c r="J44" i="7"/>
  <c r="J212" i="14"/>
  <c r="J78" i="14"/>
  <c r="K206" i="14"/>
  <c r="K209" i="14" s="1"/>
  <c r="F33" i="6"/>
  <c r="F46" i="6"/>
  <c r="G33" i="8"/>
  <c r="G46" i="8"/>
  <c r="I14" i="12"/>
  <c r="I146" i="12" s="1"/>
  <c r="J43" i="12"/>
  <c r="I222" i="14"/>
  <c r="I224" i="14" s="1"/>
  <c r="K48" i="11"/>
  <c r="K69" i="10"/>
  <c r="L21" i="10" s="1"/>
  <c r="J69" i="9"/>
  <c r="K21" i="9" s="1"/>
  <c r="F33" i="7"/>
  <c r="F46" i="7"/>
  <c r="J41" i="11"/>
  <c r="I13" i="11"/>
  <c r="K121" i="10"/>
  <c r="H135" i="11"/>
  <c r="H131" i="11"/>
  <c r="H62" i="11" s="1"/>
  <c r="H17" i="14"/>
  <c r="H147" i="14" s="1"/>
  <c r="H145" i="11"/>
  <c r="H130" i="11" s="1"/>
  <c r="H15" i="11"/>
  <c r="H36" i="11"/>
  <c r="H17" i="11"/>
  <c r="H147" i="11" s="1"/>
  <c r="G33" i="10"/>
  <c r="G46" i="10"/>
  <c r="J48" i="14"/>
  <c r="L154" i="14"/>
  <c r="F19" i="13"/>
  <c r="F22" i="13"/>
  <c r="F31" i="13" s="1"/>
  <c r="K154" i="15"/>
  <c r="H106" i="10"/>
  <c r="H75" i="10" s="1"/>
  <c r="K43" i="4"/>
  <c r="L11" i="4"/>
  <c r="L43" i="4" s="1"/>
  <c r="K48" i="12"/>
  <c r="I115" i="10"/>
  <c r="I100" i="10" s="1"/>
  <c r="J69" i="15"/>
  <c r="K41" i="8"/>
  <c r="J13" i="8"/>
  <c r="J17" i="8" s="1"/>
  <c r="K41" i="15"/>
  <c r="J13" i="15"/>
  <c r="H14" i="14"/>
  <c r="H146" i="14" s="1"/>
  <c r="H105" i="10"/>
  <c r="H101" i="10"/>
  <c r="H62" i="10" s="1"/>
  <c r="J69" i="12"/>
  <c r="K48" i="10"/>
  <c r="J36" i="10"/>
  <c r="D160" i="10" s="1"/>
  <c r="G160" i="10" s="1"/>
  <c r="J160" i="10" s="1"/>
  <c r="J151" i="15"/>
  <c r="I132" i="15"/>
  <c r="I63" i="15" s="1"/>
  <c r="J154" i="13"/>
  <c r="I15" i="10" l="1"/>
  <c r="I16" i="10" s="1"/>
  <c r="H15" i="14"/>
  <c r="H16" i="9"/>
  <c r="H18" i="9"/>
  <c r="J221" i="14"/>
  <c r="I80" i="14"/>
  <c r="H18" i="6"/>
  <c r="H16" i="6"/>
  <c r="H18" i="7"/>
  <c r="H16" i="7"/>
  <c r="J244" i="15"/>
  <c r="I80" i="15"/>
  <c r="I79" i="14"/>
  <c r="J215" i="14"/>
  <c r="K227" i="14"/>
  <c r="J81" i="14"/>
  <c r="I188" i="15"/>
  <c r="J188" i="15"/>
  <c r="H194" i="15"/>
  <c r="H20" i="15" s="1"/>
  <c r="D188" i="14"/>
  <c r="G188" i="14" s="1"/>
  <c r="H188" i="14" s="1"/>
  <c r="H65" i="14"/>
  <c r="H109" i="14"/>
  <c r="I135" i="11"/>
  <c r="I131" i="11"/>
  <c r="I62" i="11" s="1"/>
  <c r="F34" i="6"/>
  <c r="F97" i="6"/>
  <c r="I61" i="15"/>
  <c r="L121" i="10"/>
  <c r="K212" i="14"/>
  <c r="K78" i="14"/>
  <c r="L206" i="14"/>
  <c r="L209" i="14" s="1"/>
  <c r="D188" i="13"/>
  <c r="G188" i="13" s="1"/>
  <c r="H188" i="13" s="1"/>
  <c r="H109" i="13"/>
  <c r="H65" i="13"/>
  <c r="F33" i="10"/>
  <c r="F46" i="10"/>
  <c r="H46" i="10" s="1"/>
  <c r="H61" i="14"/>
  <c r="H74" i="10"/>
  <c r="H77" i="10" s="1"/>
  <c r="H84" i="10" s="1"/>
  <c r="H108" i="10"/>
  <c r="H109" i="10" s="1"/>
  <c r="H111" i="10" s="1"/>
  <c r="I61" i="10"/>
  <c r="K48" i="14"/>
  <c r="I145" i="11"/>
  <c r="I130" i="11" s="1"/>
  <c r="I15" i="11"/>
  <c r="I17" i="11"/>
  <c r="I147" i="11" s="1"/>
  <c r="I36" i="11"/>
  <c r="D189" i="11" s="1"/>
  <c r="G189" i="11" s="1"/>
  <c r="I189" i="11" s="1"/>
  <c r="L48" i="11"/>
  <c r="H132" i="13"/>
  <c r="H63" i="13" s="1"/>
  <c r="H137" i="13"/>
  <c r="H76" i="13" s="1"/>
  <c r="H136" i="13"/>
  <c r="H75" i="13" s="1"/>
  <c r="I106" i="10"/>
  <c r="I75" i="10" s="1"/>
  <c r="K155" i="11"/>
  <c r="F33" i="9"/>
  <c r="F46" i="9"/>
  <c r="H46" i="9" s="1"/>
  <c r="I145" i="14"/>
  <c r="I130" i="14" s="1"/>
  <c r="L43" i="9"/>
  <c r="H46" i="8"/>
  <c r="I101" i="10"/>
  <c r="I62" i="10" s="1"/>
  <c r="I105" i="10"/>
  <c r="K235" i="15"/>
  <c r="L229" i="15"/>
  <c r="L232" i="15" s="1"/>
  <c r="K78" i="15"/>
  <c r="D188" i="12"/>
  <c r="G188" i="12" s="1"/>
  <c r="H188" i="12" s="1"/>
  <c r="H109" i="12"/>
  <c r="H65" i="12"/>
  <c r="H16" i="14"/>
  <c r="H18" i="14"/>
  <c r="K21" i="15"/>
  <c r="K154" i="13"/>
  <c r="H131" i="14"/>
  <c r="H62" i="14" s="1"/>
  <c r="H135" i="14"/>
  <c r="L154" i="15"/>
  <c r="K41" i="11"/>
  <c r="J13" i="11"/>
  <c r="J14" i="11" s="1"/>
  <c r="J146" i="11" s="1"/>
  <c r="H135" i="13"/>
  <c r="H131" i="13"/>
  <c r="H62" i="13" s="1"/>
  <c r="K41" i="6"/>
  <c r="J13" i="6"/>
  <c r="J17" i="6" s="1"/>
  <c r="K124" i="10"/>
  <c r="H16" i="15"/>
  <c r="H18" i="15"/>
  <c r="I17" i="14"/>
  <c r="I147" i="14" s="1"/>
  <c r="I107" i="10"/>
  <c r="I76" i="10" s="1"/>
  <c r="K69" i="8"/>
  <c r="K41" i="14"/>
  <c r="J13" i="14"/>
  <c r="J17" i="14" s="1"/>
  <c r="J147" i="14" s="1"/>
  <c r="F34" i="8"/>
  <c r="F97" i="8"/>
  <c r="K43" i="10"/>
  <c r="J14" i="10"/>
  <c r="J116" i="10" s="1"/>
  <c r="G33" i="6"/>
  <c r="G46" i="6"/>
  <c r="L44" i="11"/>
  <c r="H61" i="12"/>
  <c r="J239" i="15"/>
  <c r="J241" i="15"/>
  <c r="J145" i="15"/>
  <c r="J130" i="15" s="1"/>
  <c r="J36" i="15"/>
  <c r="G34" i="10"/>
  <c r="G135" i="10"/>
  <c r="J17" i="7"/>
  <c r="K44" i="7"/>
  <c r="F33" i="11"/>
  <c r="F46" i="11"/>
  <c r="H46" i="11" s="1"/>
  <c r="H15" i="13"/>
  <c r="K44" i="14"/>
  <c r="K125" i="10"/>
  <c r="L117" i="7"/>
  <c r="C124" i="7" s="1"/>
  <c r="L56" i="7"/>
  <c r="L43" i="7"/>
  <c r="I136" i="15"/>
  <c r="I75" i="15" s="1"/>
  <c r="I137" i="15"/>
  <c r="I76" i="15" s="1"/>
  <c r="L201" i="14"/>
  <c r="L185" i="14"/>
  <c r="C192" i="14" s="1"/>
  <c r="L126" i="14"/>
  <c r="L96" i="14"/>
  <c r="L56" i="14"/>
  <c r="H18" i="12"/>
  <c r="H16" i="12"/>
  <c r="K154" i="12"/>
  <c r="L48" i="8"/>
  <c r="H74" i="11"/>
  <c r="K41" i="13"/>
  <c r="J13" i="13"/>
  <c r="I135" i="15"/>
  <c r="I131" i="15"/>
  <c r="I62" i="15" s="1"/>
  <c r="J17" i="10"/>
  <c r="J117" i="10" s="1"/>
  <c r="J102" i="10" s="1"/>
  <c r="J63" i="10" s="1"/>
  <c r="K44" i="10"/>
  <c r="I67" i="8"/>
  <c r="I70" i="8" s="1"/>
  <c r="J65" i="8"/>
  <c r="J158" i="10"/>
  <c r="K158" i="10" s="1"/>
  <c r="I15" i="15"/>
  <c r="I15" i="13"/>
  <c r="I145" i="13"/>
  <c r="I130" i="13" s="1"/>
  <c r="I36" i="13"/>
  <c r="I14" i="13"/>
  <c r="I146" i="13" s="1"/>
  <c r="I17" i="13"/>
  <c r="I147" i="13" s="1"/>
  <c r="L155" i="15"/>
  <c r="J13" i="7"/>
  <c r="K41" i="7"/>
  <c r="H67" i="8"/>
  <c r="H70" i="8" s="1"/>
  <c r="K44" i="9"/>
  <c r="D158" i="9"/>
  <c r="G158" i="9" s="1"/>
  <c r="H158" i="9" s="1"/>
  <c r="H65" i="9"/>
  <c r="G34" i="9"/>
  <c r="G135" i="9"/>
  <c r="I18" i="10"/>
  <c r="D189" i="14"/>
  <c r="G189" i="14" s="1"/>
  <c r="I189" i="14" s="1"/>
  <c r="I109" i="14"/>
  <c r="G34" i="8"/>
  <c r="G97" i="8"/>
  <c r="L48" i="9"/>
  <c r="K44" i="6"/>
  <c r="I14" i="7"/>
  <c r="I15" i="7" s="1"/>
  <c r="L155" i="10"/>
  <c r="C162" i="10" s="1"/>
  <c r="L96" i="10"/>
  <c r="L56" i="10"/>
  <c r="H19" i="8"/>
  <c r="H22" i="8"/>
  <c r="H31" i="8" s="1"/>
  <c r="L44" i="8"/>
  <c r="K17" i="8"/>
  <c r="J120" i="8"/>
  <c r="H132" i="12"/>
  <c r="H63" i="12" s="1"/>
  <c r="H137" i="12"/>
  <c r="H76" i="12" s="1"/>
  <c r="H136" i="12"/>
  <c r="H75" i="12" s="1"/>
  <c r="K21" i="12"/>
  <c r="K69" i="12" s="1"/>
  <c r="K151" i="15"/>
  <c r="K13" i="15"/>
  <c r="L41" i="15"/>
  <c r="L13" i="15" s="1"/>
  <c r="L36" i="15" s="1"/>
  <c r="L48" i="12"/>
  <c r="H136" i="11"/>
  <c r="H75" i="11" s="1"/>
  <c r="H137" i="11"/>
  <c r="H76" i="11" s="1"/>
  <c r="H132" i="11"/>
  <c r="H63" i="11" s="1"/>
  <c r="I18" i="8"/>
  <c r="I16" i="8"/>
  <c r="K13" i="10"/>
  <c r="K36" i="10" s="1"/>
  <c r="D161" i="10" s="1"/>
  <c r="G161" i="10" s="1"/>
  <c r="K161" i="10" s="1"/>
  <c r="L41" i="10"/>
  <c r="L13" i="10" s="1"/>
  <c r="F33" i="14"/>
  <c r="F46" i="14"/>
  <c r="H46" i="14" s="1"/>
  <c r="J250" i="15"/>
  <c r="I81" i="15"/>
  <c r="I82" i="15" s="1"/>
  <c r="K151" i="11"/>
  <c r="K44" i="15"/>
  <c r="J17" i="15"/>
  <c r="J147" i="15" s="1"/>
  <c r="J132" i="15" s="1"/>
  <c r="J63" i="15" s="1"/>
  <c r="J65" i="10"/>
  <c r="K155" i="12"/>
  <c r="D188" i="11"/>
  <c r="G188" i="11" s="1"/>
  <c r="H188" i="11" s="1"/>
  <c r="H65" i="11"/>
  <c r="K69" i="9"/>
  <c r="L44" i="12"/>
  <c r="I14" i="14"/>
  <c r="I146" i="14" s="1"/>
  <c r="J115" i="10"/>
  <c r="J100" i="10" s="1"/>
  <c r="H22" i="10"/>
  <c r="H31" i="10" s="1"/>
  <c r="H19" i="10"/>
  <c r="G34" i="11"/>
  <c r="G165" i="11"/>
  <c r="K154" i="11"/>
  <c r="J43" i="6"/>
  <c r="I14" i="6"/>
  <c r="I15" i="6" s="1"/>
  <c r="J13" i="12"/>
  <c r="K41" i="12"/>
  <c r="L48" i="10"/>
  <c r="J15" i="8"/>
  <c r="H18" i="11"/>
  <c r="H16" i="11"/>
  <c r="L69" i="10"/>
  <c r="K43" i="14"/>
  <c r="F33" i="15"/>
  <c r="F46" i="15"/>
  <c r="H46" i="15" s="1"/>
  <c r="L185" i="12"/>
  <c r="C192" i="12" s="1"/>
  <c r="L96" i="12"/>
  <c r="L56" i="12"/>
  <c r="L126" i="12"/>
  <c r="L151" i="13"/>
  <c r="H138" i="15"/>
  <c r="H139" i="15" s="1"/>
  <c r="H141" i="15" s="1"/>
  <c r="H104" i="15" s="1"/>
  <c r="H74" i="15"/>
  <c r="H77" i="15" s="1"/>
  <c r="H84" i="15" s="1"/>
  <c r="I66" i="10"/>
  <c r="I67" i="10" s="1"/>
  <c r="I15" i="12"/>
  <c r="I145" i="12"/>
  <c r="I130" i="12" s="1"/>
  <c r="I17" i="12"/>
  <c r="I147" i="12" s="1"/>
  <c r="I36" i="12"/>
  <c r="L201" i="15"/>
  <c r="L56" i="15"/>
  <c r="L185" i="15"/>
  <c r="C192" i="15" s="1"/>
  <c r="L126" i="15"/>
  <c r="L96" i="15"/>
  <c r="L48" i="13"/>
  <c r="I36" i="9"/>
  <c r="D159" i="9" s="1"/>
  <c r="G159" i="9" s="1"/>
  <c r="I159" i="9" s="1"/>
  <c r="I14" i="9"/>
  <c r="I15" i="9" s="1"/>
  <c r="L69" i="13"/>
  <c r="K13" i="8"/>
  <c r="L41" i="8"/>
  <c r="H133" i="11"/>
  <c r="H61" i="11"/>
  <c r="H64" i="11" s="1"/>
  <c r="J14" i="12"/>
  <c r="J146" i="12" s="1"/>
  <c r="K43" i="12"/>
  <c r="K151" i="12"/>
  <c r="F33" i="12"/>
  <c r="F46" i="12"/>
  <c r="H46" i="12" s="1"/>
  <c r="K14" i="8"/>
  <c r="L43" i="8"/>
  <c r="I65" i="15"/>
  <c r="L44" i="13"/>
  <c r="K69" i="11"/>
  <c r="L21" i="11" s="1"/>
  <c r="K41" i="9"/>
  <c r="J13" i="9"/>
  <c r="H46" i="6"/>
  <c r="D189" i="15"/>
  <c r="G189" i="15" s="1"/>
  <c r="I189" i="15" s="1"/>
  <c r="I109" i="15"/>
  <c r="J14" i="15"/>
  <c r="J146" i="15" s="1"/>
  <c r="K43" i="15"/>
  <c r="L155" i="13"/>
  <c r="H74" i="12"/>
  <c r="H77" i="12" s="1"/>
  <c r="H84" i="12" s="1"/>
  <c r="F33" i="13"/>
  <c r="F46" i="13"/>
  <c r="H46" i="13" s="1"/>
  <c r="F34" i="7"/>
  <c r="F97" i="7"/>
  <c r="H61" i="13"/>
  <c r="G34" i="15"/>
  <c r="G165" i="15"/>
  <c r="G33" i="14"/>
  <c r="G46" i="14"/>
  <c r="H136" i="14"/>
  <c r="H75" i="14" s="1"/>
  <c r="H137" i="14"/>
  <c r="H76" i="14" s="1"/>
  <c r="H132" i="14"/>
  <c r="H63" i="14" s="1"/>
  <c r="I135" i="12"/>
  <c r="I131" i="12"/>
  <c r="I62" i="12" s="1"/>
  <c r="K102" i="14"/>
  <c r="L21" i="14"/>
  <c r="L102" i="14" s="1"/>
  <c r="H64" i="10"/>
  <c r="H70" i="10" s="1"/>
  <c r="G34" i="12"/>
  <c r="G165" i="12"/>
  <c r="K43" i="11"/>
  <c r="G34" i="13"/>
  <c r="G165" i="13"/>
  <c r="G33" i="7"/>
  <c r="G46" i="7"/>
  <c r="H46" i="7" s="1"/>
  <c r="L43" i="13"/>
  <c r="I82" i="14" l="1"/>
  <c r="L36" i="10"/>
  <c r="D162" i="10" s="1"/>
  <c r="G162" i="10" s="1"/>
  <c r="L162" i="10" s="1"/>
  <c r="L13" i="8"/>
  <c r="L17" i="8" s="1"/>
  <c r="I133" i="15"/>
  <c r="H138" i="11"/>
  <c r="L14" i="8"/>
  <c r="J135" i="11"/>
  <c r="J131" i="11"/>
  <c r="J62" i="11" s="1"/>
  <c r="I46" i="7"/>
  <c r="I18" i="9"/>
  <c r="I16" i="9"/>
  <c r="I18" i="7"/>
  <c r="I16" i="7"/>
  <c r="L43" i="12"/>
  <c r="K14" i="12"/>
  <c r="K146" i="12" s="1"/>
  <c r="I135" i="14"/>
  <c r="I131" i="14"/>
  <c r="I62" i="14" s="1"/>
  <c r="I46" i="10"/>
  <c r="H32" i="10"/>
  <c r="G34" i="7"/>
  <c r="G97" i="7"/>
  <c r="L115" i="10"/>
  <c r="L100" i="10" s="1"/>
  <c r="K145" i="15"/>
  <c r="K130" i="15" s="1"/>
  <c r="K36" i="15"/>
  <c r="I19" i="10"/>
  <c r="I22" i="10"/>
  <c r="I31" i="10" s="1"/>
  <c r="H18" i="13"/>
  <c r="H16" i="13"/>
  <c r="L41" i="11"/>
  <c r="L13" i="11" s="1"/>
  <c r="L36" i="11" s="1"/>
  <c r="D192" i="11" s="1"/>
  <c r="G192" i="11" s="1"/>
  <c r="L192" i="11" s="1"/>
  <c r="K13" i="11"/>
  <c r="I65" i="12"/>
  <c r="L48" i="14"/>
  <c r="I65" i="14"/>
  <c r="H138" i="12"/>
  <c r="L15" i="8"/>
  <c r="L43" i="14"/>
  <c r="K14" i="14"/>
  <c r="K146" i="14" s="1"/>
  <c r="I65" i="11"/>
  <c r="L151" i="11"/>
  <c r="K115" i="10"/>
  <c r="K100" i="10" s="1"/>
  <c r="L41" i="7"/>
  <c r="K13" i="7"/>
  <c r="K17" i="7" s="1"/>
  <c r="I16" i="15"/>
  <c r="I18" i="15"/>
  <c r="I46" i="11"/>
  <c r="I132" i="14"/>
  <c r="I63" i="14" s="1"/>
  <c r="I137" i="14"/>
  <c r="I76" i="14" s="1"/>
  <c r="I136" i="14"/>
  <c r="I75" i="14" s="1"/>
  <c r="I188" i="13"/>
  <c r="J188" i="13" s="1"/>
  <c r="H194" i="13"/>
  <c r="H20" i="13" s="1"/>
  <c r="I188" i="14"/>
  <c r="I194" i="14" s="1"/>
  <c r="I20" i="14" s="1"/>
  <c r="I101" i="14" s="1"/>
  <c r="H194" i="14"/>
  <c r="H20" i="14" s="1"/>
  <c r="K228" i="14"/>
  <c r="K230" i="14" s="1"/>
  <c r="H133" i="13"/>
  <c r="H139" i="13" s="1"/>
  <c r="H141" i="13" s="1"/>
  <c r="H104" i="13" s="1"/>
  <c r="K15" i="8"/>
  <c r="K43" i="6"/>
  <c r="J14" i="6"/>
  <c r="J15" i="6" s="1"/>
  <c r="I188" i="11"/>
  <c r="I194" i="11" s="1"/>
  <c r="I20" i="11" s="1"/>
  <c r="H194" i="11"/>
  <c r="H20" i="11" s="1"/>
  <c r="H66" i="11" s="1"/>
  <c r="H67" i="11" s="1"/>
  <c r="H70" i="11" s="1"/>
  <c r="K132" i="15"/>
  <c r="K63" i="15" s="1"/>
  <c r="L151" i="15"/>
  <c r="J14" i="7"/>
  <c r="J15" i="7" s="1"/>
  <c r="H19" i="12"/>
  <c r="F34" i="11"/>
  <c r="F165" i="11"/>
  <c r="J109" i="15"/>
  <c r="D190" i="15"/>
  <c r="G190" i="15" s="1"/>
  <c r="J190" i="15" s="1"/>
  <c r="G34" i="6"/>
  <c r="G97" i="6"/>
  <c r="I188" i="12"/>
  <c r="J188" i="12"/>
  <c r="K188" i="12"/>
  <c r="H194" i="12"/>
  <c r="H20" i="12" s="1"/>
  <c r="I15" i="14"/>
  <c r="H101" i="15"/>
  <c r="H66" i="15"/>
  <c r="H22" i="6"/>
  <c r="H31" i="6" s="1"/>
  <c r="H19" i="6"/>
  <c r="I46" i="12"/>
  <c r="I19" i="8"/>
  <c r="I22" i="8"/>
  <c r="I31" i="8" s="1"/>
  <c r="L21" i="12"/>
  <c r="L102" i="12" s="1"/>
  <c r="K102" i="12"/>
  <c r="L44" i="7"/>
  <c r="J15" i="15"/>
  <c r="H19" i="15"/>
  <c r="H22" i="15"/>
  <c r="H31" i="15" s="1"/>
  <c r="I61" i="14"/>
  <c r="I64" i="10"/>
  <c r="I70" i="10" s="1"/>
  <c r="I18" i="13"/>
  <c r="I16" i="13"/>
  <c r="L154" i="12"/>
  <c r="J136" i="14"/>
  <c r="J75" i="14" s="1"/>
  <c r="J137" i="14"/>
  <c r="J76" i="14" s="1"/>
  <c r="J132" i="14"/>
  <c r="J63" i="14" s="1"/>
  <c r="J145" i="14"/>
  <c r="J130" i="14" s="1"/>
  <c r="K102" i="15"/>
  <c r="I74" i="10"/>
  <c r="I77" i="10" s="1"/>
  <c r="I84" i="10" s="1"/>
  <c r="I108" i="10"/>
  <c r="I18" i="11"/>
  <c r="I16" i="11"/>
  <c r="J245" i="15"/>
  <c r="J247" i="15" s="1"/>
  <c r="J131" i="12"/>
  <c r="J62" i="12" s="1"/>
  <c r="J135" i="12"/>
  <c r="I46" i="15"/>
  <c r="H32" i="15"/>
  <c r="H138" i="13"/>
  <c r="H74" i="13"/>
  <c r="H77" i="13" s="1"/>
  <c r="H84" i="13" s="1"/>
  <c r="H19" i="14"/>
  <c r="H22" i="14"/>
  <c r="H31" i="14" s="1"/>
  <c r="H32" i="14" s="1"/>
  <c r="L155" i="11"/>
  <c r="F34" i="10"/>
  <c r="F135" i="10"/>
  <c r="D192" i="15"/>
  <c r="G192" i="15" s="1"/>
  <c r="L192" i="15" s="1"/>
  <c r="L109" i="15"/>
  <c r="I46" i="6"/>
  <c r="L41" i="12"/>
  <c r="K13" i="12"/>
  <c r="L145" i="15"/>
  <c r="L130" i="15" s="1"/>
  <c r="I46" i="8"/>
  <c r="H32" i="8"/>
  <c r="H33" i="8" s="1"/>
  <c r="J36" i="14"/>
  <c r="I65" i="13"/>
  <c r="H22" i="7"/>
  <c r="H31" i="7" s="1"/>
  <c r="H19" i="7"/>
  <c r="L69" i="11"/>
  <c r="J65" i="15"/>
  <c r="J14" i="14"/>
  <c r="J146" i="14" s="1"/>
  <c r="J145" i="12"/>
  <c r="J130" i="12" s="1"/>
  <c r="J15" i="12"/>
  <c r="J36" i="12"/>
  <c r="J17" i="12"/>
  <c r="J147" i="12" s="1"/>
  <c r="K17" i="15"/>
  <c r="K147" i="15" s="1"/>
  <c r="L44" i="15"/>
  <c r="L17" i="15" s="1"/>
  <c r="L147" i="15" s="1"/>
  <c r="L137" i="15" s="1"/>
  <c r="L76" i="15" s="1"/>
  <c r="L44" i="10"/>
  <c r="L17" i="10" s="1"/>
  <c r="L117" i="10" s="1"/>
  <c r="L102" i="10" s="1"/>
  <c r="L63" i="10" s="1"/>
  <c r="K17" i="10"/>
  <c r="K117" i="10" s="1"/>
  <c r="K102" i="10" s="1"/>
  <c r="K63" i="10" s="1"/>
  <c r="K14" i="15"/>
  <c r="K146" i="15" s="1"/>
  <c r="L43" i="15"/>
  <c r="L14" i="15" s="1"/>
  <c r="L146" i="15" s="1"/>
  <c r="J14" i="9"/>
  <c r="J15" i="9" s="1"/>
  <c r="J36" i="9"/>
  <c r="D160" i="9" s="1"/>
  <c r="G160" i="9" s="1"/>
  <c r="J160" i="9" s="1"/>
  <c r="F34" i="12"/>
  <c r="F165" i="12"/>
  <c r="H33" i="10"/>
  <c r="J251" i="15"/>
  <c r="J253" i="15" s="1"/>
  <c r="J61" i="15"/>
  <c r="J133" i="15"/>
  <c r="I46" i="9"/>
  <c r="I103" i="10"/>
  <c r="J222" i="14"/>
  <c r="J224" i="14" s="1"/>
  <c r="K13" i="9"/>
  <c r="L41" i="9"/>
  <c r="K65" i="8"/>
  <c r="L44" i="14"/>
  <c r="L41" i="14"/>
  <c r="K13" i="14"/>
  <c r="K36" i="14" s="1"/>
  <c r="I61" i="11"/>
  <c r="I18" i="6"/>
  <c r="I16" i="6"/>
  <c r="J131" i="15"/>
  <c r="J62" i="15" s="1"/>
  <c r="J135" i="15"/>
  <c r="K17" i="9"/>
  <c r="L44" i="9"/>
  <c r="I74" i="11"/>
  <c r="F34" i="15"/>
  <c r="F165" i="15"/>
  <c r="J136" i="15"/>
  <c r="J75" i="15" s="1"/>
  <c r="J137" i="15"/>
  <c r="J76" i="15" s="1"/>
  <c r="L44" i="6"/>
  <c r="K17" i="6"/>
  <c r="J145" i="11"/>
  <c r="J130" i="11" s="1"/>
  <c r="J15" i="11"/>
  <c r="J36" i="11"/>
  <c r="D190" i="11" s="1"/>
  <c r="G190" i="11" s="1"/>
  <c r="J190" i="11" s="1"/>
  <c r="J17" i="11"/>
  <c r="J147" i="11" s="1"/>
  <c r="K69" i="15"/>
  <c r="H139" i="11"/>
  <c r="H141" i="11" s="1"/>
  <c r="K14" i="11"/>
  <c r="K146" i="11" s="1"/>
  <c r="L43" i="11"/>
  <c r="D189" i="12"/>
  <c r="G189" i="12" s="1"/>
  <c r="I189" i="12" s="1"/>
  <c r="I109" i="12"/>
  <c r="L151" i="12"/>
  <c r="I136" i="12"/>
  <c r="I75" i="12" s="1"/>
  <c r="I132" i="12"/>
  <c r="I63" i="12" s="1"/>
  <c r="I137" i="12"/>
  <c r="I76" i="12" s="1"/>
  <c r="L155" i="12"/>
  <c r="I132" i="13"/>
  <c r="I63" i="13" s="1"/>
  <c r="I137" i="13"/>
  <c r="I76" i="13" s="1"/>
  <c r="I136" i="13"/>
  <c r="I75" i="13" s="1"/>
  <c r="I74" i="15"/>
  <c r="I77" i="15" s="1"/>
  <c r="I84" i="15" s="1"/>
  <c r="I138" i="15"/>
  <c r="K238" i="15"/>
  <c r="J79" i="15"/>
  <c r="J101" i="10"/>
  <c r="J62" i="10" s="1"/>
  <c r="J105" i="10"/>
  <c r="J106" i="10"/>
  <c r="J75" i="10" s="1"/>
  <c r="H74" i="14"/>
  <c r="H77" i="14" s="1"/>
  <c r="H84" i="14" s="1"/>
  <c r="H138" i="14"/>
  <c r="F34" i="9"/>
  <c r="F135" i="9"/>
  <c r="K188" i="15"/>
  <c r="J216" i="14"/>
  <c r="J218" i="14" s="1"/>
  <c r="H19" i="9"/>
  <c r="I46" i="13"/>
  <c r="I61" i="12"/>
  <c r="H19" i="11"/>
  <c r="I46" i="14"/>
  <c r="I65" i="9"/>
  <c r="I135" i="13"/>
  <c r="I131" i="13"/>
  <c r="I62" i="13" s="1"/>
  <c r="L21" i="9"/>
  <c r="L69" i="9" s="1"/>
  <c r="J145" i="13"/>
  <c r="J130" i="13" s="1"/>
  <c r="J36" i="13"/>
  <c r="J17" i="13"/>
  <c r="J147" i="13" s="1"/>
  <c r="J14" i="13"/>
  <c r="J146" i="13" s="1"/>
  <c r="K36" i="8"/>
  <c r="D123" i="8" s="1"/>
  <c r="G123" i="8" s="1"/>
  <c r="K123" i="8" s="1"/>
  <c r="K14" i="10"/>
  <c r="K116" i="10" s="1"/>
  <c r="L43" i="10"/>
  <c r="L14" i="10" s="1"/>
  <c r="L116" i="10" s="1"/>
  <c r="K106" i="10"/>
  <c r="K75" i="10" s="1"/>
  <c r="L124" i="10"/>
  <c r="L21" i="8"/>
  <c r="L69" i="8" s="1"/>
  <c r="I194" i="15"/>
  <c r="I20" i="15" s="1"/>
  <c r="I101" i="15" s="1"/>
  <c r="I138" i="12"/>
  <c r="I74" i="12"/>
  <c r="I77" i="12" s="1"/>
  <c r="I84" i="12" s="1"/>
  <c r="F34" i="13"/>
  <c r="F165" i="13"/>
  <c r="I18" i="12"/>
  <c r="I16" i="12"/>
  <c r="L154" i="11"/>
  <c r="J61" i="10"/>
  <c r="F34" i="14"/>
  <c r="F165" i="14"/>
  <c r="K120" i="8"/>
  <c r="L120" i="8" s="1"/>
  <c r="I158" i="9"/>
  <c r="I164" i="9" s="1"/>
  <c r="I20" i="9" s="1"/>
  <c r="H164" i="9"/>
  <c r="H20" i="9" s="1"/>
  <c r="H66" i="9" s="1"/>
  <c r="I66" i="9" s="1"/>
  <c r="I109" i="13"/>
  <c r="D189" i="13"/>
  <c r="G189" i="13" s="1"/>
  <c r="I189" i="13" s="1"/>
  <c r="L41" i="13"/>
  <c r="K13" i="13"/>
  <c r="J107" i="10"/>
  <c r="J76" i="10" s="1"/>
  <c r="H133" i="12"/>
  <c r="L154" i="13"/>
  <c r="L235" i="15"/>
  <c r="L78" i="15"/>
  <c r="H133" i="14"/>
  <c r="L69" i="14"/>
  <c r="G34" i="14"/>
  <c r="G165" i="14"/>
  <c r="L158" i="10"/>
  <c r="J16" i="8"/>
  <c r="J18" i="8"/>
  <c r="J15" i="10"/>
  <c r="K65" i="10"/>
  <c r="J17" i="9"/>
  <c r="I61" i="13"/>
  <c r="H77" i="11"/>
  <c r="H84" i="11" s="1"/>
  <c r="L125" i="10"/>
  <c r="L41" i="6"/>
  <c r="K13" i="6"/>
  <c r="I136" i="11"/>
  <c r="I75" i="11" s="1"/>
  <c r="I132" i="11"/>
  <c r="I63" i="11" s="1"/>
  <c r="I137" i="11"/>
  <c r="I76" i="11" s="1"/>
  <c r="L212" i="14"/>
  <c r="L78" i="14"/>
  <c r="L14" i="11" l="1"/>
  <c r="L146" i="11" s="1"/>
  <c r="L15" i="15"/>
  <c r="L17" i="11"/>
  <c r="L147" i="11" s="1"/>
  <c r="L137" i="11" s="1"/>
  <c r="L76" i="11" s="1"/>
  <c r="L13" i="7"/>
  <c r="L14" i="7" s="1"/>
  <c r="K15" i="15"/>
  <c r="K18" i="15" s="1"/>
  <c r="K107" i="10"/>
  <c r="K76" i="10" s="1"/>
  <c r="H139" i="12"/>
  <c r="H141" i="12" s="1"/>
  <c r="H104" i="12" s="1"/>
  <c r="L188" i="12"/>
  <c r="L107" i="10"/>
  <c r="L76" i="10" s="1"/>
  <c r="J64" i="10"/>
  <c r="L36" i="8"/>
  <c r="D124" i="8" s="1"/>
  <c r="G124" i="8" s="1"/>
  <c r="L124" i="8" s="1"/>
  <c r="I139" i="15"/>
  <c r="I141" i="15" s="1"/>
  <c r="I104" i="15" s="1"/>
  <c r="L17" i="7"/>
  <c r="H34" i="8"/>
  <c r="H86" i="8"/>
  <c r="J16" i="6"/>
  <c r="J18" i="6"/>
  <c r="J16" i="7"/>
  <c r="J18" i="7"/>
  <c r="D191" i="14"/>
  <c r="G191" i="14" s="1"/>
  <c r="K191" i="14" s="1"/>
  <c r="K109" i="14"/>
  <c r="K221" i="14"/>
  <c r="J80" i="14"/>
  <c r="J16" i="9"/>
  <c r="J18" i="9"/>
  <c r="K81" i="14"/>
  <c r="L227" i="14"/>
  <c r="J79" i="14"/>
  <c r="K215" i="14"/>
  <c r="J80" i="15"/>
  <c r="K244" i="15"/>
  <c r="L65" i="10"/>
  <c r="J61" i="11"/>
  <c r="J135" i="14"/>
  <c r="J131" i="14"/>
  <c r="J62" i="14" s="1"/>
  <c r="L105" i="10"/>
  <c r="L101" i="10"/>
  <c r="L62" i="10" s="1"/>
  <c r="J61" i="14"/>
  <c r="H101" i="12"/>
  <c r="H66" i="12"/>
  <c r="K105" i="10"/>
  <c r="K101" i="10"/>
  <c r="K62" i="10" s="1"/>
  <c r="I74" i="14"/>
  <c r="I77" i="14" s="1"/>
  <c r="I84" i="14" s="1"/>
  <c r="I138" i="14"/>
  <c r="H67" i="9"/>
  <c r="H70" i="9" s="1"/>
  <c r="I22" i="15"/>
  <c r="I31" i="15" s="1"/>
  <c r="I19" i="15"/>
  <c r="J65" i="14"/>
  <c r="K135" i="12"/>
  <c r="K131" i="12"/>
  <c r="K62" i="12" s="1"/>
  <c r="J158" i="9"/>
  <c r="J65" i="9"/>
  <c r="I67" i="9"/>
  <c r="I70" i="9" s="1"/>
  <c r="K131" i="11"/>
  <c r="K62" i="11" s="1"/>
  <c r="K135" i="11"/>
  <c r="K145" i="12"/>
  <c r="K130" i="12" s="1"/>
  <c r="K15" i="12"/>
  <c r="K36" i="12"/>
  <c r="K17" i="12"/>
  <c r="K147" i="12" s="1"/>
  <c r="J46" i="12"/>
  <c r="H66" i="14"/>
  <c r="H101" i="14"/>
  <c r="K109" i="15"/>
  <c r="D191" i="15"/>
  <c r="G191" i="15" s="1"/>
  <c r="K191" i="15" s="1"/>
  <c r="L14" i="12"/>
  <c r="L146" i="12" s="1"/>
  <c r="J46" i="7"/>
  <c r="I133" i="13"/>
  <c r="H22" i="9"/>
  <c r="H31" i="9" s="1"/>
  <c r="J108" i="10"/>
  <c r="J74" i="10"/>
  <c r="J77" i="10" s="1"/>
  <c r="J84" i="10" s="1"/>
  <c r="I64" i="11"/>
  <c r="I109" i="10"/>
  <c r="I111" i="10" s="1"/>
  <c r="K137" i="15"/>
  <c r="K76" i="15" s="1"/>
  <c r="K136" i="15"/>
  <c r="K75" i="15" s="1"/>
  <c r="J65" i="13"/>
  <c r="L13" i="12"/>
  <c r="L136" i="15"/>
  <c r="L75" i="15" s="1"/>
  <c r="L132" i="15"/>
  <c r="L63" i="15" s="1"/>
  <c r="K16" i="8"/>
  <c r="K18" i="8"/>
  <c r="K14" i="7"/>
  <c r="K15" i="7" s="1"/>
  <c r="K61" i="15"/>
  <c r="J18" i="10"/>
  <c r="J16" i="10"/>
  <c r="K65" i="15"/>
  <c r="K188" i="13"/>
  <c r="J46" i="11"/>
  <c r="J65" i="11"/>
  <c r="I74" i="13"/>
  <c r="I77" i="13" s="1"/>
  <c r="I84" i="13" s="1"/>
  <c r="I138" i="13"/>
  <c r="K14" i="6"/>
  <c r="K15" i="6" s="1"/>
  <c r="L43" i="6"/>
  <c r="K131" i="14"/>
  <c r="K62" i="14" s="1"/>
  <c r="K135" i="14"/>
  <c r="I19" i="12"/>
  <c r="I133" i="11"/>
  <c r="J109" i="14"/>
  <c r="D190" i="14"/>
  <c r="G190" i="14" s="1"/>
  <c r="J190" i="14" s="1"/>
  <c r="I133" i="14"/>
  <c r="I139" i="14" s="1"/>
  <c r="I141" i="14" s="1"/>
  <c r="I104" i="14" s="1"/>
  <c r="L15" i="7"/>
  <c r="J135" i="13"/>
  <c r="J131" i="13"/>
  <c r="J62" i="13" s="1"/>
  <c r="L69" i="15"/>
  <c r="I66" i="11"/>
  <c r="I67" i="11" s="1"/>
  <c r="J188" i="14"/>
  <c r="J65" i="12"/>
  <c r="L61" i="10"/>
  <c r="L13" i="13"/>
  <c r="J137" i="13"/>
  <c r="J76" i="13" s="1"/>
  <c r="J132" i="13"/>
  <c r="J63" i="13" s="1"/>
  <c r="J136" i="13"/>
  <c r="J75" i="13" s="1"/>
  <c r="K239" i="15"/>
  <c r="K241" i="15" s="1"/>
  <c r="J136" i="11"/>
  <c r="J75" i="11" s="1"/>
  <c r="J137" i="11"/>
  <c r="J76" i="11" s="1"/>
  <c r="J132" i="11"/>
  <c r="J63" i="11" s="1"/>
  <c r="J74" i="15"/>
  <c r="J77" i="15" s="1"/>
  <c r="J138" i="15"/>
  <c r="L13" i="14"/>
  <c r="L14" i="14" s="1"/>
  <c r="L146" i="14" s="1"/>
  <c r="L135" i="15"/>
  <c r="L131" i="15"/>
  <c r="L62" i="15" s="1"/>
  <c r="J109" i="12"/>
  <c r="D190" i="12"/>
  <c r="G190" i="12" s="1"/>
  <c r="J190" i="12" s="1"/>
  <c r="I32" i="8"/>
  <c r="I33" i="8" s="1"/>
  <c r="I34" i="8" s="1"/>
  <c r="J46" i="8"/>
  <c r="J46" i="6"/>
  <c r="I19" i="13"/>
  <c r="J188" i="11"/>
  <c r="L69" i="12"/>
  <c r="K61" i="10"/>
  <c r="K64" i="10" s="1"/>
  <c r="L15" i="10"/>
  <c r="I22" i="7"/>
  <c r="I31" i="7" s="1"/>
  <c r="I19" i="7"/>
  <c r="L13" i="6"/>
  <c r="L17" i="6" s="1"/>
  <c r="D190" i="13"/>
  <c r="G190" i="13" s="1"/>
  <c r="J190" i="13" s="1"/>
  <c r="J109" i="13"/>
  <c r="H22" i="11"/>
  <c r="H31" i="11" s="1"/>
  <c r="I138" i="11"/>
  <c r="L13" i="9"/>
  <c r="I32" i="9"/>
  <c r="J46" i="9"/>
  <c r="K131" i="15"/>
  <c r="K62" i="15" s="1"/>
  <c r="K135" i="15"/>
  <c r="J18" i="12"/>
  <c r="J16" i="12"/>
  <c r="L21" i="15"/>
  <c r="L102" i="15" s="1"/>
  <c r="H33" i="15"/>
  <c r="H66" i="13"/>
  <c r="H101" i="13"/>
  <c r="K15" i="10"/>
  <c r="K15" i="11"/>
  <c r="K145" i="11"/>
  <c r="K130" i="11" s="1"/>
  <c r="K36" i="11"/>
  <c r="D191" i="11" s="1"/>
  <c r="G191" i="11" s="1"/>
  <c r="K191" i="11" s="1"/>
  <c r="K17" i="11"/>
  <c r="K147" i="11" s="1"/>
  <c r="J74" i="11"/>
  <c r="J61" i="13"/>
  <c r="I19" i="6"/>
  <c r="I22" i="6"/>
  <c r="I31" i="6" s="1"/>
  <c r="I32" i="6" s="1"/>
  <c r="H86" i="10"/>
  <c r="H34" i="10"/>
  <c r="J15" i="14"/>
  <c r="I16" i="14"/>
  <c r="I18" i="14"/>
  <c r="L61" i="15"/>
  <c r="H22" i="12"/>
  <c r="H31" i="12" s="1"/>
  <c r="I32" i="10"/>
  <c r="J46" i="10"/>
  <c r="J19" i="8"/>
  <c r="J139" i="15"/>
  <c r="L18" i="15"/>
  <c r="L16" i="15"/>
  <c r="I32" i="15"/>
  <c r="J46" i="15"/>
  <c r="J18" i="15"/>
  <c r="J16" i="15"/>
  <c r="H22" i="13"/>
  <c r="H31" i="13" s="1"/>
  <c r="H19" i="13"/>
  <c r="J74" i="12"/>
  <c r="I33" i="10"/>
  <c r="I34" i="10" s="1"/>
  <c r="J46" i="13"/>
  <c r="L131" i="11"/>
  <c r="L62" i="11" s="1"/>
  <c r="L135" i="11"/>
  <c r="I194" i="12"/>
  <c r="I20" i="12" s="1"/>
  <c r="I101" i="12" s="1"/>
  <c r="H32" i="7"/>
  <c r="H33" i="7" s="1"/>
  <c r="H34" i="7" s="1"/>
  <c r="H139" i="14"/>
  <c r="H141" i="14" s="1"/>
  <c r="H104" i="14" s="1"/>
  <c r="H33" i="14"/>
  <c r="I22" i="11"/>
  <c r="I31" i="11" s="1"/>
  <c r="I32" i="11" s="1"/>
  <c r="I19" i="11"/>
  <c r="I66" i="15"/>
  <c r="H67" i="15"/>
  <c r="L16" i="8"/>
  <c r="L18" i="8"/>
  <c r="K145" i="13"/>
  <c r="K130" i="13" s="1"/>
  <c r="K14" i="13"/>
  <c r="K146" i="13" s="1"/>
  <c r="K17" i="13"/>
  <c r="K147" i="13" s="1"/>
  <c r="K36" i="13"/>
  <c r="J46" i="14"/>
  <c r="K15" i="14"/>
  <c r="K145" i="14"/>
  <c r="K130" i="14" s="1"/>
  <c r="J137" i="12"/>
  <c r="J76" i="12" s="1"/>
  <c r="J132" i="12"/>
  <c r="J63" i="12" s="1"/>
  <c r="J136" i="12"/>
  <c r="J75" i="12" s="1"/>
  <c r="H32" i="6"/>
  <c r="H33" i="6" s="1"/>
  <c r="H34" i="6" s="1"/>
  <c r="J103" i="10"/>
  <c r="J109" i="10" s="1"/>
  <c r="J111" i="10" s="1"/>
  <c r="L106" i="10"/>
  <c r="L75" i="10" s="1"/>
  <c r="J15" i="13"/>
  <c r="I133" i="12"/>
  <c r="I139" i="12" s="1"/>
  <c r="J16" i="11"/>
  <c r="J18" i="11"/>
  <c r="I77" i="11"/>
  <c r="I84" i="11" s="1"/>
  <c r="L17" i="9"/>
  <c r="K17" i="14"/>
  <c r="K147" i="14" s="1"/>
  <c r="K36" i="9"/>
  <c r="D161" i="9" s="1"/>
  <c r="G161" i="9" s="1"/>
  <c r="K161" i="9" s="1"/>
  <c r="K14" i="9"/>
  <c r="K15" i="9" s="1"/>
  <c r="J81" i="15"/>
  <c r="J82" i="15" s="1"/>
  <c r="K250" i="15"/>
  <c r="J61" i="12"/>
  <c r="I194" i="13"/>
  <c r="I20" i="13" s="1"/>
  <c r="I101" i="13" s="1"/>
  <c r="L132" i="11"/>
  <c r="L63" i="11" s="1"/>
  <c r="L145" i="11"/>
  <c r="L130" i="11" s="1"/>
  <c r="L15" i="11"/>
  <c r="I22" i="9"/>
  <c r="I31" i="9" s="1"/>
  <c r="I19" i="9"/>
  <c r="L188" i="15"/>
  <c r="K133" i="15" l="1"/>
  <c r="K139" i="15" s="1"/>
  <c r="K141" i="15" s="1"/>
  <c r="K104" i="15" s="1"/>
  <c r="K15" i="13"/>
  <c r="I22" i="12"/>
  <c r="I31" i="12" s="1"/>
  <c r="L136" i="11"/>
  <c r="L75" i="11" s="1"/>
  <c r="J77" i="12"/>
  <c r="J84" i="12" s="1"/>
  <c r="J133" i="13"/>
  <c r="J133" i="12"/>
  <c r="J139" i="12" s="1"/>
  <c r="J141" i="12" s="1"/>
  <c r="J104" i="12" s="1"/>
  <c r="I141" i="12"/>
  <c r="I104" i="12" s="1"/>
  <c r="J77" i="11"/>
  <c r="J84" i="11" s="1"/>
  <c r="J141" i="15"/>
  <c r="J104" i="15" s="1"/>
  <c r="J138" i="12"/>
  <c r="L65" i="8"/>
  <c r="I139" i="13"/>
  <c r="I141" i="13" s="1"/>
  <c r="I104" i="13" s="1"/>
  <c r="J82" i="14"/>
  <c r="L64" i="10"/>
  <c r="K16" i="15"/>
  <c r="L14" i="6"/>
  <c r="L15" i="6" s="1"/>
  <c r="K79" i="15"/>
  <c r="L238" i="15"/>
  <c r="K16" i="9"/>
  <c r="K18" i="9"/>
  <c r="K61" i="14"/>
  <c r="K133" i="14"/>
  <c r="L61" i="11"/>
  <c r="L64" i="11" s="1"/>
  <c r="L133" i="11"/>
  <c r="I33" i="7"/>
  <c r="I34" i="7" s="1"/>
  <c r="K65" i="12"/>
  <c r="L135" i="12"/>
  <c r="L131" i="12"/>
  <c r="L62" i="12" s="1"/>
  <c r="K251" i="15"/>
  <c r="K253" i="15" s="1"/>
  <c r="H32" i="12"/>
  <c r="H33" i="12" s="1"/>
  <c r="K61" i="12"/>
  <c r="K65" i="9"/>
  <c r="D191" i="13"/>
  <c r="G191" i="13" s="1"/>
  <c r="K191" i="13" s="1"/>
  <c r="K109" i="13"/>
  <c r="I67" i="15"/>
  <c r="L14" i="9"/>
  <c r="L15" i="9" s="1"/>
  <c r="L36" i="9"/>
  <c r="D162" i="9" s="1"/>
  <c r="G162" i="9" s="1"/>
  <c r="L162" i="9" s="1"/>
  <c r="L145" i="14"/>
  <c r="L130" i="14" s="1"/>
  <c r="L15" i="14"/>
  <c r="K188" i="14"/>
  <c r="K222" i="14"/>
  <c r="K224" i="14" s="1"/>
  <c r="J16" i="13"/>
  <c r="J18" i="13"/>
  <c r="K132" i="13"/>
  <c r="K63" i="13" s="1"/>
  <c r="K137" i="13"/>
  <c r="K76" i="13" s="1"/>
  <c r="K136" i="13"/>
  <c r="K75" i="13" s="1"/>
  <c r="K46" i="13"/>
  <c r="J19" i="15"/>
  <c r="L133" i="15"/>
  <c r="I86" i="10"/>
  <c r="H87" i="10"/>
  <c r="H89" i="10" s="1"/>
  <c r="K61" i="11"/>
  <c r="L17" i="14"/>
  <c r="L147" i="14" s="1"/>
  <c r="K103" i="10"/>
  <c r="K46" i="6"/>
  <c r="J32" i="6"/>
  <c r="K65" i="13"/>
  <c r="H33" i="9"/>
  <c r="H32" i="9"/>
  <c r="K158" i="9"/>
  <c r="K74" i="10"/>
  <c r="K77" i="10" s="1"/>
  <c r="K84" i="10" s="1"/>
  <c r="K108" i="10"/>
  <c r="I33" i="11"/>
  <c r="I34" i="11" s="1"/>
  <c r="K18" i="14"/>
  <c r="K16" i="14"/>
  <c r="H100" i="14"/>
  <c r="H103" i="14" s="1"/>
  <c r="H105" i="14" s="1"/>
  <c r="H119" i="14" s="1"/>
  <c r="H60" i="14" s="1"/>
  <c r="H34" i="14"/>
  <c r="H86" i="14"/>
  <c r="K46" i="9"/>
  <c r="K65" i="11"/>
  <c r="J19" i="10"/>
  <c r="K18" i="12"/>
  <c r="K16" i="12"/>
  <c r="J64" i="11"/>
  <c r="L74" i="11"/>
  <c r="L77" i="11" s="1"/>
  <c r="L84" i="11" s="1"/>
  <c r="L138" i="11"/>
  <c r="H32" i="13"/>
  <c r="H33" i="13" s="1"/>
  <c r="K132" i="11"/>
  <c r="K63" i="11" s="1"/>
  <c r="K136" i="11"/>
  <c r="K75" i="11" s="1"/>
  <c r="K137" i="11"/>
  <c r="K76" i="11" s="1"/>
  <c r="H32" i="11"/>
  <c r="H33" i="11" s="1"/>
  <c r="L16" i="10"/>
  <c r="L18" i="10"/>
  <c r="L15" i="12"/>
  <c r="L145" i="12"/>
  <c r="L130" i="12" s="1"/>
  <c r="L17" i="12"/>
  <c r="L147" i="12" s="1"/>
  <c r="L36" i="12"/>
  <c r="H100" i="15"/>
  <c r="H103" i="15" s="1"/>
  <c r="H105" i="15" s="1"/>
  <c r="H119" i="15" s="1"/>
  <c r="H60" i="15" s="1"/>
  <c r="H86" i="15"/>
  <c r="H34" i="15"/>
  <c r="K46" i="11"/>
  <c r="K135" i="13"/>
  <c r="K131" i="13"/>
  <c r="K46" i="15"/>
  <c r="I33" i="6"/>
  <c r="I34" i="6" s="1"/>
  <c r="K18" i="11"/>
  <c r="K16" i="11"/>
  <c r="K46" i="8"/>
  <c r="J84" i="15"/>
  <c r="I139" i="11"/>
  <c r="I141" i="11" s="1"/>
  <c r="L188" i="13"/>
  <c r="K18" i="7"/>
  <c r="K16" i="7"/>
  <c r="I66" i="14"/>
  <c r="H67" i="14"/>
  <c r="L74" i="10"/>
  <c r="L77" i="10" s="1"/>
  <c r="L84" i="10" s="1"/>
  <c r="L108" i="10"/>
  <c r="I66" i="12"/>
  <c r="H67" i="12"/>
  <c r="K245" i="15"/>
  <c r="K247" i="15" s="1"/>
  <c r="J22" i="7"/>
  <c r="J31" i="7" s="1"/>
  <c r="J19" i="7"/>
  <c r="K19" i="8"/>
  <c r="K46" i="12"/>
  <c r="K138" i="12"/>
  <c r="K74" i="12"/>
  <c r="K16" i="13"/>
  <c r="K18" i="13"/>
  <c r="K16" i="10"/>
  <c r="K18" i="10"/>
  <c r="J74" i="13"/>
  <c r="J77" i="13" s="1"/>
  <c r="J84" i="13" s="1"/>
  <c r="J138" i="13"/>
  <c r="J139" i="13" s="1"/>
  <c r="J141" i="13" s="1"/>
  <c r="J104" i="13" s="1"/>
  <c r="L65" i="15"/>
  <c r="K61" i="13"/>
  <c r="L131" i="14"/>
  <c r="L62" i="14" s="1"/>
  <c r="L135" i="14"/>
  <c r="L19" i="15"/>
  <c r="I66" i="13"/>
  <c r="H67" i="13"/>
  <c r="L145" i="13"/>
  <c r="L130" i="13" s="1"/>
  <c r="L14" i="13"/>
  <c r="L146" i="13" s="1"/>
  <c r="L17" i="13"/>
  <c r="L147" i="13" s="1"/>
  <c r="L36" i="13"/>
  <c r="I32" i="12"/>
  <c r="I33" i="12" s="1"/>
  <c r="K218" i="14"/>
  <c r="K216" i="14"/>
  <c r="J19" i="6"/>
  <c r="J22" i="6"/>
  <c r="J31" i="6" s="1"/>
  <c r="K136" i="14"/>
  <c r="K75" i="14" s="1"/>
  <c r="K132" i="14"/>
  <c r="K63" i="14" s="1"/>
  <c r="K137" i="14"/>
  <c r="K76" i="14" s="1"/>
  <c r="I19" i="14"/>
  <c r="I22" i="14"/>
  <c r="I31" i="14" s="1"/>
  <c r="K65" i="14"/>
  <c r="J138" i="14"/>
  <c r="J74" i="14"/>
  <c r="J77" i="14" s="1"/>
  <c r="J84" i="14" s="1"/>
  <c r="K46" i="14"/>
  <c r="J19" i="12"/>
  <c r="L74" i="15"/>
  <c r="L77" i="15" s="1"/>
  <c r="L138" i="15"/>
  <c r="K18" i="6"/>
  <c r="K16" i="6"/>
  <c r="K19" i="15"/>
  <c r="J133" i="14"/>
  <c r="L228" i="14"/>
  <c r="L230" i="14" s="1"/>
  <c r="L81" i="14" s="1"/>
  <c r="I86" i="8"/>
  <c r="H87" i="8"/>
  <c r="H89" i="8" s="1"/>
  <c r="I33" i="9"/>
  <c r="I34" i="9" s="1"/>
  <c r="L19" i="8"/>
  <c r="J16" i="14"/>
  <c r="J18" i="14"/>
  <c r="K188" i="11"/>
  <c r="K74" i="15"/>
  <c r="K77" i="15" s="1"/>
  <c r="K138" i="15"/>
  <c r="I22" i="13"/>
  <c r="I31" i="13" s="1"/>
  <c r="L36" i="14"/>
  <c r="K138" i="14"/>
  <c r="K74" i="14"/>
  <c r="K77" i="14" s="1"/>
  <c r="I70" i="11"/>
  <c r="J32" i="7"/>
  <c r="K46" i="7"/>
  <c r="K132" i="12"/>
  <c r="K63" i="12" s="1"/>
  <c r="K137" i="12"/>
  <c r="K76" i="12" s="1"/>
  <c r="K136" i="12"/>
  <c r="K75" i="12" s="1"/>
  <c r="K74" i="11"/>
  <c r="I33" i="15"/>
  <c r="L18" i="11"/>
  <c r="L16" i="11"/>
  <c r="J19" i="11"/>
  <c r="K46" i="10"/>
  <c r="J138" i="11"/>
  <c r="L103" i="10"/>
  <c r="L18" i="7"/>
  <c r="L16" i="7"/>
  <c r="I32" i="7"/>
  <c r="K109" i="12"/>
  <c r="D191" i="12"/>
  <c r="G191" i="12" s="1"/>
  <c r="K191" i="12" s="1"/>
  <c r="J133" i="11"/>
  <c r="J19" i="9"/>
  <c r="J139" i="11" l="1"/>
  <c r="J141" i="11" s="1"/>
  <c r="K139" i="14"/>
  <c r="K64" i="11"/>
  <c r="K80" i="14"/>
  <c r="L221" i="14"/>
  <c r="I32" i="13"/>
  <c r="I33" i="13" s="1"/>
  <c r="I34" i="12"/>
  <c r="I100" i="12"/>
  <c r="I103" i="12" s="1"/>
  <c r="I105" i="12" s="1"/>
  <c r="I119" i="12" s="1"/>
  <c r="H100" i="13"/>
  <c r="H103" i="13" s="1"/>
  <c r="H105" i="13" s="1"/>
  <c r="H119" i="13" s="1"/>
  <c r="H60" i="13" s="1"/>
  <c r="H34" i="13"/>
  <c r="H86" i="13"/>
  <c r="H100" i="12"/>
  <c r="H103" i="12" s="1"/>
  <c r="H105" i="12" s="1"/>
  <c r="H119" i="12" s="1"/>
  <c r="H60" i="12" s="1"/>
  <c r="H34" i="12"/>
  <c r="H86" i="12"/>
  <c r="I32" i="14"/>
  <c r="I33" i="14" s="1"/>
  <c r="I86" i="14" s="1"/>
  <c r="K81" i="15"/>
  <c r="L250" i="15"/>
  <c r="H64" i="15"/>
  <c r="H70" i="15" s="1"/>
  <c r="L16" i="9"/>
  <c r="L18" i="9"/>
  <c r="K141" i="14"/>
  <c r="K104" i="14" s="1"/>
  <c r="L19" i="7"/>
  <c r="L22" i="7"/>
  <c r="L31" i="7" s="1"/>
  <c r="L19" i="10"/>
  <c r="L137" i="13"/>
  <c r="L76" i="13" s="1"/>
  <c r="L132" i="13"/>
  <c r="L63" i="13" s="1"/>
  <c r="L136" i="13"/>
  <c r="L75" i="13" s="1"/>
  <c r="L74" i="12"/>
  <c r="K19" i="6"/>
  <c r="K22" i="6"/>
  <c r="K31" i="6" s="1"/>
  <c r="L131" i="13"/>
  <c r="L62" i="13" s="1"/>
  <c r="L135" i="13"/>
  <c r="K62" i="13"/>
  <c r="K133" i="13"/>
  <c r="H34" i="11"/>
  <c r="H86" i="11"/>
  <c r="H64" i="14"/>
  <c r="H70" i="14" s="1"/>
  <c r="I87" i="10"/>
  <c r="I89" i="10" s="1"/>
  <c r="L46" i="14"/>
  <c r="L61" i="13"/>
  <c r="K138" i="13"/>
  <c r="K74" i="13"/>
  <c r="K77" i="13" s="1"/>
  <c r="K84" i="13" s="1"/>
  <c r="L139" i="15"/>
  <c r="L141" i="15" s="1"/>
  <c r="L104" i="15" s="1"/>
  <c r="L15" i="13"/>
  <c r="I67" i="12"/>
  <c r="K19" i="14"/>
  <c r="L46" i="12"/>
  <c r="L65" i="13"/>
  <c r="K133" i="12"/>
  <c r="K139" i="12" s="1"/>
  <c r="K141" i="12" s="1"/>
  <c r="K104" i="12" s="1"/>
  <c r="L215" i="14"/>
  <c r="K79" i="14"/>
  <c r="K82" i="14" s="1"/>
  <c r="K84" i="14" s="1"/>
  <c r="L46" i="7"/>
  <c r="L32" i="7" s="1"/>
  <c r="K32" i="7"/>
  <c r="L109" i="10"/>
  <c r="L16" i="6"/>
  <c r="L18" i="6"/>
  <c r="L46" i="6"/>
  <c r="K32" i="6"/>
  <c r="I87" i="8"/>
  <c r="I89" i="8" s="1"/>
  <c r="L46" i="8"/>
  <c r="K109" i="10"/>
  <c r="K111" i="10" s="1"/>
  <c r="L46" i="13"/>
  <c r="I67" i="13"/>
  <c r="L46" i="9"/>
  <c r="L19" i="11"/>
  <c r="K19" i="13"/>
  <c r="I67" i="14"/>
  <c r="D192" i="12"/>
  <c r="G192" i="12" s="1"/>
  <c r="L192" i="12" s="1"/>
  <c r="L109" i="12"/>
  <c r="K19" i="9"/>
  <c r="I34" i="15"/>
  <c r="I100" i="15"/>
  <c r="I103" i="15" s="1"/>
  <c r="I105" i="15" s="1"/>
  <c r="I119" i="15" s="1"/>
  <c r="I60" i="15" s="1"/>
  <c r="J19" i="14"/>
  <c r="L65" i="14"/>
  <c r="J33" i="7"/>
  <c r="J34" i="7" s="1"/>
  <c r="K19" i="11"/>
  <c r="L137" i="12"/>
  <c r="L76" i="12" s="1"/>
  <c r="L136" i="12"/>
  <c r="L75" i="12" s="1"/>
  <c r="L132" i="12"/>
  <c r="L63" i="12" s="1"/>
  <c r="K19" i="12"/>
  <c r="L158" i="9"/>
  <c r="L136" i="14"/>
  <c r="L75" i="14" s="1"/>
  <c r="L137" i="14"/>
  <c r="L76" i="14" s="1"/>
  <c r="L132" i="14"/>
  <c r="L63" i="14" s="1"/>
  <c r="L188" i="14"/>
  <c r="K138" i="11"/>
  <c r="L109" i="14"/>
  <c r="D192" i="14"/>
  <c r="G192" i="14" s="1"/>
  <c r="L192" i="14" s="1"/>
  <c r="L61" i="12"/>
  <c r="K133" i="11"/>
  <c r="L239" i="15"/>
  <c r="L241" i="15" s="1"/>
  <c r="L79" i="15" s="1"/>
  <c r="K19" i="10"/>
  <c r="L46" i="11"/>
  <c r="L139" i="11"/>
  <c r="L46" i="10"/>
  <c r="K77" i="11"/>
  <c r="K84" i="11" s="1"/>
  <c r="J139" i="14"/>
  <c r="J141" i="14" s="1"/>
  <c r="J104" i="14" s="1"/>
  <c r="L244" i="15"/>
  <c r="K80" i="15"/>
  <c r="K82" i="15" s="1"/>
  <c r="K84" i="15" s="1"/>
  <c r="L46" i="15"/>
  <c r="L16" i="12"/>
  <c r="L18" i="12"/>
  <c r="H87" i="14"/>
  <c r="L18" i="14"/>
  <c r="L16" i="14"/>
  <c r="L65" i="12"/>
  <c r="J33" i="6"/>
  <c r="J34" i="6" s="1"/>
  <c r="D192" i="13"/>
  <c r="G192" i="13" s="1"/>
  <c r="L192" i="13" s="1"/>
  <c r="L109" i="13"/>
  <c r="L138" i="14"/>
  <c r="L74" i="14"/>
  <c r="K77" i="12"/>
  <c r="K84" i="12" s="1"/>
  <c r="K22" i="7"/>
  <c r="K31" i="7" s="1"/>
  <c r="K19" i="7"/>
  <c r="I86" i="15"/>
  <c r="H87" i="15"/>
  <c r="H89" i="15" s="1"/>
  <c r="L65" i="11"/>
  <c r="H34" i="9"/>
  <c r="H86" i="9"/>
  <c r="J19" i="13"/>
  <c r="L61" i="14"/>
  <c r="L65" i="9"/>
  <c r="L188" i="11"/>
  <c r="L133" i="13" l="1"/>
  <c r="L111" i="10"/>
  <c r="I64" i="15"/>
  <c r="I70" i="15" s="1"/>
  <c r="I34" i="13"/>
  <c r="I100" i="13"/>
  <c r="I103" i="13" s="1"/>
  <c r="I105" i="13" s="1"/>
  <c r="I119" i="13" s="1"/>
  <c r="L19" i="12"/>
  <c r="I60" i="12"/>
  <c r="H64" i="12"/>
  <c r="H70" i="12" s="1"/>
  <c r="I86" i="13"/>
  <c r="H87" i="13"/>
  <c r="L19" i="6"/>
  <c r="L22" i="6"/>
  <c r="L31" i="6" s="1"/>
  <c r="K139" i="13"/>
  <c r="K141" i="13" s="1"/>
  <c r="K104" i="13" s="1"/>
  <c r="I60" i="13"/>
  <c r="H64" i="13"/>
  <c r="H70" i="13" s="1"/>
  <c r="L251" i="15"/>
  <c r="L253" i="15" s="1"/>
  <c r="L81" i="15" s="1"/>
  <c r="I87" i="15"/>
  <c r="K33" i="6"/>
  <c r="K34" i="6" s="1"/>
  <c r="K33" i="7"/>
  <c r="K34" i="7" s="1"/>
  <c r="H89" i="14"/>
  <c r="L18" i="13"/>
  <c r="L16" i="13"/>
  <c r="L33" i="7"/>
  <c r="L34" i="7" s="1"/>
  <c r="L245" i="15"/>
  <c r="L247" i="15" s="1"/>
  <c r="L80" i="15" s="1"/>
  <c r="L32" i="6"/>
  <c r="L19" i="14"/>
  <c r="I87" i="14"/>
  <c r="K139" i="11"/>
  <c r="K141" i="11" s="1"/>
  <c r="L77" i="12"/>
  <c r="L84" i="12" s="1"/>
  <c r="I34" i="14"/>
  <c r="I100" i="14"/>
  <c r="I103" i="14" s="1"/>
  <c r="I105" i="14" s="1"/>
  <c r="I119" i="14" s="1"/>
  <c r="I60" i="14" s="1"/>
  <c r="L222" i="14"/>
  <c r="L224" i="14" s="1"/>
  <c r="L80" i="14" s="1"/>
  <c r="I86" i="11"/>
  <c r="H87" i="11"/>
  <c r="H89" i="11" s="1"/>
  <c r="I86" i="9"/>
  <c r="H87" i="9"/>
  <c r="H89" i="9" s="1"/>
  <c r="L19" i="9"/>
  <c r="L216" i="14"/>
  <c r="L218" i="14" s="1"/>
  <c r="L79" i="14" s="1"/>
  <c r="L74" i="13"/>
  <c r="L77" i="13" s="1"/>
  <c r="L84" i="13" s="1"/>
  <c r="L138" i="13"/>
  <c r="L139" i="13" s="1"/>
  <c r="L133" i="14"/>
  <c r="L139" i="14" s="1"/>
  <c r="L141" i="14" s="1"/>
  <c r="L104" i="14" s="1"/>
  <c r="L77" i="14"/>
  <c r="L133" i="12"/>
  <c r="L138" i="12"/>
  <c r="I86" i="12"/>
  <c r="H87" i="12"/>
  <c r="H89" i="12" s="1"/>
  <c r="L82" i="15" l="1"/>
  <c r="L84" i="15" s="1"/>
  <c r="L139" i="12"/>
  <c r="L141" i="12" s="1"/>
  <c r="L104" i="12" s="1"/>
  <c r="L141" i="13"/>
  <c r="L104" i="13" s="1"/>
  <c r="L82" i="14"/>
  <c r="I64" i="14"/>
  <c r="I70" i="14" s="1"/>
  <c r="I64" i="13"/>
  <c r="I70" i="13" s="1"/>
  <c r="I89" i="15"/>
  <c r="I87" i="11"/>
  <c r="I89" i="11" s="1"/>
  <c r="I89" i="14"/>
  <c r="L84" i="14"/>
  <c r="L141" i="11"/>
  <c r="I87" i="12"/>
  <c r="L33" i="6"/>
  <c r="L34" i="6" s="1"/>
  <c r="I64" i="12"/>
  <c r="I70" i="12" s="1"/>
  <c r="L19" i="13"/>
  <c r="I87" i="9"/>
  <c r="I89" i="9" s="1"/>
  <c r="H89" i="13"/>
  <c r="I87" i="13"/>
  <c r="I89" i="13" l="1"/>
  <c r="I89" i="12"/>
  <c r="J20" i="8" l="1"/>
  <c r="K20" i="8"/>
  <c r="L20" i="8"/>
  <c r="J22" i="8"/>
  <c r="K22" i="8"/>
  <c r="L22" i="8"/>
  <c r="J31" i="8"/>
  <c r="K31" i="8"/>
  <c r="L31" i="8"/>
  <c r="J32" i="8"/>
  <c r="K32" i="8"/>
  <c r="L32" i="8"/>
  <c r="J33" i="8"/>
  <c r="K33" i="8"/>
  <c r="L33" i="8"/>
  <c r="J34" i="8"/>
  <c r="K34" i="8"/>
  <c r="L34" i="8"/>
  <c r="J66" i="8"/>
  <c r="K66" i="8"/>
  <c r="L66" i="8"/>
  <c r="J67" i="8"/>
  <c r="K67" i="8"/>
  <c r="L67" i="8"/>
  <c r="J70" i="8"/>
  <c r="K70" i="8"/>
  <c r="L70" i="8"/>
  <c r="J86" i="8"/>
  <c r="K86" i="8"/>
  <c r="L86" i="8"/>
  <c r="J87" i="8"/>
  <c r="K87" i="8"/>
  <c r="L87" i="8"/>
  <c r="J89" i="8"/>
  <c r="K89" i="8"/>
  <c r="L89" i="8"/>
  <c r="J121" i="8"/>
  <c r="K121" i="8"/>
  <c r="L121" i="8"/>
  <c r="K122" i="8"/>
  <c r="L122" i="8"/>
  <c r="L123" i="8"/>
  <c r="J126" i="8"/>
  <c r="K126" i="8"/>
  <c r="L126" i="8"/>
  <c r="J20" i="9"/>
  <c r="K20" i="9"/>
  <c r="L20" i="9"/>
  <c r="J22" i="9"/>
  <c r="K22" i="9"/>
  <c r="L22" i="9"/>
  <c r="J31" i="9"/>
  <c r="K31" i="9"/>
  <c r="L31" i="9"/>
  <c r="J32" i="9"/>
  <c r="K32" i="9"/>
  <c r="L32" i="9"/>
  <c r="J33" i="9"/>
  <c r="K33" i="9"/>
  <c r="L33" i="9"/>
  <c r="J34" i="9"/>
  <c r="K34" i="9"/>
  <c r="L34" i="9"/>
  <c r="J66" i="9"/>
  <c r="K66" i="9"/>
  <c r="L66" i="9"/>
  <c r="J67" i="9"/>
  <c r="K67" i="9"/>
  <c r="L67" i="9"/>
  <c r="J70" i="9"/>
  <c r="K70" i="9"/>
  <c r="L70" i="9"/>
  <c r="J86" i="9"/>
  <c r="K86" i="9"/>
  <c r="L86" i="9"/>
  <c r="J87" i="9"/>
  <c r="K87" i="9"/>
  <c r="L87" i="9"/>
  <c r="J89" i="9"/>
  <c r="K89" i="9"/>
  <c r="L89" i="9"/>
  <c r="J159" i="9"/>
  <c r="K159" i="9"/>
  <c r="L159" i="9"/>
  <c r="K160" i="9"/>
  <c r="L160" i="9"/>
  <c r="L161" i="9"/>
  <c r="J164" i="9"/>
  <c r="K164" i="9"/>
  <c r="L164" i="9"/>
  <c r="J20" i="10"/>
  <c r="K20" i="10"/>
  <c r="L20" i="10"/>
  <c r="J22" i="10"/>
  <c r="K22" i="10"/>
  <c r="L22" i="10"/>
  <c r="J31" i="10"/>
  <c r="K31" i="10"/>
  <c r="L31" i="10"/>
  <c r="J32" i="10"/>
  <c r="K32" i="10"/>
  <c r="L32" i="10"/>
  <c r="J33" i="10"/>
  <c r="K33" i="10"/>
  <c r="L33" i="10"/>
  <c r="J34" i="10"/>
  <c r="K34" i="10"/>
  <c r="L34" i="10"/>
  <c r="J66" i="10"/>
  <c r="K66" i="10"/>
  <c r="L66" i="10"/>
  <c r="J67" i="10"/>
  <c r="K67" i="10"/>
  <c r="L67" i="10"/>
  <c r="J70" i="10"/>
  <c r="K70" i="10"/>
  <c r="L70" i="10"/>
  <c r="J86" i="10"/>
  <c r="K86" i="10"/>
  <c r="L86" i="10"/>
  <c r="J87" i="10"/>
  <c r="K87" i="10"/>
  <c r="L87" i="10"/>
  <c r="J89" i="10"/>
  <c r="K89" i="10"/>
  <c r="L89" i="10"/>
  <c r="J159" i="10"/>
  <c r="K159" i="10"/>
  <c r="L159" i="10"/>
  <c r="K160" i="10"/>
  <c r="L160" i="10"/>
  <c r="L161" i="10"/>
  <c r="J164" i="10"/>
  <c r="K164" i="10"/>
  <c r="L164" i="10"/>
  <c r="J20" i="11"/>
  <c r="K20" i="11"/>
  <c r="L20" i="11"/>
  <c r="J22" i="11"/>
  <c r="K22" i="11"/>
  <c r="L22" i="11"/>
  <c r="J31" i="11"/>
  <c r="K31" i="11"/>
  <c r="L31" i="11"/>
  <c r="J32" i="11"/>
  <c r="K32" i="11"/>
  <c r="L32" i="11"/>
  <c r="J33" i="11"/>
  <c r="K33" i="11"/>
  <c r="L33" i="11"/>
  <c r="J34" i="11"/>
  <c r="K34" i="11"/>
  <c r="L34" i="11"/>
  <c r="J66" i="11"/>
  <c r="K66" i="11"/>
  <c r="L66" i="11"/>
  <c r="J67" i="11"/>
  <c r="K67" i="11"/>
  <c r="L67" i="11"/>
  <c r="J70" i="11"/>
  <c r="K70" i="11"/>
  <c r="L70" i="11"/>
  <c r="J86" i="11"/>
  <c r="K86" i="11"/>
  <c r="L86" i="11"/>
  <c r="J87" i="11"/>
  <c r="K87" i="11"/>
  <c r="L87" i="11"/>
  <c r="J89" i="11"/>
  <c r="K89" i="11"/>
  <c r="L89" i="11"/>
  <c r="J189" i="11"/>
  <c r="K189" i="11"/>
  <c r="L189" i="11"/>
  <c r="K190" i="11"/>
  <c r="L190" i="11"/>
  <c r="L191" i="11"/>
  <c r="J194" i="11"/>
  <c r="K194" i="11"/>
  <c r="L194" i="11"/>
  <c r="J20" i="12"/>
  <c r="K20" i="12"/>
  <c r="L20" i="12"/>
  <c r="J22" i="12"/>
  <c r="K22" i="12"/>
  <c r="L22" i="12"/>
  <c r="J31" i="12"/>
  <c r="K31" i="12"/>
  <c r="L31" i="12"/>
  <c r="J32" i="12"/>
  <c r="K32" i="12"/>
  <c r="L32" i="12"/>
  <c r="J33" i="12"/>
  <c r="K33" i="12"/>
  <c r="L33" i="12"/>
  <c r="J34" i="12"/>
  <c r="K34" i="12"/>
  <c r="L34" i="12"/>
  <c r="J60" i="12"/>
  <c r="K60" i="12"/>
  <c r="L60" i="12"/>
  <c r="J64" i="12"/>
  <c r="K64" i="12"/>
  <c r="L64" i="12"/>
  <c r="J66" i="12"/>
  <c r="K66" i="12"/>
  <c r="L66" i="12"/>
  <c r="J67" i="12"/>
  <c r="K67" i="12"/>
  <c r="L67" i="12"/>
  <c r="J70" i="12"/>
  <c r="K70" i="12"/>
  <c r="L70" i="12"/>
  <c r="J86" i="12"/>
  <c r="K86" i="12"/>
  <c r="L86" i="12"/>
  <c r="J87" i="12"/>
  <c r="K87" i="12"/>
  <c r="L87" i="12"/>
  <c r="J89" i="12"/>
  <c r="K89" i="12"/>
  <c r="L89" i="12"/>
  <c r="J100" i="12"/>
  <c r="K100" i="12"/>
  <c r="L100" i="12"/>
  <c r="J101" i="12"/>
  <c r="K101" i="12"/>
  <c r="L101" i="12"/>
  <c r="J103" i="12"/>
  <c r="K103" i="12"/>
  <c r="L103" i="12"/>
  <c r="J105" i="12"/>
  <c r="K105" i="12"/>
  <c r="L105" i="12"/>
  <c r="J119" i="12"/>
  <c r="K119" i="12"/>
  <c r="L119" i="12"/>
  <c r="J189" i="12"/>
  <c r="K189" i="12"/>
  <c r="L189" i="12"/>
  <c r="K190" i="12"/>
  <c r="L190" i="12"/>
  <c r="L191" i="12"/>
  <c r="J194" i="12"/>
  <c r="K194" i="12"/>
  <c r="L194" i="12"/>
  <c r="J20" i="13"/>
  <c r="K20" i="13"/>
  <c r="L20" i="13"/>
  <c r="J22" i="13"/>
  <c r="K22" i="13"/>
  <c r="L22" i="13"/>
  <c r="J31" i="13"/>
  <c r="K31" i="13"/>
  <c r="L31" i="13"/>
  <c r="J32" i="13"/>
  <c r="K32" i="13"/>
  <c r="L32" i="13"/>
  <c r="J33" i="13"/>
  <c r="K33" i="13"/>
  <c r="L33" i="13"/>
  <c r="J34" i="13"/>
  <c r="K34" i="13"/>
  <c r="L34" i="13"/>
  <c r="J60" i="13"/>
  <c r="K60" i="13"/>
  <c r="L60" i="13"/>
  <c r="J64" i="13"/>
  <c r="K64" i="13"/>
  <c r="L64" i="13"/>
  <c r="J66" i="13"/>
  <c r="K66" i="13"/>
  <c r="L66" i="13"/>
  <c r="J67" i="13"/>
  <c r="K67" i="13"/>
  <c r="L67" i="13"/>
  <c r="J70" i="13"/>
  <c r="K70" i="13"/>
  <c r="L70" i="13"/>
  <c r="J86" i="13"/>
  <c r="K86" i="13"/>
  <c r="L86" i="13"/>
  <c r="J87" i="13"/>
  <c r="K87" i="13"/>
  <c r="L87" i="13"/>
  <c r="J89" i="13"/>
  <c r="K89" i="13"/>
  <c r="L89" i="13"/>
  <c r="J100" i="13"/>
  <c r="K100" i="13"/>
  <c r="L100" i="13"/>
  <c r="J101" i="13"/>
  <c r="K101" i="13"/>
  <c r="L101" i="13"/>
  <c r="J103" i="13"/>
  <c r="K103" i="13"/>
  <c r="L103" i="13"/>
  <c r="J105" i="13"/>
  <c r="K105" i="13"/>
  <c r="L105" i="13"/>
  <c r="J119" i="13"/>
  <c r="K119" i="13"/>
  <c r="L119" i="13"/>
  <c r="J189" i="13"/>
  <c r="K189" i="13"/>
  <c r="L189" i="13"/>
  <c r="K190" i="13"/>
  <c r="L190" i="13"/>
  <c r="L191" i="13"/>
  <c r="J194" i="13"/>
  <c r="K194" i="13"/>
  <c r="L194" i="13"/>
  <c r="J20" i="14"/>
  <c r="K20" i="14"/>
  <c r="L20" i="14"/>
  <c r="J22" i="14"/>
  <c r="K22" i="14"/>
  <c r="L22" i="14"/>
  <c r="J31" i="14"/>
  <c r="K31" i="14"/>
  <c r="L31" i="14"/>
  <c r="J32" i="14"/>
  <c r="K32" i="14"/>
  <c r="L32" i="14"/>
  <c r="J33" i="14"/>
  <c r="K33" i="14"/>
  <c r="L33" i="14"/>
  <c r="J34" i="14"/>
  <c r="K34" i="14"/>
  <c r="L34" i="14"/>
  <c r="J60" i="14"/>
  <c r="K60" i="14"/>
  <c r="L60" i="14"/>
  <c r="J64" i="14"/>
  <c r="K64" i="14"/>
  <c r="L64" i="14"/>
  <c r="J66" i="14"/>
  <c r="K66" i="14"/>
  <c r="L66" i="14"/>
  <c r="J67" i="14"/>
  <c r="K67" i="14"/>
  <c r="L67" i="14"/>
  <c r="J70" i="14"/>
  <c r="K70" i="14"/>
  <c r="L70" i="14"/>
  <c r="J86" i="14"/>
  <c r="K86" i="14"/>
  <c r="L86" i="14"/>
  <c r="J87" i="14"/>
  <c r="K87" i="14"/>
  <c r="L87" i="14"/>
  <c r="J89" i="14"/>
  <c r="K89" i="14"/>
  <c r="L89" i="14"/>
  <c r="J100" i="14"/>
  <c r="K100" i="14"/>
  <c r="L100" i="14"/>
  <c r="J101" i="14"/>
  <c r="K101" i="14"/>
  <c r="L101" i="14"/>
  <c r="J103" i="14"/>
  <c r="K103" i="14"/>
  <c r="L103" i="14"/>
  <c r="J105" i="14"/>
  <c r="K105" i="14"/>
  <c r="L105" i="14"/>
  <c r="J119" i="14"/>
  <c r="K119" i="14"/>
  <c r="L119" i="14"/>
  <c r="J189" i="14"/>
  <c r="K189" i="14"/>
  <c r="L189" i="14"/>
  <c r="K190" i="14"/>
  <c r="L190" i="14"/>
  <c r="L191" i="14"/>
  <c r="J194" i="14"/>
  <c r="K194" i="14"/>
  <c r="L194" i="14"/>
  <c r="J20" i="15"/>
  <c r="K20" i="15"/>
  <c r="L20" i="15"/>
  <c r="J22" i="15"/>
  <c r="K22" i="15"/>
  <c r="L22" i="15"/>
  <c r="J31" i="15"/>
  <c r="K31" i="15"/>
  <c r="L31" i="15"/>
  <c r="J32" i="15"/>
  <c r="K32" i="15"/>
  <c r="L32" i="15"/>
  <c r="J33" i="15"/>
  <c r="K33" i="15"/>
  <c r="L33" i="15"/>
  <c r="J34" i="15"/>
  <c r="K34" i="15"/>
  <c r="L34" i="15"/>
  <c r="J60" i="15"/>
  <c r="K60" i="15"/>
  <c r="L60" i="15"/>
  <c r="J64" i="15"/>
  <c r="K64" i="15"/>
  <c r="L64" i="15"/>
  <c r="J66" i="15"/>
  <c r="K66" i="15"/>
  <c r="L66" i="15"/>
  <c r="J67" i="15"/>
  <c r="K67" i="15"/>
  <c r="L67" i="15"/>
  <c r="J70" i="15"/>
  <c r="K70" i="15"/>
  <c r="L70" i="15"/>
  <c r="J86" i="15"/>
  <c r="K86" i="15"/>
  <c r="L86" i="15"/>
  <c r="J87" i="15"/>
  <c r="K87" i="15"/>
  <c r="L87" i="15"/>
  <c r="J89" i="15"/>
  <c r="K89" i="15"/>
  <c r="L89" i="15"/>
  <c r="J100" i="15"/>
  <c r="K100" i="15"/>
  <c r="L100" i="15"/>
  <c r="J101" i="15"/>
  <c r="K101" i="15"/>
  <c r="L101" i="15"/>
  <c r="J103" i="15"/>
  <c r="K103" i="15"/>
  <c r="L103" i="15"/>
  <c r="J105" i="15"/>
  <c r="K105" i="15"/>
  <c r="L105" i="15"/>
  <c r="J119" i="15"/>
  <c r="K119" i="15"/>
  <c r="L119" i="15"/>
  <c r="J189" i="15"/>
  <c r="K189" i="15"/>
  <c r="L189" i="15"/>
  <c r="K190" i="15"/>
  <c r="L190" i="15"/>
  <c r="L191" i="15"/>
  <c r="J194" i="15"/>
  <c r="K194" i="15"/>
  <c r="L194" i="15"/>
</calcChain>
</file>

<file path=xl/sharedStrings.xml><?xml version="1.0" encoding="utf-8"?>
<sst xmlns="http://schemas.openxmlformats.org/spreadsheetml/2006/main" count="1902" uniqueCount="280">
  <si>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</si>
  <si>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</si>
  <si>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</si>
  <si>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</si>
  <si>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</si>
  <si>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</si>
  <si>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</si>
  <si>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</si>
  <si>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</si>
  <si>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</si>
  <si>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</si>
  <si>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</si>
  <si>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</si>
  <si>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</si>
  <si>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</si>
  <si>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</si>
  <si>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</si>
  <si>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</si>
  <si>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</si>
  <si>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</si>
  <si>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</si>
  <si>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</si>
  <si>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</si>
  <si>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</si>
  <si>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</si>
  <si>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</si>
  <si>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</si>
  <si>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</si>
  <si>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</si>
  <si>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</si>
  <si>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</si>
  <si>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</si>
  <si>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</si>
  <si>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</si>
  <si>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</si>
  <si>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</si>
  <si>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</si>
  <si>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</si>
  <si>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</si>
  <si>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</si>
  <si>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</si>
  <si>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</si>
  <si>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</si>
  <si>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</si>
  <si>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</si>
  <si>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</si>
  <si>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</si>
  <si>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</si>
  <si>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</si>
  <si>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</si>
  <si>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</si>
  <si>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</si>
  <si>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</si>
  <si>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</si>
  <si>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</si>
  <si>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</si>
  <si>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</si>
  <si>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</si>
  <si>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</si>
  <si>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</si>
  <si>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</si>
  <si>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</si>
  <si>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</si>
  <si>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</si>
  <si>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</si>
  <si>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</si>
  <si>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</si>
  <si>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</si>
  <si>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</si>
  <si>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</si>
  <si>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</si>
  <si>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</si>
  <si>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</si>
  <si>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</si>
  <si>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</si>
  <si>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</si>
  <si>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</si>
  <si>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</si>
  <si>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</si>
  <si>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</si>
  <si>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</si>
  <si>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</si>
  <si>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</si>
  <si>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</si>
  <si>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</si>
  <si>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</si>
  <si>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</si>
  <si>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</si>
  <si>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</si>
  <si>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</si>
  <si>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</si>
  <si>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</si>
  <si>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</si>
  <si>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</si>
  <si>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</si>
  <si>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</si>
  <si>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</si>
  <si>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</si>
  <si>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</si>
  <si>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</si>
  <si>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</si>
  <si>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</si>
  <si>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</si>
  <si>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</si>
  <si>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</si>
  <si>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</si>
  <si>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</si>
  <si>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</si>
  <si>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</si>
  <si>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</si>
  <si>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</si>
  <si>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</si>
  <si>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</si>
  <si>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</si>
  <si>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</si>
  <si>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</si>
  <si>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</si>
  <si>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</si>
  <si>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</si>
  <si>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</si>
  <si>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</si>
  <si>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</si>
  <si>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</si>
  <si>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</si>
  <si>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</si>
  <si>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</si>
  <si>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</si>
  <si>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</si>
  <si>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</si>
  <si>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</si>
  <si>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</si>
  <si>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</si>
  <si>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</si>
  <si>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</si>
  <si>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</si>
  <si>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</si>
  <si>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</si>
  <si>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</si>
  <si>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</si>
  <si>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</si>
  <si>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</si>
  <si>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</si>
  <si>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</si>
  <si>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</si>
  <si>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</si>
  <si>
    <t>Step 4 - More Balance Sheet - Net Working Capital</t>
  </si>
  <si>
    <t>Accounts Receivable, Net</t>
  </si>
  <si>
    <t>Link to Working Capital section, below</t>
  </si>
  <si>
    <t>Working Capital</t>
  </si>
  <si>
    <t>Accounts Receivable is the amount of money that people owe you for goods and services. It tends to correlate with Revenue - if Revenue goes up, it is likely that more people will owe you money. As such, this item follows Revenue, variably, through a ratio called Days Sales Outstanding, or DSO. See more on DSO, below. We use DSOs to inform us what our Accounts Receivable will be at the Revenue we are projecting. The formula is (Sales/# of Days in the Period)*DSO Ratio</t>
  </si>
  <si>
    <t>Inventory is the stuff that you sell. As such, it tends to correlate with CoGS. The higher my Sales, will mean that my CoGS go up too (see above) so I may want to keep more inventory around to keep up. As such, this item follows CoGS, variably, through a ratio called DIOH. See more on DIOH, below. We use DIOH to project how much inventory we will keep around to keep up with our Sales momentum. The formula to use is (CoGS/# of Days in the Period)*DIOH Ratio</t>
  </si>
  <si>
    <t>What's in Other Assets? I don't know either. We know that it is some Prepaid Costs, such as Insurance, but what else? It could be Supplies. Because we don't know, we use SG&amp;A as a Driver, assuming that things we typically Prepay (Rent and Insurance) would be SG&amp;A. The formula to use here is the % we calculated, below * SG&amp;A. I will make this driver variable because SG&amp;A was variable</t>
  </si>
  <si>
    <t>Non-Cash Current Assets</t>
  </si>
  <si>
    <t>Accounts Payable is the amount of money that you owe your vendors for the goods and services that go into your CoGS. It tends to correlate with CoGS - if CoGS go up, it is likely that you will buy more things and your bills will be higher. As such, this item follows CoGS, variably, through a ratio called Days Payable Outstanding, or DPO. See more on DPO, below. We use DPOs to inform us what our Accounts Payable will be at the Revenue we are projecting. The formula is (CoGS/# of Days in the Period)*DPO Ratio</t>
  </si>
  <si>
    <t>Wages Payable is for money we owe to our employees but have not paid yet. This is common in business practice. When you first start a job, it is common for you to start getting paid a few weeks after you start - because people are paid behind when they earn it, called "Arrears." If you leave a job, you are paid what you owe up to that day. The formula to use here is the % we calculated, below *SG&amp;A because that is where the costs of Payroll and Wages are captured</t>
  </si>
  <si>
    <t>Accrued Expenses are just like Accounts Payable except it is for other money we owe. See the explanation below. The formula to use here is the % we calculated, below *SG&amp;A</t>
  </si>
  <si>
    <t>Non-Debt Current Liabilities</t>
  </si>
  <si>
    <t>Net Working Capital, without Cash</t>
  </si>
  <si>
    <t>Change in Net Working Capital</t>
  </si>
  <si>
    <t>Given this is important for the Cash Flow Statement, let's make sure we calculate this here now. It is equal to this period's Net Working Capital minus last period's Net Working Capital</t>
  </si>
  <si>
    <t>Working Capital Drivers</t>
  </si>
  <si>
    <t>Sales</t>
  </si>
  <si>
    <t>Link to Sales in P&amp;L (this just makes life a little easier for the ratios we will build, below)</t>
  </si>
  <si>
    <t>DSO - Accounts Receivable Days Outstanding</t>
  </si>
  <si>
    <t>DSO stands for "Days Sales Outstanding." It tells you how long it takes you to collect from customers, on average, by giving you the number of days of individual sales that are outstanding (aka, have not been collected yet). It is calculated as: Accounts Receivable Balance / (Total Sales / # Days in the Period)</t>
  </si>
  <si>
    <t>DIOH - Day of Inventory on Hand</t>
  </si>
  <si>
    <t>DIOH stands for "Days of Inventory On Hand." It tells you how much inventory you carry at your location, on average, by giving you the number of days of individual CoGS that you have in inventory (aka, how much inventory do I have now)</t>
  </si>
  <si>
    <t>Prepaids &amp; Other Current Assets / SG&amp;A (%)</t>
  </si>
  <si>
    <t>We don't really have a good driver for this, so let's choose SG&amp;A, given that's where the costs are most likely captured. It will fluctuate as SG&amp;A moves around</t>
  </si>
  <si>
    <t>DPO - Accounts Payable Days Outstanding</t>
  </si>
  <si>
    <t>DPO stands for "Days Payable Outstanding." It tells you how long it takes you to pay your vendors (usually related to CoGS only), on average, by giving you the number of days of individual CoGS that are outstanding (aka, have you have not paid yet).  It is calculated as: Accounts Payable Balance / (Total CoGS / # Days in the Period)</t>
  </si>
  <si>
    <t>Wages Payable / SG&amp;A (%)</t>
  </si>
  <si>
    <t>We don't really have a good driver for this, so let's choose SG&amp;A, given that's where the costs are captured. It will fluctuate as SG&amp;A moves around</t>
  </si>
  <si>
    <t>Accrued Expenses &amp; Other / SG&amp;A (%)</t>
  </si>
  <si>
    <t>Accrued Expenses is how much money you owe your vendors that are not CoGS (think like your utility bill, etc). We can also make this one a % but it will most closely follow SG&amp;A. Let's choose that as our driver</t>
  </si>
  <si>
    <t>Step 5 - Watch. Cash. Flow</t>
  </si>
  <si>
    <t>Quote the Banker, “Watch Cash Flow” ~ Herbert S Bailey Jr, © 1975</t>
  </si>
  <si>
    <t>Cash will move based on the Net Income you made and how your business ran (Operating Activities), the cash you invested (Investing Activities) and the cash you had come in or out from Financing (Financing Activites, which we will do in a later step). The Cash balance on this line is the Cash resulting at the END of each period. So it is equal to the Cash from last period + the change in cash this period. As such, Cash in 2025 is equal to Cash Balance from last year (G60) plus the change in cash this year (H119).</t>
  </si>
  <si>
    <t>Cash Flow Statement</t>
  </si>
  <si>
    <t>Operating Activities</t>
  </si>
  <si>
    <r>
      <t xml:space="preserve">Now it is time to tie everything together with cash flow. Let's map the change in Cash (WHERE did Cash go) using </t>
    </r>
    <r>
      <rPr>
        <b/>
        <u/>
        <sz val="10"/>
        <color rgb="FF416D89"/>
        <rFont val="Open Sans"/>
        <family val="2"/>
      </rPr>
      <t xml:space="preserve">WHAT </t>
    </r>
    <r>
      <rPr>
        <b/>
        <sz val="10"/>
        <color rgb="FF416D89"/>
        <rFont val="Open Sans"/>
        <family val="2"/>
      </rPr>
      <t xml:space="preserve">happened in the Income Statement and </t>
    </r>
    <r>
      <rPr>
        <b/>
        <u/>
        <sz val="10"/>
        <color rgb="FF416D89"/>
        <rFont val="Open Sans"/>
        <family val="2"/>
      </rPr>
      <t xml:space="preserve">HOW </t>
    </r>
    <r>
      <rPr>
        <b/>
        <sz val="10"/>
        <color rgb="FF416D89"/>
        <rFont val="Open Sans"/>
        <family val="2"/>
      </rPr>
      <t>it affected the business on the Balance Sheet</t>
    </r>
  </si>
  <si>
    <t>Start with Net Income - this is the result of ALL Revenue and Expenses (including ones that do not affect cash). Starting here, we will next add the non-cash expenses from the P&amp;L. Link this to the P&amp;L as a POSITIVE to INCREASE the effect on cash - Net income removed it, we add it back to CASH flow</t>
  </si>
  <si>
    <r>
      <t xml:space="preserve">Depreciation is an expense that reflects the decrease in value of long-term, physical (tangible) assets. It </t>
    </r>
    <r>
      <rPr>
        <b/>
        <u/>
        <sz val="10"/>
        <color rgb="FF416D89"/>
        <rFont val="Open Sans"/>
        <family val="2"/>
      </rPr>
      <t>does not</t>
    </r>
    <r>
      <rPr>
        <b/>
        <sz val="10"/>
        <color rgb="FF416D89"/>
        <rFont val="Open Sans"/>
        <family val="2"/>
      </rPr>
      <t xml:space="preserve"> affect Cash - it is a non-Cash expense that is meant to reflect the "wear and tear" of Long-term Assets that you are using to produce Revenue over time. However, Deprecistion does affect the value of Long-term Assets directly - it is a reduction to our Assets for the loss in value of the Assets related to "wear and tear" and aging. So because we are "losing" the value of these Assets because we are using them, and because they are getting older - and presumably "less useful to us", it is a reduction in our ownership value of those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Depreciation Expense is in it... so we add it back to CASH Flow to REMOVE the effect that Depreciation has on Net Income to show actual Cash Flow</t>
    </r>
  </si>
  <si>
    <t>Amortization of Intangibles</t>
  </si>
  <si>
    <r>
      <t xml:space="preserve">Amortization is an expense that reflects the decrease in value of long-term, non-physical (intangible) assets. It also </t>
    </r>
    <r>
      <rPr>
        <b/>
        <u/>
        <sz val="10"/>
        <color rgb="FF416D89"/>
        <rFont val="Open Sans"/>
        <family val="2"/>
      </rPr>
      <t>does not</t>
    </r>
    <r>
      <rPr>
        <b/>
        <sz val="10"/>
        <color rgb="FF416D89"/>
        <rFont val="Open Sans"/>
        <family val="2"/>
      </rPr>
      <t xml:space="preserve"> affect Cash - it is a non-Cash expense that is meant to reflect the "use" of Long-term Intangible Assets that you are using to produce Revenue over time. However, Amortization does affect the value of Long-term Intangible Assets directly - it is a reduction to our Assets for the loss in value of the Intangible Assets related to use and aging. So because we are "losing" the value of these Assets because we are using them, and because they are getting older - and presumably "less useful to us", it is a reduction in our ownership value of those Intangible Assets too. That reduction in ownership value shows as an Expense and, eventually, to Equity through Retained Earnings. As such, because it is a non-cash expense, we add in back to Net Income for the purposes of the CASH Flow statement. Link this to the P&amp;L as a POSITIVE to INCREASE the effect on cash - Net Income is already lower because Amortization Expense is in it... so we add it back to CASH Flow to REMOVE the effect that Amortization has on Net Income to show actual Cash Flow</t>
    </r>
  </si>
  <si>
    <t>Net Income + Non-Cash Expense Adjustments</t>
  </si>
  <si>
    <t>These are the total adjustments added to Net Income to get a "cash basis" of Net Income. However, these adjustments are only the first step in calculating our changes in Cash related to Operating activities. HOW fast the business collected money, paid money, etc also needs to be considered for the change in CASH. As such, we look at the change in Current Assets and Current Liabilities that are not Debt to see the effect they have on cash as well</t>
  </si>
  <si>
    <t>(Increase) / Decrease in Working Capital</t>
  </si>
  <si>
    <r>
      <t xml:space="preserve">Working Capital can be tricky to think through and counter intuitive but think of it this way: If Working Capital goes up, it means that we have an </t>
    </r>
    <r>
      <rPr>
        <b/>
        <u/>
        <sz val="10"/>
        <color rgb="FF416D89"/>
        <rFont val="Open Sans"/>
        <family val="2"/>
      </rPr>
      <t>INCREASE</t>
    </r>
    <r>
      <rPr>
        <b/>
        <sz val="10"/>
        <color rgb="FF416D89"/>
        <rFont val="Open Sans"/>
        <family val="2"/>
      </rPr>
      <t xml:space="preserve"> in Assets compared with the change in Liabilities. This means that Assets either went up or Liabilities went down period over period. If Assets go up, it means that we either did not collect money, or used money, for our Assets to increase. Althernatively, if Liabilities went down we </t>
    </r>
    <r>
      <rPr>
        <b/>
        <u/>
        <sz val="10"/>
        <color rgb="FF416D89"/>
        <rFont val="Open Sans"/>
        <family val="2"/>
      </rPr>
      <t>USED</t>
    </r>
    <r>
      <rPr>
        <b/>
        <sz val="10"/>
        <color rgb="FF416D89"/>
        <rFont val="Open Sans"/>
        <family val="2"/>
      </rPr>
      <t xml:space="preserve"> money to pay off some money we owe. Either way, an INCREASE in Working Capital is a DECREASE in cash - we have less cash in our pocket. We link to the Working Capital section, below</t>
    </r>
  </si>
  <si>
    <t>Cash flow from Operating Activities</t>
  </si>
  <si>
    <t>Investing Activities</t>
  </si>
  <si>
    <t>Cash flow from Investment Activities - CapEx</t>
  </si>
  <si>
    <r>
      <t xml:space="preserve">Cash flow from investing activities is the cash paid for Long-term Assets (physical and non-physical. Is is a </t>
    </r>
    <r>
      <rPr>
        <b/>
        <u/>
        <sz val="10"/>
        <color rgb="FF416D89"/>
        <rFont val="Open Sans"/>
        <family val="2"/>
      </rPr>
      <t>USE</t>
    </r>
    <r>
      <rPr>
        <b/>
        <sz val="10"/>
        <color rgb="FF416D89"/>
        <rFont val="Open Sans"/>
        <family val="2"/>
      </rPr>
      <t xml:space="preserve"> of Cash when Assets go up (we bought something) so it DECREASES the Cash balance. If our value went down, it would most likely meant we sold something (net of Depreciation). We link it to CapEx and remove it to </t>
    </r>
    <r>
      <rPr>
        <b/>
        <u/>
        <sz val="10"/>
        <color rgb="FF416D89"/>
        <rFont val="Open Sans"/>
        <family val="2"/>
      </rPr>
      <t>DECREASE</t>
    </r>
    <r>
      <rPr>
        <b/>
        <sz val="10"/>
        <color rgb="FF416D89"/>
        <rFont val="Open Sans"/>
        <family val="2"/>
      </rPr>
      <t xml:space="preserve"> the cash balance, here</t>
    </r>
  </si>
  <si>
    <t>Financing Activities</t>
  </si>
  <si>
    <t>Cash flow from Financing Activities</t>
  </si>
  <si>
    <t>Change in Cash</t>
  </si>
  <si>
    <t>Sum up the Cash Effects from the Operating Activites, Investing Activities and Financing Activities sections</t>
  </si>
  <si>
    <t>Step 6 - Debt - Getting Started</t>
  </si>
  <si>
    <t>We are calculating the ENDING balance of the debt in each period, below. Link these lines to the ending balance for each type of debt, respectively, below</t>
  </si>
  <si>
    <t>Debt Schedule</t>
  </si>
  <si>
    <t>Time for the trickiest part of our model - the Debt. We are going to take this in steps to fully explain what is happening with our model. Let's start with looking above - we see that we have 4 different types of Debt that we have been taken over the years in this business - a Revolver (or Line of Credit), a Term Loan A, a Subordinated - Note 1 and a Subordinated - Note 2. Let's use the schedule below to model out each of these</t>
  </si>
  <si>
    <t>Debt Balance Schedule</t>
  </si>
  <si>
    <t>Beginning Balance</t>
  </si>
  <si>
    <t>Debt has a "rolling effect". Today's beginning starts with yesterday's end. As such, we set the beginning balance in these cells equal to the prior periods' ending balance. In this line, cell H206 is equal to cell G209, I206 is equal to cell H209, and so forth</t>
  </si>
  <si>
    <t>( + ) Revolver Draw-down</t>
  </si>
  <si>
    <t>Revolvers are unique in that you can "draw" from the line to get Cash in the business when you need it (subject to certain restrictions) or you can pay it down using Cash to reduce the outstanding balance. Other types of Debt will only have repayments (something you MUST pay or something you OPT IN to pay). We will skip this for now but come back to this later</t>
  </si>
  <si>
    <t>( – ) Revolver Pay-down</t>
  </si>
  <si>
    <t>Ending Balance</t>
  </si>
  <si>
    <t>The Balance Sheet reflects the ENDING balance in any period. As such, cell G209 is equal to cell G78 in this example as a start but then the ending balance will be equal to the sum of the Beginning period plus the repayments and drawdowns in each period thereafter. For instance, cell H209 will be equal to the sum of H206 to H208. Carry that formula across for future periods</t>
  </si>
  <si>
    <t>Bank Revolver Commitment</t>
  </si>
  <si>
    <t>When you see a Revolver or a Line of Credit, think of it acting like a sophisticated credit card. There is a maximum amount that you are allowed to borrow, called a commitment, that depends on the rules set forth in a Debt agreement and what the bank deems you worthy to borrow. The maximum amount you are allowed to borrow on a Revolver can vary. However, for simplicity sake, let's set the maximum equal to 30 for each period in this case and type in those numbers on this line</t>
  </si>
  <si>
    <t>Undrawn Revolver Balance</t>
  </si>
  <si>
    <t>The amount you have remaining to borrow is the difference between what you have already borrowed, or drawn, on the Revolver (line 209) and what the maximum that you are allowed to borrow (the commitment) on the Revolver (line 211). Set this cell to be equal to the commitment less the ending balance in each period and carry it forward</t>
  </si>
  <si>
    <t>Debt has a "rolling effect". Today's beginning starts with yesterday's end. As such, we set the beginning balance in these cells equal to the prior periods' ending balance. Follow the pattern as described above in the Revolver, line 206</t>
  </si>
  <si>
    <t>( – ) Mandatory Repayment</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</si>
  <si>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H235 * G218, I235 *G218, and so on. Remember that this is a REPAYMENT decreasing the balance of our debt so you have to make it a NEGATIVE to decrease the balance. WATCH YOUR SIGNS!</t>
  </si>
  <si>
    <t>( – ) Optional Repayment</t>
  </si>
  <si>
    <t>The Balance Sheet reflects the ENDING balance in any period. As such, cell G218 is equal to cell G79 in this example as a start but then the ending balance will be equal to the sum of the Beginning period plus the repayments in each period thereafter. For instance, cell H218 will be equal to the sum of H215 to H217. Carry that formula across for future periods</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</si>
  <si>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H236 * G224, I236 *G224, and so on. Remember that this is a REPAYMENT decreasing the balance of our debt so you have to make it a NEGATIVE to decrease the balance. WATCH YOUR SIGNS!</t>
  </si>
  <si>
    <t>The Balance Sheet reflects the ENDING balance in any period. As such, the ending balance will be equal to the sum of the Beginning period plus the repayments in each period thereafter. Follow the pattern and calculations as described above, in the Term Loan A calculation</t>
  </si>
  <si>
    <t>Each Debt line has an amount you MUST pay back each period in accordance with a Debt agreement you sign when you borrow money. The amount you MUST pay follows a repayment (or debt amortization - not to be confused with amortization of intangibles!) schedule that we set below. The repayment schedule is a % of the ORIGINAL principal that was borrowed and is used to calculate what MUST be paid each period. See more explanation, below. To calculate the mandatory repayment that we MUST pay, multiply the % by the original balance borrowed, respectively for each type of debt. For instance, the calculation for this line is H237 * G230, I237 *G230, and so on. Remember that this is a REPAYMENT decreasing the balance of our debt so you have to make it a NEGATIVE to decrease the balance. WATCH YOUR SIGNS!</t>
  </si>
  <si>
    <t>Scheduled Debt Amortization (%)</t>
  </si>
  <si>
    <t>Original Balance</t>
  </si>
  <si>
    <t>Debt Amortization per Period</t>
  </si>
  <si>
    <r>
      <t xml:space="preserve">Debt amortization (or principal repayment) is the amount that the Debt </t>
    </r>
    <r>
      <rPr>
        <b/>
        <u/>
        <sz val="10"/>
        <color rgb="FF416D89"/>
        <rFont val="Open Sans"/>
        <family val="2"/>
      </rPr>
      <t>MUST</t>
    </r>
    <r>
      <rPr>
        <b/>
        <sz val="10"/>
        <color rgb="FF416D89"/>
        <rFont val="Open Sans"/>
        <family val="2"/>
      </rPr>
      <t xml:space="preserve"> be repaid in each period (aka, the "mandatory repayment"). It is set forth and agreed in the Debt agreement when you borrow money. The balance of your Debt </t>
    </r>
    <r>
      <rPr>
        <b/>
        <u/>
        <sz val="10"/>
        <color rgb="FF416D89"/>
        <rFont val="Open Sans"/>
        <family val="2"/>
      </rPr>
      <t>MUST</t>
    </r>
    <r>
      <rPr>
        <b/>
        <sz val="10"/>
        <color rgb="FF416D89"/>
        <rFont val="Open Sans"/>
        <family val="2"/>
      </rPr>
      <t xml:space="preserve"> be repaid by this amount each period and taken out of the outstanding balance, and your cash. It dictates the cash repaid in each period to pay off the Debt over time. In this line, set the repayment to be 20% per period. This means that the debt will be paid off in equal installments over 5 years (5 * 20% = 100%).</t>
    </r>
  </si>
  <si>
    <t>Similar to the above, set this line to be 20% each period as well</t>
  </si>
  <si>
    <t>Debt can be repaid in different patterns. It there are equal payments each period, it is called "straight-line" amortization. If the amortization slowly increased, for instance 10% in period 1, 15% in period 2, 25% in period 3, etc it is called a balloon amortization (slowly inflating like a balloon). If the amortization is small and then a large sum at the end, it is called "bullet" amortization. Let's set this line to be a bullet: 5% for the first 4 periods, then 80% in the 5th period.</t>
  </si>
  <si>
    <t>Debt Characteristics</t>
  </si>
  <si>
    <t>Spread to</t>
  </si>
  <si>
    <t>Floating</t>
  </si>
  <si>
    <t>Fixed Rate /</t>
  </si>
  <si>
    <t>Float or Fixed?</t>
  </si>
  <si>
    <t>SOFR</t>
  </si>
  <si>
    <t>Coupon</t>
  </si>
  <si>
    <t>Sweep</t>
  </si>
  <si>
    <r>
      <t xml:space="preserve">Debt carries different characteristics - most notably the interest rate that must be paid and the contractual ability to repay it back early. Interest rates come in two different forms: Fixed (a % set in the debt agreement and will not change) or Variable (a % set relative to another rate controlled by banks and/or the federal reserve, usually SOFR, which stands for the Standard Overnight Financing Rate). If an interest rate is variable, it is also called "Floating" and quoted as a spread to SOFR, quoted as "SOFR +" a %. If your Debt agreements allows you to repay Debt early, it is called a "Cash Sweep" option. The Sweep option is set as a % of the original balance - dictating the ability to optionally repay debt in </t>
    </r>
    <r>
      <rPr>
        <b/>
        <u/>
        <sz val="10"/>
        <color rgb="FF416D89"/>
        <rFont val="Open Sans"/>
        <family val="2"/>
      </rPr>
      <t>ADDITION</t>
    </r>
    <r>
      <rPr>
        <b/>
        <sz val="10"/>
        <color rgb="FF416D89"/>
        <rFont val="Open Sans"/>
        <family val="2"/>
      </rPr>
      <t xml:space="preserve"> to the mandatory repayment that you </t>
    </r>
    <r>
      <rPr>
        <b/>
        <u/>
        <sz val="10"/>
        <color rgb="FF416D89"/>
        <rFont val="Open Sans"/>
        <family val="2"/>
      </rPr>
      <t>MUST</t>
    </r>
    <r>
      <rPr>
        <b/>
        <sz val="10"/>
        <color rgb="FF416D89"/>
        <rFont val="Open Sans"/>
        <family val="2"/>
      </rPr>
      <t xml:space="preserve"> pay, calculated above. For instance, a 100% cash sweep means that you can repay 100% of what you originally borrowed at any time that you like. If it were 50%, you would only be allowed to pay up to 50% of the original balance that you borrowed at any time. Debt can be very nuanced here... so be sure, when you are a situation like this, that you are modeling the Debt appropriately based on what you MUST pay (and when) and what you are OPTIONALLY ALLOWED TO PAY ON TOP OF THAT (and when)</t>
    </r>
  </si>
  <si>
    <t>Let's assume the Revolver has an interest rate that floats. As such, to start, let's look up SOFR in a search (as of today it is 3.71%) and place it in cell H244 and set the spread to be 4.25% in cell I244. This means that the rate will be 7.96%. Let's also assume the "cash sweep", or the ability to optionally pay down debt is 100% and place 100% in line L244. Revolvers are unique in that, like a credit card, their "sweep" or option to repay it when we please, is ALWAYS 100%.</t>
  </si>
  <si>
    <t xml:space="preserve">Let's assume the Term Loan A also has an interest rate that floats. As such, to start, let's look up SOFR in a search and place it in line G245 and set the spread to be 4.75% in cell I245. This means that the rate will be 8.46% - we put that in column J. Let's also assume the "cash sweep", or the ability to optionally pay down debt is 100% and place 100% in line L45. </t>
  </si>
  <si>
    <r>
      <t xml:space="preserve">Let's assume Subordinated - Note 1 has a rate that is Fixed. It does NOT fluctuate with SOFR and stays the same, no matter what. As such, </t>
    </r>
    <r>
      <rPr>
        <b/>
        <u/>
        <sz val="10"/>
        <color rgb="FF416D89"/>
        <rFont val="Open Sans"/>
        <family val="2"/>
      </rPr>
      <t>we do not need SOFR and instead just set the rate we will be charged</t>
    </r>
    <r>
      <rPr>
        <b/>
        <sz val="10"/>
        <color rgb="FF416D89"/>
        <rFont val="Open Sans"/>
        <family val="2"/>
      </rPr>
      <t xml:space="preserve"> in cell K246. Let's assume the fixed rate is 12% in this example. Let's also assume the "cash sweep", or the ability to optionally pay down debt is 100% and place 100% in line L246. </t>
    </r>
  </si>
  <si>
    <t>Let's assume Subordinated - Note 2 also has a rate that is Fixed. It does NOT fluctuate with SOFR and stays the same, regardless of where interest rates in the market are moving (up or down). As such, we do not need SOFR and instead just set the rate we will be charged in cell K247. Let's assume the fixed rate is 14.5% in this example. Let's also assume the "cash sweep", or the ability to optionally pay down debt is 50% and place 50% in line L247. This means that we cannot pay more than 50% of the original debt balance in addition to what we MUST pay each period.</t>
  </si>
  <si>
    <t>Float</t>
  </si>
  <si>
    <t>N/A</t>
  </si>
  <si>
    <t>Fixed</t>
  </si>
  <si>
    <t>Step 7- The Cash Effect with Debt and Optional Debt Repayments</t>
  </si>
  <si>
    <t>Now we can finish our cashflow! (Almost). Did Debt go up or down during the period? Let's look at the difference on the Balance Sheet to determine if it is cash up or cash down.  For this line, in column H, the formula will be H78-G78, I78-H78 and so on</t>
  </si>
  <si>
    <t>Repeat the pattern for each type of debt - for instance, in this line, in column H, the formula will be H79-G79, I79-H79 and so on</t>
  </si>
  <si>
    <t>Repeat the pattern for each type of debt per the above</t>
  </si>
  <si>
    <t>Beginning Cash Balance</t>
  </si>
  <si>
    <t>Let's start with the Beginning Cash balance in each period. Link this to the ending cash from the prior period in the Balance Sheet to start. So H203 is equal to G60, I203 is equal to H60 and so forth.</t>
  </si>
  <si>
    <t>( – ) Minimum Cash Balance</t>
  </si>
  <si>
    <t>Before you start calculating how much cash you will use to pay off debt, you first have to determine an amount of cash that you want to keep around for Operations and "just in case." This is called a Minimum Cash Balance. For purposes of this exercise, let's assume 10 in each period. Put those values as a NEGATIVE here - if this is meant to calculate the total amount of Cash we COULD use to pay down Debt, then the minimum we want to keep around "just in case" should not be included</t>
  </si>
  <si>
    <t>Excess Cash / (Cash Deficit)</t>
  </si>
  <si>
    <r>
      <t xml:space="preserve">This is the sum of the Cash and the beginning of the period less the Cash we want to keep around. Sum the two lines to show "Cash Available for Use </t>
    </r>
    <r>
      <rPr>
        <b/>
        <u/>
        <sz val="10"/>
        <color rgb="FF416D89"/>
        <rFont val="Open Sans"/>
        <family val="2"/>
      </rPr>
      <t>before</t>
    </r>
    <r>
      <rPr>
        <b/>
        <sz val="10"/>
        <color rgb="FF416D89"/>
        <rFont val="Open Sans"/>
        <family val="2"/>
      </rPr>
      <t xml:space="preserve"> we add in our Operating Cash Flow and Cash Flow from Investing" during the current period</t>
    </r>
  </si>
  <si>
    <t>( + ) Cash Flow Available for from Ops and Investing</t>
  </si>
  <si>
    <r>
      <t xml:space="preserve">Now we add in the cash from Operations (line 105) and Investing (line 109). Add those lines together for each period, here to show the cashflow we made during the period from our Operations and from our purchase/sale of Long-term Assets </t>
    </r>
    <r>
      <rPr>
        <b/>
        <u/>
        <sz val="10"/>
        <color rgb="FF416D89"/>
        <rFont val="Open Sans"/>
        <family val="2"/>
      </rPr>
      <t>BEFORE</t>
    </r>
    <r>
      <rPr>
        <b/>
        <sz val="10"/>
        <color rgb="FF416D89"/>
        <rFont val="Open Sans"/>
        <family val="2"/>
      </rPr>
      <t xml:space="preserve"> we start paying down Debt</t>
    </r>
  </si>
  <si>
    <t>Total Cash Available for Debt Service</t>
  </si>
  <si>
    <t>Now adding the cash flow from Operations and Investing to the "Cash Available for Use before we add in our Operating Cash Flow and Cash Flow from Investing" shows the Cash available to pay down Debt. Sum lines 205 and 206 for each period to show this</t>
  </si>
  <si>
    <t>Mandatory Debt Repayment</t>
  </si>
  <si>
    <t>Next, we consider the cash we MUST pay for each period. We link these to the cash we MUST pay for each type of debt, as we calculated below. For instance, this line is equal to line 239</t>
  </si>
  <si>
    <t xml:space="preserve">Repeat this link for each type of debt with mandatory debt repayments. This links to line 245 </t>
  </si>
  <si>
    <t>Repeat this link for each type of debt with mandatory debt repayments. This links to line 251</t>
  </si>
  <si>
    <t>( – ) MANDATORY Scheduled Debt Repayments</t>
  </si>
  <si>
    <r>
      <t xml:space="preserve">Sum up lines 210 to 212 to show the total we </t>
    </r>
    <r>
      <rPr>
        <b/>
        <u/>
        <sz val="10"/>
        <color rgb="FF416D89"/>
        <rFont val="Open Sans"/>
        <family val="2"/>
      </rPr>
      <t>MUST pay (mandatory repayments)</t>
    </r>
  </si>
  <si>
    <t>Excess Cash Available for Sweep / (Revolver Draw-down)</t>
  </si>
  <si>
    <r>
      <t xml:space="preserve">Add lines 207 and 213. This shows the Cash we have available to pay down Debt </t>
    </r>
    <r>
      <rPr>
        <b/>
        <u/>
        <sz val="10"/>
        <color rgb="FF416D89"/>
        <rFont val="Open Sans"/>
        <family val="2"/>
      </rPr>
      <t>if we choose (aka, OPTIONAL repayments)</t>
    </r>
  </si>
  <si>
    <t>Revolver Drawdown</t>
  </si>
  <si>
    <t>First, let's determine if we need Cash from the amount we have available from the Revolver to help support the business. In order to determine whether we draw on the Revolver, we first must determine how much we need and then compare it to how much we are allowed to borrow. If we need more than we are allowed to draw (or borrow), we are in trouble (aka, bankruptcy)! There are several ways to do this but use this formula (which is a little counterintuitive but hey, it works): =MIN(MAX(0,oppostie of the cash we need to draw down),max amount allowed to borrow - beginning balance of the revolver, aka what we have already borrowed) or =MIN(MAX(0,-H214),H235-H229) in column H to start in this example. What this math says is "give me the lesser of the cash I need or the cash I am allowed to borrow" and that is how much I will "draw" on the line</t>
  </si>
  <si>
    <t>Optional Debt Repayment</t>
  </si>
  <si>
    <t>Revolver Repayment</t>
  </si>
  <si>
    <t>Next, assuming we have cash left over because we did NOT need to draw on the line, we move on to what we CAN pay or OPT IN to pay. Debt follows rules that typically say the Revolver must be paid first and then the most senior debt can be OPTIONALLY paid after that based on seniority. It generally cascades down from there. There are several ways to do this but use this formula: =-MAX(0,MIN(the balance of the debt AT THE BEGINNING OF THE PERIOD * cash sweep %)) or =-MAX(0,MIN(H229,SUM(H$214:H218),H229*$L267)) in Column H in this example. What this math says is "I will elect to pay the lesser of either: the beginning amount of the Debt, the amount of Cash I still have remaining to pay the Debt or the beginning balance of the Debt * the cash sweep % that the rules of the Debt allow me to pay"</t>
  </si>
  <si>
    <t>See above the explanation. Carry this logic downward so that it creates a cascading effect. For instance, in column H of this line, the formula is =-MAX(0,MIN(SUM(H238:H239),SUM(H$214:H219),$G241*$L268)) or "give me the lesser of: the amount of the beginning balance of the loan - the amount I must pay, the remaining Cash I have available to pay after I pay down the Revolver, or the amount of the original loan * the cash sweep %</t>
  </si>
  <si>
    <t>See above the explanation. Carry this logic downward so that it creates a cascading effect. For instance, in column H of this line, the formula is =-MAX(0,MIN(SUM(H244:H245),SUM(H$214:H220),$G247*$L269))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</si>
  <si>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See above the explanation. Carry this logic downward so that it creates a cascading effect. For instance, in column H of this line, the formula is =-MAX(0,MIN(SUM(H250:H251),SUM(H$214:H221),$G253*$L270)) or "give me the lesser of: the amount of the beginning balance of the loan - the amount I must pay, the remaining Cash I have available to pay after I pay down the Revolver and the prior loan(s) following the order of the cascade based on seniority, or the amount of the original loan * the cash sweep %</t>
  </si>
  <si>
    <t>Total Optional Debt Repayment</t>
  </si>
  <si>
    <t>Total lines 218 to lines 222 to show the total amount we will OPTIONALLY pay on the Debt as a result of the above rules</t>
  </si>
  <si>
    <t>Link to line 216, above</t>
  </si>
  <si>
    <t>Link to line 219, above</t>
  </si>
  <si>
    <t>Link to line 220, above</t>
  </si>
  <si>
    <t>Link to line 221, above</t>
  </si>
  <si>
    <t>Link to line 222,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</si>
</sst>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 numFmtId="184" formatCode="0.0\x"/>
    <numFmt numFmtId="185" formatCode="_(0.00%_);\(0.00%\);_(&quot;–&quot;_)_%;@_(_%"/>
    <numFmt numFmtId="186" formatCode="&quot;Yes&quot;_)_%;&quot;ERROR&quot;_)_%;&quot;No&quot;_)_%;&quot;ERROR&quot;_)_%"/>
  </numFmts>
  <fonts count="61">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
      <b/>
      <sz val="14"/>
      <color rgb="FF535456"/>
      <name val="Open Sans"/>
      <family val="2"/>
    </font>
    <font>
      <b/>
      <u/>
      <sz val="10"/>
      <color rgb="FF416D89"/>
      <name val="Open Sans"/>
      <family val="2"/>
    </font>
    <font>
      <sz val="10"/>
      <color indexed="16"/>
      <name val="Calibri"/>
      <family val="2"/>
      <scheme val="minor"/>
    </font>
    <font>
      <b/>
      <i/>
      <sz val="10"/>
      <name val="Open Sans"/>
      <family val="2"/>
    </font>
    <font>
      <b/>
      <u/>
      <sz val="10"/>
      <name val="Open Sans"/>
      <family val="2"/>
    </font>
    <font>
      <b/>
      <sz val="10"/>
      <color rgb="FF1F497D"/>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2">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
      <left/>
      <right/>
      <top style="thin">
        <color rgb="FF000000"/>
      </top>
      <bottom/>
      <diagonal/>
    </border>
    <border>
      <left/>
      <right/>
      <top/>
      <bottom style="thin">
        <color rgb="FF000000"/>
      </bottom>
      <diagonal/>
    </border>
  </borders>
  <cellStyleXfs count="3">
    <xf numFmtId="0" fontId="0" fillId="0" borderId="0"/>
    <xf numFmtId="0" fontId="4" fillId="0" borderId="0"/>
    <xf numFmtId="0" fontId="6" fillId="0" borderId="0"/>
  </cellStyleXfs>
  <cellXfs count="268">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xf numFmtId="177" fontId="39" fillId="0" borderId="0" xfId="0" applyNumberFormat="1" applyFont="1" applyAlignment="1">
      <alignment vertical="center"/>
    </xf>
    <xf numFmtId="166" fontId="38" fillId="0" borderId="0" xfId="0" applyNumberFormat="1" applyFont="1" applyAlignment="1">
      <alignment horizontal="center" vertical="center"/>
    </xf>
    <xf numFmtId="166" fontId="38" fillId="0" borderId="0" xfId="0" applyNumberFormat="1" applyFont="1" applyAlignment="1">
      <alignment horizontal="right" vertical="center"/>
    </xf>
    <xf numFmtId="183" fontId="41" fillId="0" borderId="0" xfId="0" applyNumberFormat="1" applyFont="1" applyAlignment="1">
      <alignment horizontal="right" vertical="center"/>
    </xf>
    <xf numFmtId="166" fontId="38" fillId="0" borderId="4" xfId="0" applyNumberFormat="1" applyFont="1" applyBorder="1" applyAlignment="1">
      <alignment vertical="center"/>
    </xf>
    <xf numFmtId="0" fontId="21" fillId="0" borderId="10" xfId="0" applyFont="1" applyBorder="1" applyAlignment="1">
      <alignment vertical="center"/>
    </xf>
    <xf numFmtId="166" fontId="21" fillId="0" borderId="10" xfId="0" applyNumberFormat="1" applyFont="1" applyBorder="1" applyAlignment="1">
      <alignment vertical="center"/>
    </xf>
    <xf numFmtId="166" fontId="21" fillId="0" borderId="0" xfId="0" applyNumberFormat="1" applyFont="1" applyAlignment="1">
      <alignment vertical="center"/>
    </xf>
    <xf numFmtId="166" fontId="21" fillId="4" borderId="0" xfId="0" applyNumberFormat="1" applyFont="1" applyFill="1" applyAlignment="1">
      <alignment vertical="center"/>
    </xf>
    <xf numFmtId="179" fontId="38" fillId="4" borderId="0" xfId="0" applyNumberFormat="1" applyFont="1" applyFill="1" applyAlignment="1">
      <alignment horizontal="right" vertical="center"/>
    </xf>
    <xf numFmtId="184" fontId="38" fillId="4" borderId="0" xfId="0" applyNumberFormat="1" applyFont="1" applyFill="1" applyAlignment="1">
      <alignment horizontal="right" vertical="center"/>
    </xf>
    <xf numFmtId="184" fontId="45" fillId="4" borderId="0" xfId="0" applyNumberFormat="1" applyFont="1" applyFill="1" applyAlignment="1">
      <alignment horizontal="right" vertical="center"/>
    </xf>
    <xf numFmtId="167" fontId="41" fillId="4" borderId="0" xfId="0" applyNumberFormat="1" applyFont="1" applyFill="1" applyAlignment="1">
      <alignment horizontal="right" vertical="center"/>
    </xf>
    <xf numFmtId="170" fontId="14" fillId="4" borderId="0" xfId="0" applyNumberFormat="1" applyFont="1" applyFill="1" applyAlignment="1">
      <alignment horizontal="right" vertical="center"/>
    </xf>
    <xf numFmtId="170" fontId="45" fillId="4" borderId="0" xfId="0" applyNumberFormat="1" applyFont="1" applyFill="1" applyAlignment="1">
      <alignment horizontal="right" vertical="center"/>
    </xf>
    <xf numFmtId="179" fontId="14" fillId="0" borderId="0" xfId="0" applyNumberFormat="1" applyFont="1" applyAlignment="1">
      <alignment vertical="center"/>
    </xf>
    <xf numFmtId="185" fontId="49" fillId="0" borderId="0" xfId="0" applyNumberFormat="1" applyFont="1" applyAlignment="1">
      <alignment horizontal="right" vertical="center"/>
    </xf>
    <xf numFmtId="185" fontId="42" fillId="0" borderId="0" xfId="0" applyNumberFormat="1" applyFont="1" applyAlignment="1">
      <alignment horizontal="right" vertical="center"/>
    </xf>
    <xf numFmtId="170" fontId="12" fillId="0" borderId="0" xfId="0" applyNumberFormat="1" applyFont="1" applyAlignment="1">
      <alignment vertical="center"/>
    </xf>
    <xf numFmtId="0" fontId="12" fillId="0" borderId="0" xfId="0" applyFont="1" applyAlignment="1">
      <alignment vertical="center"/>
    </xf>
    <xf numFmtId="0" fontId="55" fillId="0" borderId="0" xfId="0" applyFont="1" applyAlignment="1">
      <alignment horizontal="left" vertical="center" indent="2" readingOrder="1"/>
    </xf>
    <xf numFmtId="179" fontId="21" fillId="4" borderId="0" xfId="0" applyNumberFormat="1" applyFont="1" applyFill="1" applyAlignment="1">
      <alignment vertical="center"/>
    </xf>
    <xf numFmtId="170" fontId="38" fillId="0" borderId="4" xfId="0" applyNumberFormat="1" applyFont="1" applyBorder="1" applyAlignment="1">
      <alignment vertical="center"/>
    </xf>
    <xf numFmtId="179" fontId="21" fillId="0" borderId="4" xfId="0" applyNumberFormat="1" applyFont="1" applyBorder="1" applyAlignment="1">
      <alignment vertical="center"/>
    </xf>
    <xf numFmtId="177" fontId="25" fillId="0" borderId="10" xfId="0" applyNumberFormat="1" applyFont="1" applyBorder="1" applyAlignment="1">
      <alignment vertical="center"/>
    </xf>
    <xf numFmtId="179" fontId="21" fillId="0" borderId="10" xfId="0" applyNumberFormat="1" applyFont="1" applyBorder="1" applyAlignment="1">
      <alignment vertical="center"/>
    </xf>
    <xf numFmtId="0" fontId="21" fillId="2" borderId="7" xfId="0" applyFont="1" applyFill="1" applyBorder="1" applyAlignment="1">
      <alignment horizontal="left" vertical="center"/>
    </xf>
    <xf numFmtId="0" fontId="21" fillId="2" borderId="8" xfId="0" applyFont="1" applyFill="1" applyBorder="1" applyAlignment="1">
      <alignment horizontal="left" vertical="center"/>
    </xf>
    <xf numFmtId="177" fontId="21" fillId="4" borderId="0" xfId="0" applyNumberFormat="1" applyFont="1" applyFill="1" applyAlignment="1">
      <alignment vertical="center"/>
    </xf>
    <xf numFmtId="0" fontId="57" fillId="7" borderId="0" xfId="0" applyFont="1" applyFill="1" applyAlignment="1">
      <alignment vertical="center"/>
    </xf>
    <xf numFmtId="0" fontId="57" fillId="0" borderId="0" xfId="0" applyFont="1" applyAlignment="1">
      <alignment vertical="center"/>
    </xf>
    <xf numFmtId="166" fontId="38" fillId="5" borderId="0" xfId="0" applyNumberFormat="1" applyFont="1" applyFill="1" applyAlignment="1">
      <alignment vertical="center"/>
    </xf>
    <xf numFmtId="170" fontId="40" fillId="0" borderId="0" xfId="0" applyNumberFormat="1" applyFont="1" applyAlignment="1">
      <alignment vertical="center"/>
    </xf>
    <xf numFmtId="177" fontId="25" fillId="0" borderId="0" xfId="0" applyNumberFormat="1" applyFont="1" applyAlignment="1">
      <alignment vertical="center"/>
    </xf>
    <xf numFmtId="179" fontId="38" fillId="0" borderId="0" xfId="0" applyNumberFormat="1" applyFont="1" applyAlignment="1">
      <alignment horizontal="right" vertical="center"/>
    </xf>
    <xf numFmtId="184" fontId="38" fillId="0" borderId="0" xfId="0" applyNumberFormat="1" applyFont="1" applyAlignment="1">
      <alignment horizontal="right" vertical="center"/>
    </xf>
    <xf numFmtId="184" fontId="45" fillId="0" borderId="0" xfId="0" applyNumberFormat="1" applyFont="1" applyAlignment="1">
      <alignment horizontal="right" vertical="center"/>
    </xf>
    <xf numFmtId="167" fontId="41" fillId="0" borderId="0" xfId="0" applyNumberFormat="1" applyFont="1" applyAlignment="1">
      <alignment horizontal="right" vertical="center"/>
    </xf>
    <xf numFmtId="170" fontId="45" fillId="0" borderId="0" xfId="0" applyNumberFormat="1" applyFont="1" applyAlignment="1">
      <alignment horizontal="right" vertical="center"/>
    </xf>
    <xf numFmtId="179" fontId="21" fillId="0" borderId="0" xfId="0" applyNumberFormat="1" applyFont="1" applyAlignment="1">
      <alignment vertical="center"/>
    </xf>
    <xf numFmtId="177" fontId="21" fillId="0" borderId="0" xfId="0" applyNumberFormat="1" applyFont="1" applyAlignment="1">
      <alignment vertical="center"/>
    </xf>
    <xf numFmtId="0" fontId="58" fillId="0" borderId="11" xfId="0" applyFont="1" applyBorder="1" applyAlignment="1">
      <alignment horizontal="left" vertical="center"/>
    </xf>
    <xf numFmtId="0" fontId="37" fillId="0" borderId="11" xfId="0" applyFont="1" applyBorder="1" applyAlignment="1">
      <alignment vertical="center"/>
    </xf>
    <xf numFmtId="0" fontId="14" fillId="0" borderId="11" xfId="0" applyFont="1" applyBorder="1" applyAlignment="1">
      <alignment vertical="center"/>
    </xf>
    <xf numFmtId="0" fontId="38" fillId="0" borderId="11" xfId="0" applyFont="1" applyBorder="1" applyAlignment="1">
      <alignment vertical="center"/>
    </xf>
    <xf numFmtId="176" fontId="38" fillId="0" borderId="11" xfId="0" applyNumberFormat="1" applyFont="1" applyBorder="1" applyAlignment="1">
      <alignment vertical="center"/>
    </xf>
    <xf numFmtId="179" fontId="38" fillId="4" borderId="0" xfId="0" applyNumberFormat="1" applyFont="1" applyFill="1" applyAlignment="1">
      <alignment vertical="center"/>
    </xf>
    <xf numFmtId="179" fontId="38" fillId="4" borderId="4" xfId="0" applyNumberFormat="1" applyFont="1" applyFill="1" applyBorder="1" applyAlignment="1">
      <alignment vertical="center"/>
    </xf>
    <xf numFmtId="0" fontId="40" fillId="0" borderId="0" xfId="0" applyFont="1" applyAlignment="1">
      <alignment horizontal="left" vertical="center"/>
    </xf>
    <xf numFmtId="176" fontId="38" fillId="0" borderId="11" xfId="0" applyNumberFormat="1" applyFont="1" applyBorder="1" applyAlignment="1">
      <alignment horizontal="right" vertical="center"/>
    </xf>
    <xf numFmtId="0" fontId="38" fillId="0" borderId="11" xfId="0" applyFont="1" applyBorder="1" applyAlignment="1">
      <alignment horizontal="right" vertical="center"/>
    </xf>
    <xf numFmtId="166" fontId="38" fillId="5" borderId="0" xfId="0" applyNumberFormat="1" applyFont="1" applyFill="1" applyAlignment="1">
      <alignment horizontal="right" vertical="center"/>
    </xf>
    <xf numFmtId="179" fontId="38" fillId="4" borderId="4" xfId="0" applyNumberFormat="1" applyFont="1" applyFill="1" applyBorder="1" applyAlignment="1">
      <alignment horizontal="right" vertical="center"/>
    </xf>
    <xf numFmtId="178" fontId="38" fillId="0" borderId="0" xfId="0" applyNumberFormat="1" applyFont="1" applyAlignment="1">
      <alignment vertical="center"/>
    </xf>
    <xf numFmtId="178" fontId="38" fillId="4" borderId="0" xfId="0" applyNumberFormat="1" applyFont="1" applyFill="1" applyAlignment="1">
      <alignment vertical="center"/>
    </xf>
    <xf numFmtId="170" fontId="38" fillId="4" borderId="0" xfId="0" applyNumberFormat="1" applyFont="1" applyFill="1" applyAlignment="1">
      <alignment horizontal="right" vertical="center"/>
    </xf>
    <xf numFmtId="170" fontId="38" fillId="5" borderId="0" xfId="0" applyNumberFormat="1" applyFont="1" applyFill="1" applyAlignment="1">
      <alignment horizontal="right" vertical="center"/>
    </xf>
    <xf numFmtId="177" fontId="38" fillId="4" borderId="4" xfId="0" applyNumberFormat="1" applyFont="1" applyFill="1" applyBorder="1" applyAlignment="1">
      <alignment vertical="center"/>
    </xf>
    <xf numFmtId="177" fontId="38" fillId="4" borderId="4" xfId="0" applyNumberFormat="1" applyFont="1" applyFill="1" applyBorder="1" applyAlignment="1">
      <alignment horizontal="right" vertical="center"/>
    </xf>
    <xf numFmtId="0" fontId="20" fillId="2" borderId="7" xfId="0" applyFont="1" applyFill="1" applyBorder="1" applyAlignment="1">
      <alignment horizontal="right" vertical="center"/>
    </xf>
    <xf numFmtId="0" fontId="59" fillId="0" borderId="0" xfId="0" applyFont="1" applyAlignment="1">
      <alignment horizontal="right" vertical="center"/>
    </xf>
    <xf numFmtId="0" fontId="59" fillId="0" borderId="0" xfId="0" applyFont="1" applyAlignment="1">
      <alignment horizontal="centerContinuous" vertical="center"/>
    </xf>
    <xf numFmtId="0" fontId="14" fillId="0" borderId="0" xfId="0" applyFont="1" applyAlignment="1">
      <alignment horizontal="centerContinuous" vertical="center"/>
    </xf>
    <xf numFmtId="181" fontId="54" fillId="4" borderId="0" xfId="0" applyNumberFormat="1" applyFont="1" applyFill="1" applyAlignment="1">
      <alignment vertical="center"/>
    </xf>
    <xf numFmtId="0" fontId="21" fillId="0" borderId="0" xfId="0" applyFont="1" applyAlignment="1">
      <alignment horizontal="center" vertical="center"/>
    </xf>
    <xf numFmtId="0" fontId="60" fillId="0" borderId="0" xfId="0" applyFont="1" applyAlignment="1">
      <alignment horizontal="center" vertical="center"/>
    </xf>
    <xf numFmtId="0" fontId="21" fillId="0" borderId="3" xfId="0" applyFont="1" applyBorder="1" applyAlignment="1">
      <alignment horizontal="center" vertical="center"/>
    </xf>
    <xf numFmtId="0" fontId="60" fillId="0" borderId="3" xfId="0" applyFont="1" applyBorder="1" applyAlignment="1">
      <alignment horizontal="center" vertical="center"/>
    </xf>
    <xf numFmtId="0" fontId="34" fillId="0" borderId="3" xfId="0" applyFont="1" applyBorder="1" applyAlignment="1">
      <alignment horizontal="center" vertical="center"/>
    </xf>
    <xf numFmtId="0" fontId="34" fillId="0" borderId="3" xfId="0" applyFont="1" applyBorder="1" applyAlignment="1">
      <alignment horizontal="right" vertical="center"/>
    </xf>
    <xf numFmtId="176" fontId="14" fillId="0" borderId="0" xfId="0" applyNumberFormat="1" applyFont="1" applyAlignment="1">
      <alignment vertical="center"/>
    </xf>
    <xf numFmtId="186" fontId="45" fillId="4" borderId="0" xfId="0" applyNumberFormat="1" applyFont="1" applyFill="1" applyAlignment="1">
      <alignment horizontal="right" vertical="center"/>
    </xf>
    <xf numFmtId="185" fontId="54" fillId="4" borderId="0" xfId="0" applyNumberFormat="1" applyFont="1" applyFill="1" applyAlignment="1">
      <alignment horizontal="right" vertical="center"/>
    </xf>
    <xf numFmtId="185" fontId="41" fillId="4" borderId="0" xfId="0" applyNumberFormat="1" applyFont="1" applyFill="1" applyAlignment="1">
      <alignment horizontal="right" vertical="center"/>
    </xf>
    <xf numFmtId="181" fontId="54" fillId="4" borderId="0" xfId="0" applyNumberFormat="1" applyFont="1" applyFill="1" applyAlignment="1">
      <alignment horizontal="right" vertical="center"/>
    </xf>
    <xf numFmtId="170" fontId="14" fillId="0" borderId="0" xfId="0" applyNumberFormat="1" applyFont="1" applyAlignment="1">
      <alignment vertical="center"/>
    </xf>
    <xf numFmtId="166" fontId="38" fillId="4" borderId="4" xfId="0" applyNumberFormat="1" applyFont="1" applyFill="1" applyBorder="1" applyAlignment="1">
      <alignment vertical="center"/>
    </xf>
    <xf numFmtId="170" fontId="21" fillId="0" borderId="4" xfId="0" applyNumberFormat="1" applyFont="1" applyBorder="1" applyAlignment="1">
      <alignment vertical="center"/>
    </xf>
    <xf numFmtId="179" fontId="21" fillId="4" borderId="4" xfId="0" applyNumberFormat="1" applyFont="1" applyFill="1" applyBorder="1" applyAlignment="1">
      <alignment vertical="center"/>
    </xf>
    <xf numFmtId="179" fontId="21" fillId="4" borderId="10" xfId="0" applyNumberFormat="1" applyFont="1" applyFill="1" applyBorder="1" applyAlignment="1">
      <alignment vertical="center"/>
    </xf>
    <xf numFmtId="172" fontId="21" fillId="4" borderId="0" xfId="0" applyNumberFormat="1" applyFont="1" applyFill="1" applyAlignment="1">
      <alignment horizontal="center" vertical="center"/>
    </xf>
    <xf numFmtId="0" fontId="38" fillId="4" borderId="0" xfId="0" applyFont="1" applyFill="1" applyAlignment="1">
      <alignment vertical="center"/>
    </xf>
    <xf numFmtId="177" fontId="38" fillId="0" borderId="4" xfId="0" applyNumberFormat="1" applyFont="1" applyBorder="1" applyAlignment="1">
      <alignment vertical="center"/>
    </xf>
    <xf numFmtId="0" fontId="36" fillId="0" borderId="0" xfId="0" applyFont="1" applyAlignment="1">
      <alignment horizontal="left" vertical="center"/>
    </xf>
    <xf numFmtId="171" fontId="34" fillId="0" borderId="0" xfId="0" applyNumberFormat="1" applyFont="1" applyAlignment="1">
      <alignment horizontal="center" vertical="center"/>
    </xf>
    <xf numFmtId="179" fontId="38" fillId="0" borderId="4" xfId="0" applyNumberFormat="1" applyFont="1" applyBorder="1" applyAlignment="1">
      <alignment vertical="center"/>
    </xf>
    <xf numFmtId="179" fontId="38" fillId="0" borderId="4" xfId="0" applyNumberFormat="1" applyFont="1" applyBorder="1" applyAlignment="1">
      <alignment horizontal="right" vertical="center"/>
    </xf>
    <xf numFmtId="177" fontId="38" fillId="0" borderId="4" xfId="0" applyNumberFormat="1" applyFont="1" applyBorder="1" applyAlignment="1">
      <alignment horizontal="right" vertical="center"/>
    </xf>
    <xf numFmtId="181" fontId="54" fillId="0" borderId="0" xfId="0" applyNumberFormat="1" applyFont="1" applyAlignment="1">
      <alignment vertical="center"/>
    </xf>
    <xf numFmtId="186" fontId="45" fillId="0" borderId="0" xfId="0" applyNumberFormat="1" applyFont="1" applyAlignment="1">
      <alignment horizontal="right" vertical="center"/>
    </xf>
    <xf numFmtId="185" fontId="54" fillId="0" borderId="0" xfId="0" applyNumberFormat="1" applyFont="1" applyAlignment="1">
      <alignment horizontal="right" vertical="center"/>
    </xf>
    <xf numFmtId="185" fontId="41" fillId="0" borderId="0" xfId="0" applyNumberFormat="1" applyFont="1" applyAlignment="1">
      <alignment horizontal="right" vertical="center"/>
    </xf>
    <xf numFmtId="181" fontId="54" fillId="0" borderId="0" xfId="0" applyNumberFormat="1" applyFont="1" applyAlignment="1">
      <alignment horizontal="righ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887A9F52-D4C3-450B-9DE3-B1F7A5A3384F}"/>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715A4A47-6B7B-40C2-964F-3BB85F444AC1}"/>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72275CDA-812A-4277-BCD7-39275D38FA08}"/>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D0845A86-247F-4775-B6A8-0290980DCCE9}"/>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0DF1E998-8E61-4777-8294-61B4A443EE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D78374A3-172D-4A36-97B6-D60782E566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D315886D-8E62-432E-9658-D0025F247FC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480391</xdr:colOff>
      <xdr:row>5</xdr:row>
      <xdr:rowOff>165651</xdr:rowOff>
    </xdr:from>
    <xdr:to>
      <xdr:col>21</xdr:col>
      <xdr:colOff>461759</xdr:colOff>
      <xdr:row>37</xdr:row>
      <xdr:rowOff>66260</xdr:rowOff>
    </xdr:to>
    <xdr:sp macro="" textlink="">
      <xdr:nvSpPr>
        <xdr:cNvPr id="2" name="TextBox 14">
          <a:extLst>
            <a:ext uri="{FF2B5EF4-FFF2-40B4-BE49-F238E27FC236}">
              <a16:creationId xmlns:a16="http://schemas.microsoft.com/office/drawing/2014/main" id="{E83E8E1F-2B57-474A-820A-89E82BA4D31A}"/>
            </a:ext>
          </a:extLst>
        </xdr:cNvPr>
        <xdr:cNvSpPr txBox="1"/>
      </xdr:nvSpPr>
      <xdr:spPr>
        <a:xfrm>
          <a:off x="9281491" y="1118151"/>
          <a:ext cx="5467768" cy="5148884"/>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Once upon a midnight dreary as I pondered weak and weary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Over many a quaint and curious volume of accounting lore,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Seeking gimmicks (without scruple) to squeeze through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Some new tax loophole,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Suddenly I heard a knock upon my door,</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felt a queasy tingling and I heard the cash a-jingling</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As a fearsome banker entered whom I’d often seen before.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His face was money-green and in his eyes there could be seen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Dollar-signs that seemed to glitter as he reckoned up the score.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“Cash flow,” the banker said, and nothing more.</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I had always thought it fine to show a jet black bottom line.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sounded a resounding, “No.</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Your receivables are high, mounting upward toward the sky;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Write-offs loom.  What matters is cash flow.”</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repeated, “Watch cash flow.”</a:t>
          </a:r>
        </a:p>
      </xdr:txBody>
    </xdr:sp>
    <xdr:clientData/>
  </xdr:twoCellAnchor>
  <xdr:twoCellAnchor>
    <xdr:from>
      <xdr:col>22</xdr:col>
      <xdr:colOff>0</xdr:colOff>
      <xdr:row>5</xdr:row>
      <xdr:rowOff>173933</xdr:rowOff>
    </xdr:from>
    <xdr:to>
      <xdr:col>30</xdr:col>
      <xdr:colOff>594281</xdr:colOff>
      <xdr:row>37</xdr:row>
      <xdr:rowOff>91108</xdr:rowOff>
    </xdr:to>
    <xdr:sp macro="" textlink="">
      <xdr:nvSpPr>
        <xdr:cNvPr id="3" name="TextBox 10">
          <a:extLst>
            <a:ext uri="{FF2B5EF4-FFF2-40B4-BE49-F238E27FC236}">
              <a16:creationId xmlns:a16="http://schemas.microsoft.com/office/drawing/2014/main" id="{C9455443-BDE4-4191-9083-1BB4B994ACE7}"/>
            </a:ext>
          </a:extLst>
        </xdr:cNvPr>
        <xdr:cNvSpPr txBox="1"/>
      </xdr:nvSpPr>
      <xdr:spPr>
        <a:xfrm>
          <a:off x="14897100" y="1126433"/>
          <a:ext cx="5471081" cy="5165450"/>
        </a:xfrm>
        <a:prstGeom prst="rect">
          <a:avLst/>
        </a:prstGeom>
        <a:solidFill>
          <a:srgbClr val="416D89"/>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Then I tried to tell the story of our lovely inventory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Which, though large, is full of most delightful stuff.</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the banker saw its growth, and with a might oath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waved his arms and shouted, “Stop!  Enough!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Pay the interest, and don’t give me any guff!”</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Next I looked for noncash items which could add ad infinitum</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To replace the ever-outward flow of cash,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But to keep my statement black I’d held depreciation back,</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my banker said that I’d done something rash.</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He quivered, and his teeth began to gnash.</a:t>
          </a:r>
        </a:p>
        <a:p>
          <a:pPr algn="l">
            <a:spcBef>
              <a:spcPts val="1125"/>
            </a:spcBef>
            <a:spcAft>
              <a:spcPts val="1125"/>
            </a:spcAft>
            <a:buNone/>
          </a:pP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When I asked him for a loan, he responded, with a groan,</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That the interest rate would be just prime plus eight,</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And to guarantee my purity he’d insist on some security—</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All my assets plus the scalp upon my pate.</a:t>
          </a:r>
          <a:b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br>
          <a:r>
            <a:rPr lang="en-US" sz="1400" b="0" i="0">
              <a:solidFill>
                <a:schemeClr val="bg1"/>
              </a:solidFill>
              <a:effectLst/>
              <a:latin typeface="Open Sans" panose="020B0606030504020204" pitchFamily="34" charset="0"/>
              <a:ea typeface="Open Sans" panose="020B0606030504020204" pitchFamily="34" charset="0"/>
              <a:cs typeface="Open Sans" panose="020B0606030504020204" pitchFamily="34" charset="0"/>
            </a:rPr>
            <a:t>Only this, a standard rate.</a:t>
          </a:r>
        </a:p>
      </xdr:txBody>
    </xdr:sp>
    <xdr:clientData/>
  </xdr:twoCellAnchor>
  <xdr:twoCellAnchor>
    <xdr:from>
      <xdr:col>12</xdr:col>
      <xdr:colOff>488675</xdr:colOff>
      <xdr:row>38</xdr:row>
      <xdr:rowOff>80671</xdr:rowOff>
    </xdr:from>
    <xdr:to>
      <xdr:col>31</xdr:col>
      <xdr:colOff>8284</xdr:colOff>
      <xdr:row>43</xdr:row>
      <xdr:rowOff>91109</xdr:rowOff>
    </xdr:to>
    <xdr:sp macro="" textlink="">
      <xdr:nvSpPr>
        <xdr:cNvPr id="4" name="TextBox 11">
          <a:extLst>
            <a:ext uri="{FF2B5EF4-FFF2-40B4-BE49-F238E27FC236}">
              <a16:creationId xmlns:a16="http://schemas.microsoft.com/office/drawing/2014/main" id="{BCDAC16A-E8DC-4E0B-B1B5-45B0AECBFA25}"/>
            </a:ext>
          </a:extLst>
        </xdr:cNvPr>
        <xdr:cNvSpPr txBox="1"/>
      </xdr:nvSpPr>
      <xdr:spPr>
        <a:xfrm>
          <a:off x="9289775" y="6452896"/>
          <a:ext cx="11102009" cy="867688"/>
        </a:xfrm>
        <a:prstGeom prst="rect">
          <a:avLst/>
        </a:prstGeom>
        <a:solidFill>
          <a:srgbClr val="002447"/>
        </a:solidFill>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Though my bottom line is black, I am flat upon my back,</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My cash flows out and customers pay slow.</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growth of my receivables is almost unbelievable:</a:t>
          </a:r>
        </a:p>
      </xdr:txBody>
    </xdr:sp>
    <xdr:clientData/>
  </xdr:twoCellAnchor>
  <xdr:twoCellAnchor>
    <xdr:from>
      <xdr:col>23</xdr:col>
      <xdr:colOff>223639</xdr:colOff>
      <xdr:row>38</xdr:row>
      <xdr:rowOff>88954</xdr:rowOff>
    </xdr:from>
    <xdr:to>
      <xdr:col>30</xdr:col>
      <xdr:colOff>604635</xdr:colOff>
      <xdr:row>43</xdr:row>
      <xdr:rowOff>45083</xdr:rowOff>
    </xdr:to>
    <xdr:sp macro="" textlink="">
      <xdr:nvSpPr>
        <xdr:cNvPr id="5" name="TextBox 16">
          <a:extLst>
            <a:ext uri="{FF2B5EF4-FFF2-40B4-BE49-F238E27FC236}">
              <a16:creationId xmlns:a16="http://schemas.microsoft.com/office/drawing/2014/main" id="{40EAC733-F73D-49FF-BA1F-9A8647780187}"/>
            </a:ext>
          </a:extLst>
        </xdr:cNvPr>
        <xdr:cNvSpPr txBox="1"/>
      </xdr:nvSpPr>
      <xdr:spPr>
        <a:xfrm>
          <a:off x="15730339" y="6461179"/>
          <a:ext cx="4648196" cy="813379"/>
        </a:xfrm>
        <a:prstGeom prst="rect">
          <a:avLst/>
        </a:prstGeom>
        <a:solidFill>
          <a:srgbClr val="002447"/>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Bef>
              <a:spcPts val="1125"/>
            </a:spcBef>
            <a:spcAft>
              <a:spcPts val="1125"/>
            </a:spcAft>
          </a:pP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The result is certain—unremitting woe!</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And I hear the banker utter an ominous low mutter,</a:t>
          </a:r>
          <a:b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br>
          <a:r>
            <a:rPr lang="en-US" sz="1400">
              <a:solidFill>
                <a:schemeClr val="bg1"/>
              </a:solidFill>
              <a:latin typeface="Open Sans" panose="020B0606030504020204" pitchFamily="34" charset="0"/>
              <a:ea typeface="Open Sans" panose="020B0606030504020204" pitchFamily="34" charset="0"/>
              <a:cs typeface="Open Sans" panose="020B0606030504020204" pitchFamily="34" charset="0"/>
            </a:rPr>
            <a:t>“Watch cash flow.”</a:t>
          </a:r>
        </a:p>
      </xdr:txBody>
    </xdr:sp>
    <xdr:clientData/>
  </xdr:twoCellAnchor>
  <xdr:twoCellAnchor editAs="oneCell">
    <xdr:from>
      <xdr:col>13</xdr:col>
      <xdr:colOff>455543</xdr:colOff>
      <xdr:row>9</xdr:row>
      <xdr:rowOff>132521</xdr:rowOff>
    </xdr:from>
    <xdr:to>
      <xdr:col>20</xdr:col>
      <xdr:colOff>215545</xdr:colOff>
      <xdr:row>33</xdr:row>
      <xdr:rowOff>124436</xdr:rowOff>
    </xdr:to>
    <xdr:pic>
      <xdr:nvPicPr>
        <xdr:cNvPr id="6" name="Graphic 13" descr="Badge 1 outline">
          <a:extLst>
            <a:ext uri="{FF2B5EF4-FFF2-40B4-BE49-F238E27FC236}">
              <a16:creationId xmlns:a16="http://schemas.microsoft.com/office/drawing/2014/main" id="{33F46D55-9EDB-4274-A0E2-CB24EA8CFE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7" name="Graphic 18" descr="Badge outline">
          <a:extLst>
            <a:ext uri="{FF2B5EF4-FFF2-40B4-BE49-F238E27FC236}">
              <a16:creationId xmlns:a16="http://schemas.microsoft.com/office/drawing/2014/main" id="{02BF79D0-5ABE-46EA-9A10-9EFE8F842B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8" name="Graphic 20" descr="Badge 3 outline">
          <a:extLst>
            <a:ext uri="{FF2B5EF4-FFF2-40B4-BE49-F238E27FC236}">
              <a16:creationId xmlns:a16="http://schemas.microsoft.com/office/drawing/2014/main" id="{6E8DC76D-B89E-48DA-8F12-8CFF2F7159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109AF180-6C0A-43FF-858E-EBE381E738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2E3E76AB-1834-4D7B-ACAD-A52AE8E345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720B53E0-1548-49D2-B5DA-CC6E052176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2355F946-D288-4CB9-973B-8A49634D5E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C2B3D1A3-C580-4D6C-AF25-B1215A38C3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67BD5259-08AF-4D9D-8DC1-680B5CBD11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455543</xdr:colOff>
      <xdr:row>9</xdr:row>
      <xdr:rowOff>132521</xdr:rowOff>
    </xdr:from>
    <xdr:to>
      <xdr:col>20</xdr:col>
      <xdr:colOff>215545</xdr:colOff>
      <xdr:row>33</xdr:row>
      <xdr:rowOff>124436</xdr:rowOff>
    </xdr:to>
    <xdr:pic>
      <xdr:nvPicPr>
        <xdr:cNvPr id="2" name="Graphic 13" descr="Badge 1 outline">
          <a:extLst>
            <a:ext uri="{FF2B5EF4-FFF2-40B4-BE49-F238E27FC236}">
              <a16:creationId xmlns:a16="http://schemas.microsoft.com/office/drawing/2014/main" id="{69609FA5-8618-45F8-A571-1896312629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6243" y="1761296"/>
          <a:ext cx="4027202" cy="3992415"/>
        </a:xfrm>
        <a:prstGeom prst="rect">
          <a:avLst/>
        </a:prstGeom>
      </xdr:spPr>
    </xdr:pic>
    <xdr:clientData/>
  </xdr:twoCellAnchor>
  <xdr:twoCellAnchor editAs="oneCell">
    <xdr:from>
      <xdr:col>23</xdr:col>
      <xdr:colOff>132516</xdr:colOff>
      <xdr:row>10</xdr:row>
      <xdr:rowOff>8285</xdr:rowOff>
    </xdr:from>
    <xdr:to>
      <xdr:col>29</xdr:col>
      <xdr:colOff>309092</xdr:colOff>
      <xdr:row>32</xdr:row>
      <xdr:rowOff>151730</xdr:rowOff>
    </xdr:to>
    <xdr:pic>
      <xdr:nvPicPr>
        <xdr:cNvPr id="3" name="Graphic 18" descr="Badge outline">
          <a:extLst>
            <a:ext uri="{FF2B5EF4-FFF2-40B4-BE49-F238E27FC236}">
              <a16:creationId xmlns:a16="http://schemas.microsoft.com/office/drawing/2014/main" id="{9C112EC7-0D82-4104-B8E5-8AAD20FE7D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39216" y="1808510"/>
          <a:ext cx="3834176" cy="3801045"/>
        </a:xfrm>
        <a:prstGeom prst="rect">
          <a:avLst/>
        </a:prstGeom>
      </xdr:spPr>
    </xdr:pic>
    <xdr:clientData/>
  </xdr:twoCellAnchor>
  <xdr:twoCellAnchor editAs="oneCell">
    <xdr:from>
      <xdr:col>21</xdr:col>
      <xdr:colOff>82820</xdr:colOff>
      <xdr:row>38</xdr:row>
      <xdr:rowOff>49698</xdr:rowOff>
    </xdr:from>
    <xdr:to>
      <xdr:col>22</xdr:col>
      <xdr:colOff>384307</xdr:colOff>
      <xdr:row>43</xdr:row>
      <xdr:rowOff>94424</xdr:rowOff>
    </xdr:to>
    <xdr:pic>
      <xdr:nvPicPr>
        <xdr:cNvPr id="4" name="Graphic 20" descr="Badge 3 outline">
          <a:extLst>
            <a:ext uri="{FF2B5EF4-FFF2-40B4-BE49-F238E27FC236}">
              <a16:creationId xmlns:a16="http://schemas.microsoft.com/office/drawing/2014/main" id="{C0535C31-54FB-442C-8654-A213BD0681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70320" y="6421923"/>
          <a:ext cx="911087" cy="90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2BEE-D175-4ED3-8E90-5136B9793DD8}">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5.829392560625954</v>
      </c>
      <c r="I20" s="149">
        <f t="shared" ref="I20:L20" si="6">I126</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f>('Financials from CIP'!E53-'Financials from CIP'!D53+'Financials from CIP'!E25)/1000</f>
        <v>2.2620482799999997</v>
      </c>
      <c r="H36" s="162">
        <f>H48*H13</f>
        <v>2.6089416062595356</v>
      </c>
      <c r="I36" s="162">
        <f>I48*I13</f>
        <v>3.0090322850545372</v>
      </c>
      <c r="J36" s="162">
        <f>J48*J13</f>
        <v>3.3802073552164953</v>
      </c>
      <c r="K36" s="162">
        <f>K48*K13</f>
        <v>3.6957619988438841</v>
      </c>
      <c r="L36" s="162">
        <f>L48*L13</f>
        <v>3.9299019555263603</v>
      </c>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f>G36/G13</f>
        <v>2.4963560600917242E-2</v>
      </c>
      <c r="H48" s="135">
        <f>G48</f>
        <v>2.4963560600917242E-2</v>
      </c>
      <c r="I48" s="135">
        <f>H48</f>
        <v>2.4963560600917242E-2</v>
      </c>
      <c r="J48" s="135">
        <f>I48</f>
        <v>2.4963560600917242E-2</v>
      </c>
      <c r="K48" s="135">
        <f>J48</f>
        <v>2.4963560600917242E-2</v>
      </c>
      <c r="L48" s="135">
        <f>K48</f>
        <v>2.4963560600917242E-2</v>
      </c>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f>G67+H36</f>
        <v>58.293925606259535</v>
      </c>
      <c r="I65" s="165">
        <f>H65+I36</f>
        <v>61.302957891314072</v>
      </c>
      <c r="J65" s="165">
        <f>I65+J36</f>
        <v>64.683165246530564</v>
      </c>
      <c r="K65" s="165">
        <f>J65+K36</f>
        <v>68.378927245374442</v>
      </c>
      <c r="L65" s="165">
        <f>K65+L36</f>
        <v>72.308829200900803</v>
      </c>
      <c r="M65" s="50" t="s">
        <v>135</v>
      </c>
    </row>
    <row r="66" spans="1:13" ht="13.5" customHeight="1" outlineLevel="1">
      <c r="A66" s="164"/>
      <c r="C66" s="91" t="s">
        <v>86</v>
      </c>
      <c r="D66" s="95"/>
      <c r="E66" s="95"/>
      <c r="F66" s="96"/>
      <c r="G66" s="96"/>
      <c r="H66" s="165">
        <f>G66-H20</f>
        <v>-5.829392560625954</v>
      </c>
      <c r="I66" s="165">
        <f>H66-I20</f>
        <v>-11.959688349757361</v>
      </c>
      <c r="J66" s="165">
        <f ca="1">I66-J20</f>
        <v>-18.428004874410419</v>
      </c>
      <c r="K66" s="165">
        <f ca="1">J66-K20</f>
        <v>-25.265897598947866</v>
      </c>
      <c r="L66" s="165">
        <f ca="1">K66-L20</f>
        <v>-32.496780519037948</v>
      </c>
      <c r="M66" s="50" t="s">
        <v>136</v>
      </c>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164"/>
      <c r="C68" s="98" t="s">
        <v>87</v>
      </c>
      <c r="D68" s="95"/>
      <c r="E68" s="95"/>
      <c r="F68" s="99">
        <v>0</v>
      </c>
      <c r="G68" s="99">
        <v>0</v>
      </c>
      <c r="H68" s="166">
        <v>0</v>
      </c>
      <c r="I68" s="166">
        <v>0</v>
      </c>
      <c r="J68" s="166">
        <v>0</v>
      </c>
      <c r="K68" s="166">
        <v>0</v>
      </c>
      <c r="L68" s="166">
        <v>0</v>
      </c>
      <c r="M68" s="50" t="s">
        <v>137</v>
      </c>
    </row>
    <row r="69" spans="1:13" ht="13.5" customHeight="1" outlineLevel="1">
      <c r="A69" s="164"/>
      <c r="C69" s="98" t="s">
        <v>88</v>
      </c>
      <c r="D69" s="95"/>
      <c r="E69" s="95"/>
      <c r="F69" s="96">
        <f>'Financials from CIP'!D54/1000</f>
        <v>4.378482</v>
      </c>
      <c r="G69" s="96">
        <f>'Financials from CIP'!E54/1000</f>
        <v>4.5043699999999998</v>
      </c>
      <c r="H69" s="165">
        <f>G69-H21</f>
        <v>4.2664179999999998</v>
      </c>
      <c r="I69" s="165">
        <f>H69-I21</f>
        <v>4.0284659999999999</v>
      </c>
      <c r="J69" s="165">
        <f>I69-J21</f>
        <v>3.7905139999999999</v>
      </c>
      <c r="K69" s="165">
        <f>J69-K21</f>
        <v>3.552562</v>
      </c>
      <c r="L69" s="165">
        <f>K69-L21</f>
        <v>3.3146100000000001</v>
      </c>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f>G83</f>
        <v>0.42988799999999999</v>
      </c>
      <c r="I83" s="129">
        <f>H83</f>
        <v>0.42988799999999999</v>
      </c>
      <c r="J83" s="129">
        <f>I83</f>
        <v>0.42988799999999999</v>
      </c>
      <c r="K83" s="129">
        <f>J83</f>
        <v>0.42988799999999999</v>
      </c>
      <c r="L83" s="129">
        <f>K83</f>
        <v>0.42988799999999999</v>
      </c>
      <c r="M83" s="50" t="s">
        <v>139</v>
      </c>
    </row>
    <row r="84" spans="1:19"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9" ht="13.5" customHeight="1" outlineLevel="1">
      <c r="A85" s="164"/>
      <c r="C85" s="98" t="s">
        <v>47</v>
      </c>
      <c r="F85" s="96">
        <f>'Financials from CIP'!D71/1000</f>
        <v>7.7836338279007267</v>
      </c>
      <c r="G85" s="96">
        <f>'Financials from CIP'!E71/1000</f>
        <v>8.9161157153081838</v>
      </c>
      <c r="H85" s="129">
        <f>G85</f>
        <v>8.9161157153081838</v>
      </c>
      <c r="I85" s="129">
        <f>H85</f>
        <v>8.9161157153081838</v>
      </c>
      <c r="J85" s="129">
        <f>I85</f>
        <v>8.9161157153081838</v>
      </c>
      <c r="K85" s="129">
        <f>J85</f>
        <v>8.9161157153081838</v>
      </c>
      <c r="L85" s="129">
        <f>K85</f>
        <v>8.9161157153081838</v>
      </c>
      <c r="M85" s="50" t="s">
        <v>140</v>
      </c>
    </row>
    <row r="86" spans="1:19" ht="13.5" customHeight="1" outlineLevel="1">
      <c r="A86" s="164"/>
      <c r="C86" s="98" t="s">
        <v>48</v>
      </c>
      <c r="F86" s="96">
        <f>'Financials from CIP'!D72/1000</f>
        <v>48.248887000000003</v>
      </c>
      <c r="G86" s="96">
        <f>'Financials from CIP'!E72/1000</f>
        <v>55.852504780500006</v>
      </c>
      <c r="H86" s="129">
        <f>G86+H33</f>
        <v>62.930877268329802</v>
      </c>
      <c r="I86" s="129">
        <f>H86+I33</f>
        <v>71.528192076037556</v>
      </c>
      <c r="J86" s="129">
        <f ca="1">I86+J33</f>
        <v>81.494142444464075</v>
      </c>
      <c r="K86" s="129">
        <f ca="1">J86+K33</f>
        <v>92.567038155451343</v>
      </c>
      <c r="L86" s="129">
        <f ca="1">K86+L33</f>
        <v>104.37950992102668</v>
      </c>
      <c r="M86" s="50" t="s">
        <v>141</v>
      </c>
    </row>
    <row r="87" spans="1:19"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f t="shared" ref="F89:L89" si="23">F87-F70</f>
        <v>8.2790072042371321E-7</v>
      </c>
      <c r="G89" s="168">
        <f t="shared" si="23"/>
        <v>-5.0419180297467392E-7</v>
      </c>
      <c r="H89" s="168">
        <f t="shared" si="23"/>
        <v>15.545929938004399</v>
      </c>
      <c r="I89" s="168">
        <f t="shared" si="23"/>
        <v>27.502460249789031</v>
      </c>
      <c r="J89" s="168">
        <f t="shared" ca="1" si="23"/>
        <v>40.794471787652114</v>
      </c>
      <c r="K89" s="168">
        <f t="shared" ca="1" si="23"/>
        <v>55.247450224332951</v>
      </c>
      <c r="L89" s="168">
        <f t="shared" ca="1" si="23"/>
        <v>70.598854954472017</v>
      </c>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 Answer Key'!F13</f>
        <v>0</v>
      </c>
      <c r="G94" s="122">
        <f>'Financials from CIP'!E13/1000-'Step 3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 Answer Key'!F15</f>
        <v>0</v>
      </c>
      <c r="G95" s="122">
        <f>'Financials from CIP'!E19/1000-'Step 3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 Answer Key'!F18</f>
        <v>0</v>
      </c>
      <c r="G96" s="122">
        <f>'Financials from CIP'!E36/1000-'Step 3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 Answer Key'!F33</f>
        <v>0</v>
      </c>
      <c r="G97" s="122">
        <f>'Financials from CIP'!E34/1000-'Step 3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 Answer Key'!F60</f>
        <v>0</v>
      </c>
      <c r="G100" s="122">
        <f>'Financials from CIP'!E46/1000-'Step 3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 Answer Key'!F64</f>
        <v>0</v>
      </c>
      <c r="G101" s="122">
        <f>'Financials from CIP'!E51/1000-'Step 3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 Answer Key'!F70</f>
        <v>0</v>
      </c>
      <c r="G102" s="122">
        <f>'Financials from CIP'!E56/1000-'Step 3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 Answer Key'!F77</f>
        <v>0</v>
      </c>
      <c r="G103" s="122">
        <f>'Financials from CIP'!E61/1000-'Step 3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 Answer Key'!F84</f>
        <v>0</v>
      </c>
      <c r="G104" s="122">
        <f>'Financials from CIP'!E69/1000-'Step 3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 Answer Key'!F85:F86)</f>
        <v>0</v>
      </c>
      <c r="G105" s="122">
        <f>'Financials from CIP'!E73/1000-SUM('Step 3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4">H$11</f>
        <v>46022</v>
      </c>
      <c r="I117" s="58">
        <f t="shared" si="24"/>
        <v>46387</v>
      </c>
      <c r="J117" s="58">
        <f t="shared" si="24"/>
        <v>46752</v>
      </c>
      <c r="K117" s="58">
        <f t="shared" si="24"/>
        <v>47118</v>
      </c>
      <c r="L117" s="58">
        <f t="shared" si="24"/>
        <v>47483</v>
      </c>
      <c r="M117" s="50"/>
    </row>
    <row r="118" spans="1:13" ht="13.5" customHeight="1">
      <c r="M118" s="50"/>
    </row>
    <row r="119" spans="1:13" ht="13.5" customHeight="1">
      <c r="A119" s="125"/>
      <c r="C119" s="146">
        <f>G11</f>
        <v>45657</v>
      </c>
      <c r="D119" s="169">
        <f>G67</f>
        <v>55.684984</v>
      </c>
      <c r="E119" s="170">
        <v>10</v>
      </c>
      <c r="F119" s="149">
        <f>-G20</f>
        <v>-1.1617642799999999</v>
      </c>
      <c r="G119" s="150">
        <f t="shared" ref="G119:G124" si="25">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f>H36</f>
        <v>2.6089416062595356</v>
      </c>
      <c r="E120" s="148">
        <v>10</v>
      </c>
      <c r="F120" s="68"/>
      <c r="G120" s="150">
        <f t="shared" si="25"/>
        <v>-0.26089416062595355</v>
      </c>
      <c r="H120" s="151">
        <f>-MIN(-$G120,$D120)</f>
        <v>-0.26089416062595355</v>
      </c>
      <c r="I120" s="173">
        <f>-MIN(-$H120,SUM($H120:H120,$D120))</f>
        <v>-0.26089416062595355</v>
      </c>
      <c r="J120" s="173">
        <f>-MIN(-$H120,SUM($H120:I120,$D120))</f>
        <v>-0.26089416062595355</v>
      </c>
      <c r="K120" s="173">
        <f>-MIN(-$H120,SUM($H120:J120,$D120))</f>
        <v>-0.26089416062595355</v>
      </c>
      <c r="L120" s="173">
        <f>-MIN(-$H120,SUM($H120:K120,$D120))</f>
        <v>-0.26089416062595355</v>
      </c>
      <c r="M120" s="50" t="s">
        <v>144</v>
      </c>
    </row>
    <row r="121" spans="1:13" ht="13.5" customHeight="1">
      <c r="A121" s="125"/>
      <c r="C121" s="146">
        <f>I117</f>
        <v>46387</v>
      </c>
      <c r="D121" s="171">
        <f>I36</f>
        <v>3.0090322850545372</v>
      </c>
      <c r="E121" s="148">
        <v>10</v>
      </c>
      <c r="F121" s="68"/>
      <c r="G121" s="150">
        <f t="shared" si="25"/>
        <v>-0.3009032285054537</v>
      </c>
      <c r="H121" s="174"/>
      <c r="I121" s="151">
        <f>-MIN(-$G121,$D121)</f>
        <v>-0.3009032285054537</v>
      </c>
      <c r="J121" s="173">
        <f ca="1">-MIN(-$I121,SUM($I121:J121,$D121))</f>
        <v>-0.3009032285054537</v>
      </c>
      <c r="K121" s="173">
        <f ca="1">-MIN(-$I121,SUM($I121:K121,$D121))</f>
        <v>-0.3009032285054537</v>
      </c>
      <c r="L121" s="173">
        <f ca="1">-MIN(-$I121,SUM($I121:L121,$D121))</f>
        <v>-0.3009032285054537</v>
      </c>
      <c r="M121" s="50" t="s">
        <v>144</v>
      </c>
    </row>
    <row r="122" spans="1:13" ht="13.5" customHeight="1">
      <c r="A122" s="125"/>
      <c r="C122" s="146">
        <f>J117</f>
        <v>46752</v>
      </c>
      <c r="D122" s="171">
        <f>J36</f>
        <v>3.3802073552164953</v>
      </c>
      <c r="E122" s="148">
        <v>10</v>
      </c>
      <c r="F122" s="68"/>
      <c r="G122" s="150">
        <f t="shared" si="25"/>
        <v>-0.33802073552164952</v>
      </c>
      <c r="H122" s="174"/>
      <c r="I122" s="174"/>
      <c r="J122" s="151">
        <f>-MIN(-$G122,$D122)</f>
        <v>-0.33802073552164952</v>
      </c>
      <c r="K122" s="173">
        <f ca="1">-MIN(-$J122,SUM($J122:L122,$D122))</f>
        <v>-0.33802073552164952</v>
      </c>
      <c r="L122" s="173">
        <f ca="1">-MIN(-$J122,SUM($J122:M122,$D122))</f>
        <v>-0.33802073552164952</v>
      </c>
      <c r="M122" s="50" t="s">
        <v>144</v>
      </c>
    </row>
    <row r="123" spans="1:13" ht="13.5" customHeight="1">
      <c r="A123" s="125"/>
      <c r="C123" s="146">
        <f>K117</f>
        <v>47118</v>
      </c>
      <c r="D123" s="171">
        <f>K36</f>
        <v>3.6957619988438841</v>
      </c>
      <c r="E123" s="148">
        <v>10</v>
      </c>
      <c r="F123" s="68"/>
      <c r="G123" s="150">
        <f t="shared" si="25"/>
        <v>-0.36957619988438839</v>
      </c>
      <c r="H123" s="174"/>
      <c r="I123" s="174"/>
      <c r="J123" s="174"/>
      <c r="K123" s="151">
        <f>-MIN(-$G123,$D123)</f>
        <v>-0.36957619988438839</v>
      </c>
      <c r="L123" s="173">
        <f ca="1">-MIN(-$K123,SUM($K123:N123,$D123))</f>
        <v>-0.36957619988438839</v>
      </c>
      <c r="M123" s="50" t="s">
        <v>144</v>
      </c>
    </row>
    <row r="124" spans="1:13" ht="13.5" customHeight="1">
      <c r="A124" s="125"/>
      <c r="C124" s="146">
        <f>L117</f>
        <v>47483</v>
      </c>
      <c r="D124" s="171">
        <f>L36</f>
        <v>3.9299019555263603</v>
      </c>
      <c r="E124" s="148">
        <v>10</v>
      </c>
      <c r="F124" s="68"/>
      <c r="G124" s="150">
        <f t="shared" si="25"/>
        <v>-0.39299019555263603</v>
      </c>
      <c r="H124" s="174"/>
      <c r="I124" s="174"/>
      <c r="J124" s="174"/>
      <c r="K124" s="174"/>
      <c r="L124" s="151">
        <f>-MIN(-$G124,$D124)</f>
        <v>-0.39299019555263603</v>
      </c>
      <c r="M124" s="50" t="s">
        <v>144</v>
      </c>
    </row>
    <row r="125" spans="1:13" ht="13.5" customHeight="1">
      <c r="C125" s="68"/>
      <c r="D125" s="155"/>
    </row>
    <row r="126" spans="1:13" ht="13.5" customHeight="1">
      <c r="C126" s="39" t="s">
        <v>131</v>
      </c>
      <c r="H126" s="156">
        <f>-SUM(H119:H125)</f>
        <v>5.829392560625954</v>
      </c>
      <c r="I126" s="156">
        <f t="shared" ref="I126:L126" si="26">-SUM(I119:I125)</f>
        <v>6.1302957891314076</v>
      </c>
      <c r="J126" s="156">
        <f t="shared" ca="1" si="26"/>
        <v>6.4683165246530567</v>
      </c>
      <c r="K126" s="156">
        <f t="shared" ca="1" si="26"/>
        <v>6.8378927245374452</v>
      </c>
      <c r="L126" s="156">
        <f t="shared" ca="1" si="26"/>
        <v>7.2308829200900817</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96D6-1779-4001-9474-94007B1CD17A}">
  <sheetPr>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c r="I61" s="129"/>
      <c r="J61" s="129"/>
      <c r="K61" s="129"/>
      <c r="L61" s="129"/>
      <c r="M61" s="50" t="s">
        <v>147</v>
      </c>
    </row>
    <row r="62" spans="1:13" ht="13.5" customHeight="1" outlineLevel="1">
      <c r="A62" s="164"/>
      <c r="C62" s="91" t="s">
        <v>31</v>
      </c>
      <c r="F62" s="96">
        <f>'Financials from CIP'!D49/1000</f>
        <v>0.80490099999999998</v>
      </c>
      <c r="G62" s="96">
        <f>'Financials from CIP'!E49/1000</f>
        <v>1.161057</v>
      </c>
      <c r="H62" s="129"/>
      <c r="I62" s="129"/>
      <c r="J62" s="129"/>
      <c r="K62" s="129"/>
      <c r="L62" s="129"/>
      <c r="M62" s="50" t="s">
        <v>147</v>
      </c>
    </row>
    <row r="63" spans="1:13" ht="13.5" customHeight="1" outlineLevel="1">
      <c r="A63" s="164"/>
      <c r="C63" s="91" t="s">
        <v>84</v>
      </c>
      <c r="F63" s="96">
        <f>'Financials from CIP'!D50/1000</f>
        <v>0.26978399999999997</v>
      </c>
      <c r="G63" s="96">
        <f>'Financials from CIP'!E50/1000</f>
        <v>0.34491899999999998</v>
      </c>
      <c r="H63" s="129"/>
      <c r="I63" s="129"/>
      <c r="J63" s="129"/>
      <c r="K63" s="129"/>
      <c r="L63" s="129"/>
      <c r="M63" s="50" t="s">
        <v>147</v>
      </c>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18">SUM(H64,H67:H69)</f>
        <v>56.730951045633581</v>
      </c>
      <c r="I70" s="102">
        <f t="shared" si="18"/>
        <v>53.37173554155671</v>
      </c>
      <c r="J70" s="102">
        <f t="shared" ca="1" si="18"/>
        <v>50.045674372120146</v>
      </c>
      <c r="K70" s="102">
        <f t="shared" ca="1" si="18"/>
        <v>46.665591646426577</v>
      </c>
      <c r="L70" s="102">
        <f t="shared" ca="1" si="18"/>
        <v>43.126658681862857</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c r="I74" s="129"/>
      <c r="J74" s="129"/>
      <c r="K74" s="129"/>
      <c r="L74" s="129"/>
      <c r="M74" s="50" t="s">
        <v>147</v>
      </c>
    </row>
    <row r="75" spans="1:13" ht="13.5" customHeight="1" outlineLevel="1">
      <c r="A75" s="164"/>
      <c r="C75" s="91" t="s">
        <v>38</v>
      </c>
      <c r="D75" s="95"/>
      <c r="E75" s="95"/>
      <c r="F75" s="96">
        <f>'Financials from CIP'!D59/1000</f>
        <v>2.3839329999999999</v>
      </c>
      <c r="G75" s="96">
        <f>'Financials from CIP'!E59/1000</f>
        <v>2.7880379999999998</v>
      </c>
      <c r="H75" s="129"/>
      <c r="I75" s="129"/>
      <c r="J75" s="129"/>
      <c r="K75" s="129"/>
      <c r="L75" s="129"/>
      <c r="M75" s="50" t="s">
        <v>147</v>
      </c>
    </row>
    <row r="76" spans="1:13" ht="13.5" customHeight="1" outlineLevel="1">
      <c r="A76" s="164"/>
      <c r="C76" s="91" t="s">
        <v>39</v>
      </c>
      <c r="D76" s="95"/>
      <c r="E76" s="95"/>
      <c r="F76" s="96">
        <f>'Financials from CIP'!D60/1000</f>
        <v>2.0579079999999998</v>
      </c>
      <c r="G76" s="96">
        <f>'Financials from CIP'!E60/1000</f>
        <v>3.2020309999999998</v>
      </c>
      <c r="H76" s="129"/>
      <c r="I76" s="129"/>
      <c r="J76" s="129"/>
      <c r="K76" s="129"/>
      <c r="L76" s="129"/>
      <c r="M76" s="50" t="s">
        <v>147</v>
      </c>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1">SUM(H77,H82:H83)</f>
        <v>0.42988799999999999</v>
      </c>
      <c r="I84" s="93">
        <f t="shared" si="21"/>
        <v>0.42988799999999999</v>
      </c>
      <c r="J84" s="93">
        <f t="shared" si="21"/>
        <v>0.42988799999999999</v>
      </c>
      <c r="K84" s="93">
        <f t="shared" si="21"/>
        <v>0.42988799999999999</v>
      </c>
      <c r="L84" s="93">
        <f t="shared" si="21"/>
        <v>0.42988799999999999</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2">SUM(H84:H86)</f>
        <v>72.27688098363798</v>
      </c>
      <c r="I87" s="105">
        <f t="shared" si="22"/>
        <v>80.874195791345741</v>
      </c>
      <c r="J87" s="105">
        <f t="shared" ca="1" si="22"/>
        <v>90.84014615977226</v>
      </c>
      <c r="K87" s="105">
        <f t="shared" ca="1" si="22"/>
        <v>101.91304187075953</v>
      </c>
      <c r="L87" s="105">
        <f t="shared" ca="1" si="22"/>
        <v>113.72551363633487</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3">F87-F70</f>
        <v>8.2790072042371321E-7</v>
      </c>
      <c r="G89" s="178">
        <f t="shared" si="23"/>
        <v>-5.0419180297467392E-7</v>
      </c>
      <c r="H89" s="178">
        <f t="shared" si="23"/>
        <v>15.545929938004399</v>
      </c>
      <c r="I89" s="178">
        <f t="shared" si="23"/>
        <v>27.502460249789031</v>
      </c>
      <c r="J89" s="178">
        <f t="shared" ca="1" si="23"/>
        <v>40.794471787652114</v>
      </c>
      <c r="K89" s="178">
        <f t="shared" ca="1" si="23"/>
        <v>55.247450224332951</v>
      </c>
      <c r="L89" s="178">
        <f t="shared" ca="1" si="23"/>
        <v>70.598854954472017</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4">H$11</f>
        <v>46022</v>
      </c>
      <c r="I96" s="58">
        <f t="shared" si="24"/>
        <v>46387</v>
      </c>
      <c r="J96" s="58">
        <f t="shared" si="24"/>
        <v>46752</v>
      </c>
      <c r="K96" s="58">
        <f t="shared" si="24"/>
        <v>47118</v>
      </c>
      <c r="L96" s="58">
        <f t="shared" si="24"/>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c r="G100" s="165"/>
      <c r="H100" s="165"/>
      <c r="I100" s="165"/>
      <c r="J100" s="165"/>
      <c r="K100" s="165"/>
      <c r="L100" s="165"/>
      <c r="M100" s="50" t="s">
        <v>149</v>
      </c>
    </row>
    <row r="101" spans="1:13" ht="13.5" customHeight="1" outlineLevel="1">
      <c r="A101" s="125"/>
      <c r="C101" s="91" t="str">
        <f>C62</f>
        <v>Inventory</v>
      </c>
      <c r="D101" s="68"/>
      <c r="E101" s="68"/>
      <c r="F101" s="165"/>
      <c r="G101" s="165"/>
      <c r="H101" s="165"/>
      <c r="I101" s="165"/>
      <c r="J101" s="165"/>
      <c r="K101" s="165"/>
      <c r="L101" s="165"/>
      <c r="M101" s="50" t="s">
        <v>150</v>
      </c>
    </row>
    <row r="102" spans="1:13" ht="13.5" customHeight="1" outlineLevel="1">
      <c r="A102" s="125"/>
      <c r="C102" s="91" t="str">
        <f>C63</f>
        <v>Prepaids and Other Current Assets</v>
      </c>
      <c r="D102" s="68"/>
      <c r="E102" s="68"/>
      <c r="F102" s="165"/>
      <c r="G102" s="165"/>
      <c r="H102" s="165"/>
      <c r="I102" s="165"/>
      <c r="J102" s="165"/>
      <c r="K102" s="165"/>
      <c r="L102" s="165"/>
      <c r="M102" s="50" t="s">
        <v>151</v>
      </c>
    </row>
    <row r="103" spans="1:13" ht="13.5" customHeight="1" outlineLevel="1">
      <c r="A103" s="125"/>
      <c r="C103" s="65" t="s">
        <v>152</v>
      </c>
      <c r="D103" s="65"/>
      <c r="E103" s="65"/>
      <c r="F103" s="179">
        <f t="shared" ref="F103:L103" si="25">SUM(F100:F102)</f>
        <v>0</v>
      </c>
      <c r="G103" s="179">
        <f t="shared" si="25"/>
        <v>0</v>
      </c>
      <c r="H103" s="179">
        <f t="shared" si="25"/>
        <v>0</v>
      </c>
      <c r="I103" s="179">
        <f t="shared" si="25"/>
        <v>0</v>
      </c>
      <c r="J103" s="179">
        <f t="shared" si="25"/>
        <v>0</v>
      </c>
      <c r="K103" s="179">
        <f t="shared" si="25"/>
        <v>0</v>
      </c>
      <c r="L103" s="179">
        <f t="shared" si="25"/>
        <v>0</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c r="G105" s="165"/>
      <c r="H105" s="165"/>
      <c r="I105" s="165"/>
      <c r="J105" s="165"/>
      <c r="K105" s="165"/>
      <c r="L105" s="165"/>
      <c r="M105" s="50" t="s">
        <v>153</v>
      </c>
    </row>
    <row r="106" spans="1:13" ht="13.5" customHeight="1" outlineLevel="1">
      <c r="A106" s="125"/>
      <c r="C106" s="91" t="str">
        <f>C75</f>
        <v>Wages Payable</v>
      </c>
      <c r="D106" s="68"/>
      <c r="E106" s="68"/>
      <c r="F106" s="165"/>
      <c r="G106" s="165"/>
      <c r="H106" s="165"/>
      <c r="I106" s="165"/>
      <c r="J106" s="165"/>
      <c r="K106" s="165"/>
      <c r="L106" s="165"/>
      <c r="M106" s="50" t="s">
        <v>154</v>
      </c>
    </row>
    <row r="107" spans="1:13" ht="13.5" customHeight="1" outlineLevel="1">
      <c r="A107" s="125"/>
      <c r="C107" s="91" t="str">
        <f>C76</f>
        <v>Accrued Expenses &amp; Other</v>
      </c>
      <c r="D107" s="68"/>
      <c r="E107" s="68"/>
      <c r="F107" s="165"/>
      <c r="G107" s="165"/>
      <c r="H107" s="165"/>
      <c r="I107" s="165"/>
      <c r="J107" s="165"/>
      <c r="K107" s="165"/>
      <c r="L107" s="165"/>
      <c r="M107" s="50" t="s">
        <v>155</v>
      </c>
    </row>
    <row r="108" spans="1:13" ht="13.5" customHeight="1" outlineLevel="1">
      <c r="A108" s="125"/>
      <c r="C108" s="65" t="s">
        <v>156</v>
      </c>
      <c r="D108" s="65"/>
      <c r="E108" s="65"/>
      <c r="F108" s="179">
        <f t="shared" ref="F108:L108" si="26">SUM(F105:F107)</f>
        <v>0</v>
      </c>
      <c r="G108" s="179">
        <f t="shared" si="26"/>
        <v>0</v>
      </c>
      <c r="H108" s="179">
        <f t="shared" si="26"/>
        <v>0</v>
      </c>
      <c r="I108" s="179">
        <f t="shared" si="26"/>
        <v>0</v>
      </c>
      <c r="J108" s="179">
        <f t="shared" si="26"/>
        <v>0</v>
      </c>
      <c r="K108" s="179">
        <f t="shared" si="26"/>
        <v>0</v>
      </c>
      <c r="L108" s="179">
        <f t="shared" si="26"/>
        <v>0</v>
      </c>
    </row>
    <row r="109" spans="1:13" ht="13.5" customHeight="1" outlineLevel="1">
      <c r="A109" s="125"/>
      <c r="C109" s="180" t="s">
        <v>157</v>
      </c>
      <c r="D109" s="180"/>
      <c r="E109" s="180"/>
      <c r="F109" s="181">
        <f t="shared" ref="F109:L109" si="27">F103-F108</f>
        <v>0</v>
      </c>
      <c r="G109" s="181">
        <f t="shared" si="27"/>
        <v>0</v>
      </c>
      <c r="H109" s="181">
        <f t="shared" si="27"/>
        <v>0</v>
      </c>
      <c r="I109" s="181">
        <f t="shared" si="27"/>
        <v>0</v>
      </c>
      <c r="J109" s="181">
        <f t="shared" si="27"/>
        <v>0</v>
      </c>
      <c r="K109" s="181">
        <f t="shared" si="27"/>
        <v>0</v>
      </c>
      <c r="L109" s="181">
        <f t="shared" si="27"/>
        <v>0</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c r="H111" s="183"/>
      <c r="I111" s="183"/>
      <c r="J111" s="183"/>
      <c r="K111" s="183"/>
      <c r="L111" s="183"/>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c r="G115" s="184"/>
      <c r="H115" s="184"/>
      <c r="I115" s="184"/>
      <c r="J115" s="184"/>
      <c r="K115" s="184"/>
      <c r="L115" s="184"/>
      <c r="M115" s="50" t="s">
        <v>162</v>
      </c>
    </row>
    <row r="116" spans="1:17" ht="13.5" customHeight="1" outlineLevel="1">
      <c r="A116" s="125"/>
      <c r="C116" s="68" t="s">
        <v>66</v>
      </c>
      <c r="D116" s="68"/>
      <c r="E116" s="68"/>
      <c r="F116" s="165"/>
      <c r="G116" s="165"/>
      <c r="H116" s="165"/>
      <c r="I116" s="165"/>
      <c r="J116" s="165"/>
      <c r="K116" s="165"/>
      <c r="L116" s="165"/>
      <c r="M116" s="50" t="s">
        <v>162</v>
      </c>
    </row>
    <row r="117" spans="1:17" ht="13.5" customHeight="1" outlineLevel="1">
      <c r="A117" s="125"/>
      <c r="C117" s="68" t="s">
        <v>69</v>
      </c>
      <c r="D117" s="68"/>
      <c r="E117" s="68"/>
      <c r="F117" s="165"/>
      <c r="G117" s="165"/>
      <c r="H117" s="165"/>
      <c r="I117" s="165"/>
      <c r="J117" s="165"/>
      <c r="K117" s="165"/>
      <c r="L117" s="165"/>
      <c r="M117" s="50" t="s">
        <v>162</v>
      </c>
    </row>
    <row r="118" spans="1:17" ht="13.5" customHeight="1" outlineLevel="1">
      <c r="A118" s="125"/>
      <c r="F118" s="82"/>
    </row>
    <row r="119" spans="1:17" ht="13.5" customHeight="1" outlineLevel="1">
      <c r="A119" s="125"/>
      <c r="C119" s="98" t="s">
        <v>163</v>
      </c>
      <c r="D119" s="68"/>
      <c r="F119" s="185"/>
      <c r="G119" s="185"/>
      <c r="H119" s="186"/>
      <c r="I119" s="186"/>
      <c r="J119" s="186"/>
      <c r="K119" s="186"/>
      <c r="L119" s="186"/>
      <c r="M119" s="50" t="s">
        <v>164</v>
      </c>
    </row>
    <row r="120" spans="1:17" ht="13.5" customHeight="1" outlineLevel="1">
      <c r="A120" s="125"/>
      <c r="C120" s="98" t="s">
        <v>165</v>
      </c>
      <c r="D120" s="68"/>
      <c r="F120" s="185"/>
      <c r="G120" s="185"/>
      <c r="H120" s="186"/>
      <c r="I120" s="186"/>
      <c r="J120" s="186"/>
      <c r="K120" s="186"/>
      <c r="L120" s="186"/>
      <c r="M120" s="50" t="s">
        <v>166</v>
      </c>
    </row>
    <row r="121" spans="1:17" ht="13.5" customHeight="1" outlineLevel="1">
      <c r="A121" s="125"/>
      <c r="C121" s="98" t="s">
        <v>167</v>
      </c>
      <c r="D121" s="68"/>
      <c r="F121" s="187"/>
      <c r="G121" s="187"/>
      <c r="H121" s="135"/>
      <c r="I121" s="135"/>
      <c r="J121" s="135"/>
      <c r="K121" s="135"/>
      <c r="L121" s="135"/>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c r="G123" s="185"/>
      <c r="H123" s="186"/>
      <c r="I123" s="186"/>
      <c r="J123" s="186"/>
      <c r="K123" s="186"/>
      <c r="L123" s="186"/>
      <c r="M123" s="50" t="s">
        <v>170</v>
      </c>
    </row>
    <row r="124" spans="1:17" ht="13.5" customHeight="1" outlineLevel="1">
      <c r="A124" s="125"/>
      <c r="C124" s="98" t="s">
        <v>171</v>
      </c>
      <c r="D124" s="68"/>
      <c r="F124" s="187"/>
      <c r="G124" s="187"/>
      <c r="H124" s="135"/>
      <c r="I124" s="135"/>
      <c r="J124" s="135"/>
      <c r="K124" s="135"/>
      <c r="L124" s="135"/>
      <c r="M124" s="50" t="s">
        <v>172</v>
      </c>
    </row>
    <row r="125" spans="1:17" ht="13.5" customHeight="1" outlineLevel="1">
      <c r="A125" s="125"/>
      <c r="C125" s="98" t="s">
        <v>173</v>
      </c>
      <c r="D125" s="68"/>
      <c r="F125" s="187"/>
      <c r="G125" s="187"/>
      <c r="H125" s="135"/>
      <c r="I125" s="135"/>
      <c r="J125" s="135"/>
      <c r="K125" s="135"/>
      <c r="L125" s="135"/>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4'!F13</f>
        <v>0</v>
      </c>
      <c r="G132" s="122">
        <f>'Financials from CIP'!E13/1000-'Step 4'!G13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4'!F15</f>
        <v>0</v>
      </c>
      <c r="G133" s="122">
        <f>'Financials from CIP'!E19/1000-'Step 4'!G15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4'!F18</f>
        <v>0</v>
      </c>
      <c r="G134" s="122">
        <f>'Financials from CIP'!E36/1000-'Step 4'!G18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4'!F33</f>
        <v>0</v>
      </c>
      <c r="G135" s="122">
        <f>'Financials from CIP'!E34/1000-'Step 4'!G33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4'!F60</f>
        <v>0</v>
      </c>
      <c r="G138" s="122">
        <f>'Financials from CIP'!E46/1000-'Step 4'!G60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4'!F64</f>
        <v>0</v>
      </c>
      <c r="G139" s="122">
        <f>'Financials from CIP'!E51/1000-'Step 4'!G64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4'!F70</f>
        <v>0</v>
      </c>
      <c r="G140" s="122">
        <f>'Financials from CIP'!E56/1000-'Step 4'!G70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4'!F77</f>
        <v>0</v>
      </c>
      <c r="G141" s="122">
        <f>'Financials from CIP'!E61/1000-'Step 4'!G77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4'!F84</f>
        <v>0</v>
      </c>
      <c r="G142" s="122">
        <f>'Financials from CIP'!E69/1000-'Step 4'!G84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4'!F85:F86)</f>
        <v>0</v>
      </c>
      <c r="G143" s="122">
        <f>'Financials from CIP'!E73/1000-SUM('Step 4'!G85:G86)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28">H$11</f>
        <v>46022</v>
      </c>
      <c r="I155" s="58">
        <f t="shared" si="28"/>
        <v>46387</v>
      </c>
      <c r="J155" s="58">
        <f t="shared" si="28"/>
        <v>46752</v>
      </c>
      <c r="K155" s="58">
        <f t="shared" si="28"/>
        <v>47118</v>
      </c>
      <c r="L155" s="58">
        <f t="shared" si="28"/>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29">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29"/>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29"/>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29"/>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29"/>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29"/>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30">-SUM(I157:I163)</f>
        <v>6.1302957891314076</v>
      </c>
      <c r="J164" s="156">
        <f t="shared" ca="1" si="30"/>
        <v>6.4683165246530567</v>
      </c>
      <c r="K164" s="156">
        <f t="shared" ca="1" si="30"/>
        <v>6.8378927245374452</v>
      </c>
      <c r="L164" s="156">
        <f t="shared" ca="1" si="30"/>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ED9-032A-4366-B98A-E9770D8BD79A}">
  <sheetPr>
    <tabColor rgb="FF416D89"/>
    <outlinePr summaryBelow="0"/>
    <pageSetUpPr fitToPage="1"/>
  </sheetPr>
  <dimension ref="A1:S18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145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H164</f>
        <v>5.829392560625954</v>
      </c>
      <c r="I20" s="149">
        <f t="shared" ref="I20:L20" si="6">I164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c r="M60" s="50"/>
    </row>
    <row r="61" spans="1:13" ht="13.5" customHeight="1" outlineLevel="1">
      <c r="A61" s="164"/>
      <c r="C61" s="91" t="s">
        <v>146</v>
      </c>
      <c r="F61" s="96">
        <f>SUM('Financials from CIP'!D47:D48)/1000</f>
        <v>16.781419000000003</v>
      </c>
      <c r="G61" s="96">
        <f>SUM('Financials from CIP'!E47:E48)/1000</f>
        <v>22.284721999999999</v>
      </c>
      <c r="H61" s="129">
        <f>H100</f>
        <v>24.012610811683217</v>
      </c>
      <c r="I61" s="129">
        <f t="shared" ref="I61:L61" si="17">I100</f>
        <v>27.695031965240773</v>
      </c>
      <c r="J61" s="129">
        <f t="shared" si="17"/>
        <v>31.111314829301037</v>
      </c>
      <c r="K61" s="129">
        <f t="shared" si="17"/>
        <v>34.015669157916122</v>
      </c>
      <c r="L61" s="129">
        <f t="shared" si="17"/>
        <v>36.170685445667161</v>
      </c>
      <c r="M61" s="50" t="s">
        <v>147</v>
      </c>
    </row>
    <row r="62" spans="1:13" ht="13.5" customHeight="1" outlineLevel="1">
      <c r="A62" s="164"/>
      <c r="C62" s="91" t="s">
        <v>31</v>
      </c>
      <c r="F62" s="96">
        <f>'Financials from CIP'!D49/1000</f>
        <v>0.80490099999999998</v>
      </c>
      <c r="G62" s="96">
        <f>'Financials from CIP'!E49/1000</f>
        <v>1.161057</v>
      </c>
      <c r="H62" s="129">
        <f t="shared" ref="H62:L63" si="18">H101</f>
        <v>1.2029011201180084</v>
      </c>
      <c r="I62" s="129">
        <f t="shared" si="18"/>
        <v>1.3873703794209342</v>
      </c>
      <c r="J62" s="129">
        <f t="shared" si="18"/>
        <v>1.558507558799139</v>
      </c>
      <c r="K62" s="129">
        <f t="shared" si="18"/>
        <v>1.7039999045715051</v>
      </c>
      <c r="L62" s="129">
        <f t="shared" si="18"/>
        <v>1.8119544925477122</v>
      </c>
      <c r="M62" s="50" t="s">
        <v>147</v>
      </c>
    </row>
    <row r="63" spans="1:13" ht="13.5" customHeight="1" outlineLevel="1">
      <c r="A63" s="164"/>
      <c r="C63" s="91" t="s">
        <v>84</v>
      </c>
      <c r="F63" s="96">
        <f>'Financials from CIP'!D50/1000</f>
        <v>0.26978399999999997</v>
      </c>
      <c r="G63" s="96">
        <f>'Financials from CIP'!E50/1000</f>
        <v>0.34491899999999998</v>
      </c>
      <c r="H63" s="129">
        <f t="shared" si="18"/>
        <v>0.3792215684283346</v>
      </c>
      <c r="I63" s="129">
        <f t="shared" si="18"/>
        <v>0.43737657441320382</v>
      </c>
      <c r="J63" s="129">
        <f t="shared" si="18"/>
        <v>0.49132856472628733</v>
      </c>
      <c r="K63" s="129">
        <f t="shared" si="18"/>
        <v>0.53719587221761422</v>
      </c>
      <c r="L63" s="129">
        <f t="shared" si="18"/>
        <v>0.57122918342390505</v>
      </c>
      <c r="M63" s="50" t="s">
        <v>147</v>
      </c>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164"/>
      <c r="C73" s="59"/>
      <c r="D73" s="59"/>
      <c r="E73" s="59"/>
      <c r="F73" s="60"/>
      <c r="G73" s="60"/>
      <c r="H73" s="60"/>
      <c r="I73" s="60"/>
      <c r="J73" s="60"/>
      <c r="K73" s="60"/>
    </row>
    <row r="74" spans="1:13" ht="13.5" customHeight="1" outlineLevel="1">
      <c r="A74" s="164"/>
      <c r="C74" s="91" t="s">
        <v>37</v>
      </c>
      <c r="D74" s="95"/>
      <c r="E74" s="95"/>
      <c r="F74" s="96">
        <f>'Financials from CIP'!D58/1000</f>
        <v>2.8058170000000002</v>
      </c>
      <c r="G74" s="96">
        <f>'Financials from CIP'!E58/1000</f>
        <v>2.3607100000000001</v>
      </c>
      <c r="H74" s="129">
        <f>H105</f>
        <v>3.2375302691281114</v>
      </c>
      <c r="I74" s="129">
        <f t="shared" ref="I74:L74" si="21">I105</f>
        <v>3.7340173042871405</v>
      </c>
      <c r="J74" s="129">
        <f t="shared" si="21"/>
        <v>4.1946219118843056</v>
      </c>
      <c r="K74" s="129">
        <f t="shared" si="21"/>
        <v>4.5862051147649199</v>
      </c>
      <c r="L74" s="129">
        <f t="shared" si="21"/>
        <v>4.8767578795922875</v>
      </c>
      <c r="M74" s="50" t="s">
        <v>147</v>
      </c>
    </row>
    <row r="75" spans="1:13" ht="13.5" customHeight="1" outlineLevel="1">
      <c r="A75" s="164"/>
      <c r="C75" s="91" t="s">
        <v>38</v>
      </c>
      <c r="D75" s="95"/>
      <c r="E75" s="95"/>
      <c r="F75" s="96">
        <f>'Financials from CIP'!D59/1000</f>
        <v>2.3839329999999999</v>
      </c>
      <c r="G75" s="96">
        <f>'Financials from CIP'!E59/1000</f>
        <v>2.7880379999999998</v>
      </c>
      <c r="H75" s="129">
        <f t="shared" ref="H75:L76" si="22">H106</f>
        <v>3.1966854452582232</v>
      </c>
      <c r="I75" s="129">
        <f t="shared" si="22"/>
        <v>3.6869087782063024</v>
      </c>
      <c r="J75" s="129">
        <f t="shared" si="22"/>
        <v>4.1417023778724023</v>
      </c>
      <c r="K75" s="129">
        <f t="shared" si="22"/>
        <v>4.5283453498910609</v>
      </c>
      <c r="L75" s="129">
        <f t="shared" si="22"/>
        <v>4.8152324882940372</v>
      </c>
      <c r="M75" s="50" t="s">
        <v>147</v>
      </c>
    </row>
    <row r="76" spans="1:13" ht="13.5" customHeight="1" outlineLevel="1">
      <c r="A76" s="164"/>
      <c r="C76" s="91" t="s">
        <v>39</v>
      </c>
      <c r="D76" s="95"/>
      <c r="E76" s="95"/>
      <c r="F76" s="96">
        <f>'Financials from CIP'!D60/1000</f>
        <v>2.0579079999999998</v>
      </c>
      <c r="G76" s="96">
        <f>'Financials from CIP'!E60/1000</f>
        <v>3.2020309999999998</v>
      </c>
      <c r="H76" s="129">
        <f t="shared" si="22"/>
        <v>3.2317636858846019</v>
      </c>
      <c r="I76" s="129">
        <f t="shared" si="22"/>
        <v>3.727366394541769</v>
      </c>
      <c r="J76" s="129">
        <f t="shared" si="22"/>
        <v>4.1871505882458564</v>
      </c>
      <c r="K76" s="129">
        <f t="shared" si="22"/>
        <v>4.5780363159066395</v>
      </c>
      <c r="L76" s="129">
        <f t="shared" si="22"/>
        <v>4.8680715576328382</v>
      </c>
      <c r="M76" s="50" t="s">
        <v>147</v>
      </c>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A92" s="125"/>
      <c r="C92" s="118"/>
      <c r="D92" s="118"/>
      <c r="E92" s="118"/>
      <c r="M92" s="50"/>
    </row>
    <row r="93" spans="1:13" ht="21.75" thickTop="1">
      <c r="A93" s="125"/>
      <c r="B93" s="46" t="s">
        <v>61</v>
      </c>
      <c r="C93" s="47" t="s">
        <v>148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51</v>
      </c>
      <c r="D98" s="85"/>
      <c r="E98" s="86"/>
      <c r="F98" s="86"/>
      <c r="G98" s="86"/>
      <c r="H98" s="86"/>
      <c r="I98" s="86"/>
      <c r="J98" s="86"/>
      <c r="K98" s="86"/>
      <c r="L98" s="87"/>
    </row>
    <row r="99" spans="1:13" ht="13.5" customHeight="1" outlineLevel="1">
      <c r="A99" s="125"/>
      <c r="C99" s="118"/>
      <c r="D99" s="118"/>
      <c r="E99" s="118"/>
    </row>
    <row r="100" spans="1:13" ht="13.5" customHeight="1" outlineLevel="1">
      <c r="A100" s="125"/>
      <c r="C100" s="91" t="str">
        <f>C61</f>
        <v>Accounts Receivable, Net</v>
      </c>
      <c r="D100" s="68"/>
      <c r="E100" s="68"/>
      <c r="F100" s="165">
        <f>F61</f>
        <v>16.781419000000003</v>
      </c>
      <c r="G100" s="165">
        <f>G61</f>
        <v>22.284721999999999</v>
      </c>
      <c r="H100" s="165">
        <f>(H115/365)*H119</f>
        <v>24.012610811683217</v>
      </c>
      <c r="I100" s="165">
        <f>(I115/365)*I119</f>
        <v>27.695031965240773</v>
      </c>
      <c r="J100" s="165">
        <f>(J115/365)*J119</f>
        <v>31.111314829301037</v>
      </c>
      <c r="K100" s="165">
        <f>(K115/365)*K119</f>
        <v>34.015669157916122</v>
      </c>
      <c r="L100" s="165">
        <f>(L115/365)*L119</f>
        <v>36.170685445667161</v>
      </c>
      <c r="M100" s="50" t="s">
        <v>149</v>
      </c>
    </row>
    <row r="101" spans="1:13" ht="13.5" customHeight="1" outlineLevel="1">
      <c r="A101" s="125"/>
      <c r="C101" s="91" t="str">
        <f>C62</f>
        <v>Inventory</v>
      </c>
      <c r="D101" s="68"/>
      <c r="E101" s="68"/>
      <c r="F101" s="165">
        <f t="shared" ref="F101:G102" si="29">F62</f>
        <v>0.80490099999999998</v>
      </c>
      <c r="G101" s="165">
        <f t="shared" si="29"/>
        <v>1.161057</v>
      </c>
      <c r="H101" s="165">
        <f>(H116/365)*H120</f>
        <v>1.2029011201180084</v>
      </c>
      <c r="I101" s="165">
        <f t="shared" ref="I101:L101" si="30">(I116/365)*I120</f>
        <v>1.3873703794209342</v>
      </c>
      <c r="J101" s="165">
        <f t="shared" si="30"/>
        <v>1.558507558799139</v>
      </c>
      <c r="K101" s="165">
        <f t="shared" si="30"/>
        <v>1.7039999045715051</v>
      </c>
      <c r="L101" s="165">
        <f t="shared" si="30"/>
        <v>1.8119544925477122</v>
      </c>
      <c r="M101" s="50" t="s">
        <v>150</v>
      </c>
    </row>
    <row r="102" spans="1:13" ht="13.5" customHeight="1" outlineLevel="1">
      <c r="A102" s="125"/>
      <c r="C102" s="91" t="str">
        <f>C63</f>
        <v>Prepaids and Other Current Assets</v>
      </c>
      <c r="D102" s="68"/>
      <c r="E102" s="68"/>
      <c r="F102" s="165">
        <f t="shared" si="29"/>
        <v>0.26978399999999997</v>
      </c>
      <c r="G102" s="165">
        <f t="shared" si="29"/>
        <v>0.34491899999999998</v>
      </c>
      <c r="H102" s="165">
        <f>H121*H117</f>
        <v>0.3792215684283346</v>
      </c>
      <c r="I102" s="165">
        <f t="shared" ref="I102:L102" si="31">I121*I117</f>
        <v>0.43737657441320382</v>
      </c>
      <c r="J102" s="165">
        <f t="shared" si="31"/>
        <v>0.49132856472628733</v>
      </c>
      <c r="K102" s="165">
        <f t="shared" si="31"/>
        <v>0.53719587221761422</v>
      </c>
      <c r="L102" s="165">
        <f t="shared" si="31"/>
        <v>0.57122918342390505</v>
      </c>
      <c r="M102" s="50" t="s">
        <v>151</v>
      </c>
    </row>
    <row r="103" spans="1:13" ht="13.5" customHeight="1" outlineLevel="1">
      <c r="A103" s="125"/>
      <c r="C103" s="65" t="s">
        <v>152</v>
      </c>
      <c r="D103" s="65"/>
      <c r="E103" s="65"/>
      <c r="F103" s="179">
        <f t="shared" ref="F103:L103" si="32">SUM(F100:F102)</f>
        <v>17.856104000000006</v>
      </c>
      <c r="G103" s="179">
        <f t="shared" si="32"/>
        <v>23.790697999999999</v>
      </c>
      <c r="H103" s="179">
        <f t="shared" si="32"/>
        <v>25.594733500229559</v>
      </c>
      <c r="I103" s="179">
        <f t="shared" si="32"/>
        <v>29.519778919074909</v>
      </c>
      <c r="J103" s="179">
        <f t="shared" si="32"/>
        <v>33.161150952826461</v>
      </c>
      <c r="K103" s="179">
        <f t="shared" si="32"/>
        <v>36.256864934705241</v>
      </c>
      <c r="L103" s="179">
        <f t="shared" si="32"/>
        <v>38.553869121638776</v>
      </c>
    </row>
    <row r="104" spans="1:13" ht="6" customHeight="1" outlineLevel="1">
      <c r="A104" s="125"/>
      <c r="C104" s="68"/>
      <c r="D104" s="68"/>
      <c r="E104" s="68"/>
      <c r="F104" s="154"/>
      <c r="G104" s="154"/>
      <c r="H104" s="154"/>
      <c r="I104" s="154"/>
      <c r="J104" s="154"/>
      <c r="K104" s="154"/>
      <c r="L104" s="154"/>
    </row>
    <row r="105" spans="1:13" ht="13.5" customHeight="1" outlineLevel="1">
      <c r="A105" s="125"/>
      <c r="C105" s="91" t="str">
        <f>C74</f>
        <v>Accounts Payable</v>
      </c>
      <c r="D105" s="68"/>
      <c r="E105" s="68"/>
      <c r="F105" s="165">
        <f>F74</f>
        <v>2.8058170000000002</v>
      </c>
      <c r="G105" s="165">
        <f t="shared" ref="G105:G107" si="33">G74</f>
        <v>2.3607100000000001</v>
      </c>
      <c r="H105" s="165">
        <f>(H116/365)*H123</f>
        <v>3.2375302691281114</v>
      </c>
      <c r="I105" s="165">
        <f>(I116/365)*I123</f>
        <v>3.7340173042871405</v>
      </c>
      <c r="J105" s="165">
        <f>(J116/365)*J123</f>
        <v>4.1946219118843056</v>
      </c>
      <c r="K105" s="165">
        <f>(K116/365)*K123</f>
        <v>4.5862051147649199</v>
      </c>
      <c r="L105" s="165">
        <f>(L116/365)*L123</f>
        <v>4.8767578795922875</v>
      </c>
      <c r="M105" s="50" t="s">
        <v>153</v>
      </c>
    </row>
    <row r="106" spans="1:13" ht="13.5" customHeight="1" outlineLevel="1">
      <c r="A106" s="125"/>
      <c r="C106" s="91" t="str">
        <f>C75</f>
        <v>Wages Payable</v>
      </c>
      <c r="D106" s="68"/>
      <c r="E106" s="68"/>
      <c r="F106" s="165">
        <f t="shared" ref="F106:F107" si="34">F75</f>
        <v>2.3839329999999999</v>
      </c>
      <c r="G106" s="165">
        <f t="shared" si="33"/>
        <v>2.7880379999999998</v>
      </c>
      <c r="H106" s="165">
        <f>H124*H117</f>
        <v>3.1966854452582232</v>
      </c>
      <c r="I106" s="165">
        <f t="shared" ref="I106:L106" si="35">I124*I117</f>
        <v>3.6869087782063024</v>
      </c>
      <c r="J106" s="165">
        <f t="shared" si="35"/>
        <v>4.1417023778724023</v>
      </c>
      <c r="K106" s="165">
        <f t="shared" si="35"/>
        <v>4.5283453498910609</v>
      </c>
      <c r="L106" s="165">
        <f t="shared" si="35"/>
        <v>4.8152324882940372</v>
      </c>
      <c r="M106" s="50" t="s">
        <v>154</v>
      </c>
    </row>
    <row r="107" spans="1:13" ht="13.5" customHeight="1" outlineLevel="1">
      <c r="A107" s="125"/>
      <c r="C107" s="91" t="str">
        <f>C76</f>
        <v>Accrued Expenses &amp; Other</v>
      </c>
      <c r="D107" s="68"/>
      <c r="E107" s="68"/>
      <c r="F107" s="165">
        <f t="shared" si="34"/>
        <v>2.0579079999999998</v>
      </c>
      <c r="G107" s="165">
        <f t="shared" si="33"/>
        <v>3.2020309999999998</v>
      </c>
      <c r="H107" s="165">
        <f>H125*H117</f>
        <v>3.2317636858846019</v>
      </c>
      <c r="I107" s="165">
        <f t="shared" ref="I107:L107" si="36">I125*I117</f>
        <v>3.727366394541769</v>
      </c>
      <c r="J107" s="165">
        <f t="shared" si="36"/>
        <v>4.1871505882458564</v>
      </c>
      <c r="K107" s="165">
        <f t="shared" si="36"/>
        <v>4.5780363159066395</v>
      </c>
      <c r="L107" s="165">
        <f t="shared" si="36"/>
        <v>4.8680715576328382</v>
      </c>
      <c r="M107" s="50" t="s">
        <v>155</v>
      </c>
    </row>
    <row r="108" spans="1:13" ht="13.5" customHeight="1" outlineLevel="1">
      <c r="A108" s="125"/>
      <c r="C108" s="65" t="s">
        <v>156</v>
      </c>
      <c r="D108" s="65"/>
      <c r="E108" s="65"/>
      <c r="F108" s="179">
        <f t="shared" ref="F108:L108" si="37">SUM(F105:F107)</f>
        <v>7.2476579999999995</v>
      </c>
      <c r="G108" s="179">
        <f t="shared" si="37"/>
        <v>8.3507789999999993</v>
      </c>
      <c r="H108" s="179">
        <f t="shared" si="37"/>
        <v>9.6659794002709365</v>
      </c>
      <c r="I108" s="179">
        <f t="shared" si="37"/>
        <v>11.148292477035213</v>
      </c>
      <c r="J108" s="179">
        <f t="shared" si="37"/>
        <v>12.523474878002563</v>
      </c>
      <c r="K108" s="179">
        <f t="shared" si="37"/>
        <v>13.692586780562621</v>
      </c>
      <c r="L108" s="179">
        <f t="shared" si="37"/>
        <v>14.560061925519163</v>
      </c>
    </row>
    <row r="109" spans="1:13" ht="13.5" customHeight="1" outlineLevel="1">
      <c r="A109" s="125"/>
      <c r="C109" s="180" t="s">
        <v>157</v>
      </c>
      <c r="D109" s="180"/>
      <c r="E109" s="180"/>
      <c r="F109" s="181">
        <f t="shared" ref="F109:L109" si="38">F103-F108</f>
        <v>10.608446000000006</v>
      </c>
      <c r="G109" s="181">
        <f t="shared" si="38"/>
        <v>15.439919</v>
      </c>
      <c r="H109" s="181">
        <f t="shared" si="38"/>
        <v>15.928754099958622</v>
      </c>
      <c r="I109" s="181">
        <f t="shared" si="38"/>
        <v>18.371486442039696</v>
      </c>
      <c r="J109" s="181">
        <f t="shared" si="38"/>
        <v>20.637676074823897</v>
      </c>
      <c r="K109" s="181">
        <f t="shared" si="38"/>
        <v>22.56427815414262</v>
      </c>
      <c r="L109" s="181">
        <f t="shared" si="38"/>
        <v>23.993807196119612</v>
      </c>
    </row>
    <row r="110" spans="1:13" ht="13.5" customHeight="1" outlineLevel="1">
      <c r="A110" s="125"/>
      <c r="C110" s="39"/>
      <c r="D110" s="39"/>
      <c r="E110" s="39"/>
      <c r="F110" s="182"/>
      <c r="G110" s="182"/>
      <c r="H110" s="182"/>
      <c r="I110" s="182"/>
      <c r="J110" s="182"/>
      <c r="K110" s="182"/>
      <c r="L110" s="182"/>
    </row>
    <row r="111" spans="1:13" ht="13.5" customHeight="1" outlineLevel="1">
      <c r="A111" s="125"/>
      <c r="C111" s="39" t="s">
        <v>158</v>
      </c>
      <c r="D111" s="39"/>
      <c r="E111" s="39"/>
      <c r="F111" s="183"/>
      <c r="G111" s="183">
        <f t="shared" ref="G111:L111" si="39">G109-F109</f>
        <v>4.8314729999999937</v>
      </c>
      <c r="H111" s="183">
        <f t="shared" si="39"/>
        <v>0.48883509995862262</v>
      </c>
      <c r="I111" s="183">
        <f t="shared" si="39"/>
        <v>2.442732342081074</v>
      </c>
      <c r="J111" s="183">
        <f t="shared" si="39"/>
        <v>2.2661896327842008</v>
      </c>
      <c r="K111" s="183">
        <f t="shared" si="39"/>
        <v>1.9266020793187231</v>
      </c>
      <c r="L111" s="183">
        <f t="shared" si="39"/>
        <v>1.4295290419769913</v>
      </c>
      <c r="M111" s="50" t="s">
        <v>159</v>
      </c>
    </row>
    <row r="112" spans="1:13" ht="13.5" customHeight="1" outlineLevel="1">
      <c r="A112" s="125"/>
    </row>
    <row r="113" spans="1:17" ht="13.5" customHeight="1" outlineLevel="1">
      <c r="A113" s="125"/>
      <c r="C113" s="84" t="s">
        <v>160</v>
      </c>
      <c r="D113" s="85"/>
      <c r="E113" s="86"/>
      <c r="F113" s="86"/>
      <c r="G113" s="86"/>
      <c r="H113" s="86"/>
      <c r="I113" s="86"/>
      <c r="J113" s="86"/>
      <c r="K113" s="86"/>
      <c r="L113" s="87"/>
    </row>
    <row r="114" spans="1:17" ht="13.5" customHeight="1" outlineLevel="1">
      <c r="A114" s="125"/>
      <c r="C114" s="68"/>
      <c r="D114" s="68"/>
      <c r="E114" s="68"/>
      <c r="F114" s="68"/>
    </row>
    <row r="115" spans="1:17" ht="13.5" customHeight="1" outlineLevel="1">
      <c r="A115" s="125"/>
      <c r="C115" s="68" t="s">
        <v>161</v>
      </c>
      <c r="D115" s="68"/>
      <c r="E115" s="68"/>
      <c r="F115" s="184">
        <f t="shared" ref="F115:L116" si="40">F13</f>
        <v>78.565675999999996</v>
      </c>
      <c r="G115" s="184">
        <f t="shared" si="40"/>
        <v>90.614007999999998</v>
      </c>
      <c r="H115" s="184">
        <f t="shared" si="40"/>
        <v>104.5099955077592</v>
      </c>
      <c r="I115" s="184">
        <f t="shared" si="40"/>
        <v>120.53698321160066</v>
      </c>
      <c r="J115" s="184">
        <f t="shared" si="40"/>
        <v>135.4056582414087</v>
      </c>
      <c r="K115" s="184">
        <f t="shared" si="40"/>
        <v>148.04626863637753</v>
      </c>
      <c r="L115" s="184">
        <f t="shared" si="40"/>
        <v>157.42553790111026</v>
      </c>
      <c r="M115" s="50" t="s">
        <v>162</v>
      </c>
    </row>
    <row r="116" spans="1:17" ht="13.5" customHeight="1" outlineLevel="1">
      <c r="A116" s="125"/>
      <c r="C116" s="68" t="s">
        <v>66</v>
      </c>
      <c r="D116" s="68"/>
      <c r="E116" s="68"/>
      <c r="F116" s="165">
        <f>F14</f>
        <v>51.562188999999996</v>
      </c>
      <c r="G116" s="165">
        <f t="shared" si="40"/>
        <v>61.618676000000001</v>
      </c>
      <c r="H116" s="165">
        <f t="shared" si="40"/>
        <v>69.828708282059708</v>
      </c>
      <c r="I116" s="165">
        <f t="shared" si="40"/>
        <v>80.537194523728473</v>
      </c>
      <c r="J116" s="165">
        <f t="shared" si="40"/>
        <v>90.471750220079329</v>
      </c>
      <c r="K116" s="165">
        <f t="shared" si="40"/>
        <v>98.917616966977391</v>
      </c>
      <c r="L116" s="165">
        <f t="shared" si="40"/>
        <v>105.18440756632523</v>
      </c>
      <c r="M116" s="50" t="s">
        <v>162</v>
      </c>
    </row>
    <row r="117" spans="1:17" ht="13.5" customHeight="1" outlineLevel="1">
      <c r="A117" s="125"/>
      <c r="C117" s="68" t="s">
        <v>69</v>
      </c>
      <c r="D117" s="68"/>
      <c r="E117" s="68"/>
      <c r="F117" s="165">
        <f>F17</f>
        <v>14.179914999999999</v>
      </c>
      <c r="G117" s="165">
        <f t="shared" ref="G117:L117" si="41">G17</f>
        <v>15.4366889395</v>
      </c>
      <c r="H117" s="165">
        <f t="shared" si="41"/>
        <v>18.333216581804578</v>
      </c>
      <c r="I117" s="165">
        <f t="shared" si="41"/>
        <v>21.144681985672378</v>
      </c>
      <c r="J117" s="165">
        <f t="shared" si="41"/>
        <v>23.752955369300096</v>
      </c>
      <c r="K117" s="165">
        <f t="shared" si="41"/>
        <v>25.970380094765407</v>
      </c>
      <c r="L117" s="165">
        <f t="shared" si="41"/>
        <v>27.615698075825332</v>
      </c>
      <c r="M117" s="50" t="s">
        <v>162</v>
      </c>
    </row>
    <row r="118" spans="1:17" ht="13.5" customHeight="1" outlineLevel="1">
      <c r="A118" s="125"/>
      <c r="F118" s="82"/>
    </row>
    <row r="119" spans="1:17" ht="13.5" customHeight="1" outlineLevel="1">
      <c r="A119" s="125"/>
      <c r="C119" s="98" t="s">
        <v>163</v>
      </c>
      <c r="D119" s="68"/>
      <c r="F119" s="185">
        <f>F100/(F115/365)</f>
        <v>77.963027200326025</v>
      </c>
      <c r="G119" s="185">
        <f>G100/(G115/365)</f>
        <v>89.764526584013367</v>
      </c>
      <c r="H119" s="186">
        <f>AVERAGE(F119:G119)</f>
        <v>83.863776892169696</v>
      </c>
      <c r="I119" s="186">
        <f>H119</f>
        <v>83.863776892169696</v>
      </c>
      <c r="J119" s="186">
        <f t="shared" ref="J119:L119" si="42">I119</f>
        <v>83.863776892169696</v>
      </c>
      <c r="K119" s="186">
        <f t="shared" si="42"/>
        <v>83.863776892169696</v>
      </c>
      <c r="L119" s="186">
        <f t="shared" si="42"/>
        <v>83.863776892169696</v>
      </c>
      <c r="M119" s="50" t="s">
        <v>164</v>
      </c>
    </row>
    <row r="120" spans="1:17" ht="13.5" customHeight="1" outlineLevel="1">
      <c r="A120" s="125"/>
      <c r="C120" s="98" t="s">
        <v>165</v>
      </c>
      <c r="D120" s="68"/>
      <c r="F120" s="185">
        <f>F101/(F116/365)</f>
        <v>5.697757808536795</v>
      </c>
      <c r="G120" s="185">
        <f>G101/(G116/365)</f>
        <v>6.877554542067732</v>
      </c>
      <c r="H120" s="186">
        <f>AVERAGE(F120:G120)</f>
        <v>6.2876561753022635</v>
      </c>
      <c r="I120" s="186">
        <f>H120</f>
        <v>6.2876561753022635</v>
      </c>
      <c r="J120" s="186">
        <f>I120</f>
        <v>6.2876561753022635</v>
      </c>
      <c r="K120" s="186">
        <f>J120</f>
        <v>6.2876561753022635</v>
      </c>
      <c r="L120" s="186">
        <f>K120</f>
        <v>6.2876561753022635</v>
      </c>
      <c r="M120" s="50" t="s">
        <v>166</v>
      </c>
    </row>
    <row r="121" spans="1:17" ht="13.5" customHeight="1" outlineLevel="1">
      <c r="A121" s="125"/>
      <c r="C121" s="98" t="s">
        <v>167</v>
      </c>
      <c r="D121" s="68"/>
      <c r="F121" s="187">
        <f>F102/F117</f>
        <v>1.9025784005052216E-2</v>
      </c>
      <c r="G121" s="187">
        <f>G102/G117</f>
        <v>2.2344105096100488E-2</v>
      </c>
      <c r="H121" s="135">
        <f>AVERAGE(F121:G121)</f>
        <v>2.0684944550576352E-2</v>
      </c>
      <c r="I121" s="135">
        <f>H121</f>
        <v>2.0684944550576352E-2</v>
      </c>
      <c r="J121" s="135">
        <f t="shared" ref="J121:L121" si="43">I121</f>
        <v>2.0684944550576352E-2</v>
      </c>
      <c r="K121" s="135">
        <f t="shared" si="43"/>
        <v>2.0684944550576352E-2</v>
      </c>
      <c r="L121" s="135">
        <f t="shared" si="43"/>
        <v>2.0684944550576352E-2</v>
      </c>
      <c r="M121" s="50" t="s">
        <v>168</v>
      </c>
    </row>
    <row r="122" spans="1:17" ht="13.5" customHeight="1" outlineLevel="1">
      <c r="A122" s="125"/>
      <c r="C122" s="98"/>
      <c r="D122" s="68"/>
      <c r="F122" s="188"/>
      <c r="G122" s="188"/>
      <c r="H122" s="189"/>
      <c r="I122" s="189"/>
      <c r="J122" s="189"/>
      <c r="K122" s="189"/>
      <c r="L122" s="189"/>
      <c r="Q122" s="190"/>
    </row>
    <row r="123" spans="1:17" ht="13.5" customHeight="1" outlineLevel="1">
      <c r="A123" s="125"/>
      <c r="C123" s="98" t="s">
        <v>169</v>
      </c>
      <c r="D123" s="68"/>
      <c r="F123" s="185">
        <f>F105/(F116/365)</f>
        <v>19.861903167066863</v>
      </c>
      <c r="G123" s="185">
        <f>G105/(G116/365)</f>
        <v>13.983733600507742</v>
      </c>
      <c r="H123" s="186">
        <f>AVERAGE(F123:G123)</f>
        <v>16.922818383787302</v>
      </c>
      <c r="I123" s="186">
        <f t="shared" ref="I123:L125" si="44">H123</f>
        <v>16.922818383787302</v>
      </c>
      <c r="J123" s="186">
        <f t="shared" si="44"/>
        <v>16.922818383787302</v>
      </c>
      <c r="K123" s="186">
        <f t="shared" si="44"/>
        <v>16.922818383787302</v>
      </c>
      <c r="L123" s="186">
        <f t="shared" si="44"/>
        <v>16.922818383787302</v>
      </c>
      <c r="M123" s="50" t="s">
        <v>170</v>
      </c>
    </row>
    <row r="124" spans="1:17" ht="13.5" customHeight="1" outlineLevel="1">
      <c r="A124" s="125"/>
      <c r="C124" s="98" t="s">
        <v>171</v>
      </c>
      <c r="D124" s="68"/>
      <c r="F124" s="187">
        <f>F106/F117</f>
        <v>0.16812040128590333</v>
      </c>
      <c r="G124" s="187">
        <f>G106/G117</f>
        <v>0.18061114082993923</v>
      </c>
      <c r="H124" s="135">
        <f>AVERAGE(F124:G124)</f>
        <v>0.17436577105792128</v>
      </c>
      <c r="I124" s="135">
        <f>H124</f>
        <v>0.17436577105792128</v>
      </c>
      <c r="J124" s="135">
        <f t="shared" si="44"/>
        <v>0.17436577105792128</v>
      </c>
      <c r="K124" s="135">
        <f t="shared" si="44"/>
        <v>0.17436577105792128</v>
      </c>
      <c r="L124" s="135">
        <f t="shared" si="44"/>
        <v>0.17436577105792128</v>
      </c>
      <c r="M124" s="50" t="s">
        <v>172</v>
      </c>
    </row>
    <row r="125" spans="1:17" ht="13.5" customHeight="1" outlineLevel="1">
      <c r="A125" s="125"/>
      <c r="C125" s="98" t="s">
        <v>173</v>
      </c>
      <c r="D125" s="68"/>
      <c r="F125" s="187">
        <f>F107/F117</f>
        <v>0.14512837347755611</v>
      </c>
      <c r="G125" s="187">
        <f>G107/G117</f>
        <v>0.20742991016723272</v>
      </c>
      <c r="H125" s="135">
        <f>AVERAGE(F125:G125)</f>
        <v>0.1762791418223944</v>
      </c>
      <c r="I125" s="135">
        <f>H125</f>
        <v>0.1762791418223944</v>
      </c>
      <c r="J125" s="135">
        <f t="shared" si="44"/>
        <v>0.1762791418223944</v>
      </c>
      <c r="K125" s="135">
        <f t="shared" si="44"/>
        <v>0.1762791418223944</v>
      </c>
      <c r="L125" s="135">
        <f t="shared" si="44"/>
        <v>0.1762791418223944</v>
      </c>
      <c r="M125" s="50" t="s">
        <v>174</v>
      </c>
    </row>
    <row r="126" spans="1:17" ht="13.5" customHeight="1" outlineLevel="1">
      <c r="A126" s="125"/>
      <c r="C126" s="98"/>
      <c r="D126" s="68"/>
      <c r="F126" s="191"/>
      <c r="G126" s="191"/>
      <c r="H126" s="192"/>
      <c r="I126" s="192"/>
      <c r="J126" s="192"/>
      <c r="K126" s="192"/>
      <c r="L126" s="192"/>
    </row>
    <row r="127" spans="1:17" ht="5.0999999999999996" customHeight="1" outlineLevel="1" thickBot="1">
      <c r="A127" s="125"/>
      <c r="C127" s="157"/>
      <c r="D127" s="157"/>
      <c r="E127" s="157"/>
      <c r="F127" s="83"/>
      <c r="G127" s="83"/>
      <c r="H127" s="83"/>
      <c r="I127" s="83"/>
      <c r="J127" s="83"/>
      <c r="K127" s="83"/>
      <c r="L127" s="83"/>
    </row>
    <row r="128" spans="1:17" ht="13.5" customHeight="1" outlineLevel="1">
      <c r="A128" s="125"/>
    </row>
    <row r="129" spans="1:19" ht="13.5" customHeight="1" outlineLevel="1" thickBot="1">
      <c r="A129" s="125"/>
    </row>
    <row r="130" spans="1:19" ht="16.5" collapsed="1" thickTop="1" thickBot="1">
      <c r="A130" s="82"/>
      <c r="B130" s="46" t="s">
        <v>61</v>
      </c>
      <c r="C130" s="119" t="s">
        <v>96</v>
      </c>
      <c r="D130" s="82"/>
      <c r="E130" s="82"/>
      <c r="F130" s="82"/>
      <c r="G130" s="82"/>
      <c r="H130" s="82"/>
      <c r="I130" s="82"/>
      <c r="J130" s="82"/>
      <c r="K130" s="82"/>
      <c r="L130" s="82"/>
      <c r="M130" s="82"/>
      <c r="N130" s="82"/>
      <c r="O130" s="82"/>
      <c r="P130" s="82"/>
      <c r="Q130" s="82"/>
      <c r="R130" s="82"/>
      <c r="S130" s="82"/>
    </row>
    <row r="131" spans="1:19" ht="15.75" hidden="1" outlineLevel="1" thickBot="1">
      <c r="A131" s="82"/>
      <c r="B131" s="82"/>
      <c r="C131" s="120" t="s">
        <v>3</v>
      </c>
      <c r="D131" s="82"/>
      <c r="E131" s="82"/>
      <c r="F131" s="82"/>
      <c r="G131" s="82"/>
      <c r="H131" s="82"/>
      <c r="I131" s="82"/>
      <c r="J131" s="82"/>
      <c r="K131" s="82"/>
      <c r="L131" s="82"/>
      <c r="M131" s="82"/>
      <c r="N131" s="82"/>
      <c r="O131" s="82"/>
      <c r="P131" s="82"/>
      <c r="Q131" s="82"/>
      <c r="R131" s="82"/>
      <c r="S131" s="82"/>
    </row>
    <row r="132" spans="1:19" ht="15.75" hidden="1" outlineLevel="1" thickBot="1">
      <c r="A132" s="82"/>
      <c r="B132" s="82"/>
      <c r="C132" s="121" t="s">
        <v>97</v>
      </c>
      <c r="D132" s="82"/>
      <c r="E132" s="82"/>
      <c r="F132" s="122">
        <f>'Financials from CIP'!D13/1000-'Step 4 Answer Key'!F13</f>
        <v>0</v>
      </c>
      <c r="G132" s="122">
        <f>'Financials from CIP'!E13/1000-'Step 4 Answer Key'!G13</f>
        <v>0</v>
      </c>
      <c r="H132" s="82"/>
      <c r="I132" s="82"/>
      <c r="J132" s="82"/>
      <c r="K132" s="82"/>
      <c r="L132" s="82"/>
      <c r="M132" s="82"/>
      <c r="N132" s="82"/>
      <c r="O132" s="82"/>
      <c r="P132" s="82"/>
      <c r="Q132" s="82"/>
      <c r="R132" s="82"/>
      <c r="S132" s="82"/>
    </row>
    <row r="133" spans="1:19" ht="15.75" hidden="1" outlineLevel="1" thickBot="1">
      <c r="A133" s="82"/>
      <c r="B133" s="82"/>
      <c r="C133" s="121" t="s">
        <v>67</v>
      </c>
      <c r="D133" s="82"/>
      <c r="E133" s="82"/>
      <c r="F133" s="122">
        <f>'Financials from CIP'!D19/1000-'Step 4 Answer Key'!F15</f>
        <v>0</v>
      </c>
      <c r="G133" s="122">
        <f>'Financials from CIP'!E19/1000-'Step 4 Answer Key'!G15</f>
        <v>0</v>
      </c>
      <c r="H133" s="82"/>
      <c r="I133" s="82"/>
      <c r="J133" s="82"/>
      <c r="K133" s="82"/>
      <c r="L133" s="82"/>
      <c r="M133" s="82"/>
      <c r="N133" s="82"/>
      <c r="O133" s="82"/>
      <c r="P133" s="82"/>
      <c r="Q133" s="82"/>
      <c r="R133" s="82"/>
      <c r="S133" s="82"/>
    </row>
    <row r="134" spans="1:19" ht="15.75" hidden="1" outlineLevel="1" thickBot="1">
      <c r="A134" s="82"/>
      <c r="B134" s="82"/>
      <c r="C134" s="121" t="s">
        <v>70</v>
      </c>
      <c r="D134" s="82"/>
      <c r="E134" s="82"/>
      <c r="F134" s="122">
        <f>'Financials from CIP'!D36/1000-'Step 4 Answer Key'!F18</f>
        <v>0</v>
      </c>
      <c r="G134" s="122">
        <f>'Financials from CIP'!E36/1000-'Step 4 Answer Key'!G18</f>
        <v>0</v>
      </c>
      <c r="H134" s="82"/>
      <c r="I134" s="82"/>
      <c r="J134" s="82"/>
      <c r="K134" s="82"/>
      <c r="L134" s="82"/>
      <c r="M134" s="82"/>
      <c r="N134" s="82"/>
      <c r="O134" s="82"/>
      <c r="P134" s="82"/>
      <c r="Q134" s="82"/>
      <c r="R134" s="82"/>
      <c r="S134" s="82"/>
    </row>
    <row r="135" spans="1:19" ht="15.75" hidden="1" outlineLevel="1" thickBot="1">
      <c r="A135" s="82"/>
      <c r="B135" s="82"/>
      <c r="C135" s="121" t="s">
        <v>22</v>
      </c>
      <c r="D135" s="82"/>
      <c r="E135" s="82"/>
      <c r="F135" s="122">
        <f>'Financials from CIP'!D34/1000-'Step 4 Answer Key'!F33</f>
        <v>0</v>
      </c>
      <c r="G135" s="122">
        <f>'Financials from CIP'!E34/1000-'Step 4 Answer Key'!G33</f>
        <v>0</v>
      </c>
      <c r="H135" s="82"/>
      <c r="I135" s="82"/>
      <c r="J135" s="82"/>
      <c r="K135" s="82"/>
      <c r="L135" s="82"/>
      <c r="M135" s="82"/>
      <c r="N135" s="82"/>
      <c r="O135" s="82"/>
      <c r="P135" s="82"/>
      <c r="Q135" s="82"/>
      <c r="R135" s="82"/>
      <c r="S135" s="82"/>
    </row>
    <row r="136" spans="1:19" ht="15.75" hidden="1" outlineLevel="1" thickBot="1">
      <c r="A136" s="82"/>
      <c r="B136" s="82"/>
      <c r="C136" s="121"/>
      <c r="D136" s="82"/>
      <c r="E136" s="82"/>
      <c r="F136" s="122"/>
      <c r="G136" s="122"/>
      <c r="H136" s="82"/>
      <c r="I136" s="82"/>
      <c r="J136" s="82"/>
      <c r="K136" s="82"/>
      <c r="L136" s="82"/>
      <c r="M136" s="82"/>
      <c r="N136" s="82"/>
      <c r="O136" s="82"/>
      <c r="P136" s="82"/>
      <c r="Q136" s="82"/>
      <c r="R136" s="82"/>
      <c r="S136" s="82"/>
    </row>
    <row r="137" spans="1:19" ht="15.75" hidden="1" outlineLevel="1" thickBot="1">
      <c r="A137" s="82"/>
      <c r="B137" s="82"/>
      <c r="C137" s="120" t="s">
        <v>26</v>
      </c>
      <c r="D137" s="82"/>
      <c r="E137" s="82"/>
      <c r="F137" s="122"/>
      <c r="G137" s="122"/>
      <c r="H137" s="82"/>
      <c r="I137" s="82"/>
      <c r="J137" s="82"/>
      <c r="K137" s="82"/>
      <c r="L137" s="82"/>
      <c r="M137" s="82"/>
      <c r="N137" s="82"/>
      <c r="O137" s="82"/>
      <c r="P137" s="82"/>
      <c r="Q137" s="82"/>
      <c r="R137" s="82"/>
      <c r="S137" s="82"/>
    </row>
    <row r="138" spans="1:19" ht="15.75" hidden="1" outlineLevel="1" thickBot="1">
      <c r="A138" s="82"/>
      <c r="B138" s="82"/>
      <c r="C138" s="121" t="s">
        <v>98</v>
      </c>
      <c r="D138" s="82"/>
      <c r="E138" s="82"/>
      <c r="F138" s="122">
        <f>'Financials from CIP'!D46/1000-'Step 4 Answer Key'!F60</f>
        <v>0</v>
      </c>
      <c r="G138" s="122">
        <f>'Financials from CIP'!E46/1000-'Step 4 Answer Key'!G60</f>
        <v>0</v>
      </c>
      <c r="H138" s="82"/>
      <c r="I138" s="82"/>
      <c r="J138" s="82"/>
      <c r="K138" s="82"/>
      <c r="L138" s="82"/>
      <c r="M138" s="82"/>
      <c r="N138" s="82"/>
      <c r="O138" s="82"/>
      <c r="P138" s="82"/>
      <c r="Q138" s="82"/>
      <c r="R138" s="82"/>
      <c r="S138" s="82"/>
    </row>
    <row r="139" spans="1:19" ht="15.75" hidden="1" outlineLevel="1" thickBot="1">
      <c r="A139" s="82"/>
      <c r="B139" s="82"/>
      <c r="C139" s="121" t="s">
        <v>99</v>
      </c>
      <c r="D139" s="82"/>
      <c r="E139" s="82"/>
      <c r="F139" s="122">
        <f>'Financials from CIP'!D51/1000-'Step 4 Answer Key'!F64</f>
        <v>0</v>
      </c>
      <c r="G139" s="122">
        <f>'Financials from CIP'!E51/1000-'Step 4 Answer Key'!G64</f>
        <v>0</v>
      </c>
      <c r="H139" s="82"/>
      <c r="I139" s="82"/>
      <c r="J139" s="82"/>
      <c r="K139" s="82"/>
      <c r="L139" s="82"/>
      <c r="M139" s="82"/>
      <c r="N139" s="82"/>
      <c r="O139" s="82"/>
      <c r="P139" s="82"/>
      <c r="Q139" s="82"/>
      <c r="R139" s="82"/>
      <c r="S139" s="82"/>
    </row>
    <row r="140" spans="1:19" ht="15.75" hidden="1" outlineLevel="1" thickBot="1">
      <c r="A140" s="82"/>
      <c r="B140" s="82"/>
      <c r="C140" s="121" t="s">
        <v>36</v>
      </c>
      <c r="D140" s="82"/>
      <c r="E140" s="82"/>
      <c r="F140" s="122">
        <f>'Financials from CIP'!D56/1000-'Step 4 Answer Key'!F70</f>
        <v>0</v>
      </c>
      <c r="G140" s="122">
        <f>'Financials from CIP'!E56/1000-'Step 4 Answer Key'!G70</f>
        <v>0</v>
      </c>
      <c r="H140" s="82"/>
      <c r="I140" s="82"/>
      <c r="J140" s="82"/>
      <c r="K140" s="82"/>
      <c r="L140" s="82"/>
      <c r="M140" s="82"/>
      <c r="N140" s="82"/>
      <c r="O140" s="82"/>
      <c r="P140" s="82"/>
      <c r="Q140" s="82"/>
      <c r="R140" s="82"/>
      <c r="S140" s="82"/>
    </row>
    <row r="141" spans="1:19" ht="15.75" hidden="1" outlineLevel="1" thickBot="1">
      <c r="A141" s="82"/>
      <c r="B141" s="82"/>
      <c r="C141" s="121" t="s">
        <v>100</v>
      </c>
      <c r="D141" s="82"/>
      <c r="E141" s="82"/>
      <c r="F141" s="122">
        <f>'Financials from CIP'!D61/1000-'Step 4 Answer Key'!F77</f>
        <v>0</v>
      </c>
      <c r="G141" s="122">
        <f>'Financials from CIP'!E61/1000-'Step 4 Answer Key'!G77</f>
        <v>0</v>
      </c>
      <c r="H141" s="82"/>
      <c r="I141" s="82"/>
      <c r="J141" s="82"/>
      <c r="K141" s="82"/>
      <c r="L141" s="82"/>
      <c r="M141" s="82"/>
      <c r="N141" s="82"/>
      <c r="O141" s="82"/>
      <c r="P141" s="82"/>
      <c r="Q141" s="82"/>
      <c r="R141" s="82"/>
      <c r="S141" s="82"/>
    </row>
    <row r="142" spans="1:19" ht="15.75" hidden="1" outlineLevel="1" thickBot="1">
      <c r="A142" s="82"/>
      <c r="B142" s="82"/>
      <c r="C142" s="121" t="s">
        <v>101</v>
      </c>
      <c r="D142" s="82"/>
      <c r="E142" s="82"/>
      <c r="F142" s="122">
        <f>'Financials from CIP'!D69/1000-'Step 4 Answer Key'!F84</f>
        <v>0</v>
      </c>
      <c r="G142" s="122">
        <f>'Financials from CIP'!E69/1000-'Step 4 Answer Key'!G84</f>
        <v>0</v>
      </c>
      <c r="H142" s="82"/>
      <c r="I142" s="82"/>
      <c r="J142" s="82"/>
      <c r="K142" s="82"/>
      <c r="L142" s="82"/>
      <c r="M142" s="82"/>
      <c r="N142" s="82"/>
      <c r="O142" s="82"/>
      <c r="P142" s="82"/>
      <c r="Q142" s="82"/>
      <c r="R142" s="82"/>
      <c r="S142" s="82"/>
    </row>
    <row r="143" spans="1:19" ht="15.75" hidden="1" outlineLevel="1" thickBot="1">
      <c r="A143" s="82"/>
      <c r="B143" s="82"/>
      <c r="C143" s="121" t="s">
        <v>49</v>
      </c>
      <c r="D143" s="82"/>
      <c r="E143" s="82"/>
      <c r="F143" s="122">
        <f>'Financials from CIP'!D73/1000-SUM('Step 4 Answer Key'!F85:F86)</f>
        <v>0</v>
      </c>
      <c r="G143" s="122">
        <f>'Financials from CIP'!E73/1000-SUM('Step 4 Answer Key'!G85:G86)</f>
        <v>0</v>
      </c>
      <c r="H143" s="82"/>
      <c r="I143" s="82"/>
      <c r="J143" s="82"/>
      <c r="K143" s="82"/>
      <c r="L143" s="82"/>
      <c r="M143" s="82"/>
      <c r="N143" s="82"/>
      <c r="O143" s="82"/>
      <c r="P143" s="82"/>
      <c r="Q143" s="82"/>
      <c r="R143" s="82"/>
      <c r="S143" s="82"/>
    </row>
    <row r="144" spans="1:19" ht="15.75" hidden="1" outlineLevel="1" thickBot="1">
      <c r="A144" s="82"/>
      <c r="B144" s="82"/>
      <c r="C144" s="121"/>
      <c r="D144" s="82"/>
      <c r="E144" s="82"/>
      <c r="F144" s="122"/>
      <c r="G144" s="122"/>
      <c r="H144" s="82"/>
      <c r="I144" s="82"/>
      <c r="J144" s="82"/>
      <c r="K144" s="82"/>
      <c r="L144" s="82"/>
      <c r="M144" s="82"/>
      <c r="N144" s="82"/>
      <c r="O144" s="82"/>
      <c r="P144" s="82"/>
      <c r="Q144" s="82"/>
      <c r="R144" s="82"/>
      <c r="S144" s="82"/>
    </row>
    <row r="145" spans="1:19" ht="15.75" hidden="1" outlineLevel="1" thickBot="1">
      <c r="A145" s="82"/>
      <c r="B145" s="82"/>
      <c r="C145" s="119" t="s">
        <v>102</v>
      </c>
      <c r="D145" s="82"/>
      <c r="E145" s="82"/>
      <c r="F145" s="122"/>
      <c r="G145" s="122"/>
      <c r="H145" s="82"/>
      <c r="I145" s="82"/>
      <c r="J145" s="82"/>
      <c r="K145" s="82"/>
      <c r="L145" s="82"/>
      <c r="M145" s="82"/>
      <c r="N145" s="82"/>
      <c r="O145" s="82"/>
      <c r="P145" s="82"/>
      <c r="Q145" s="82"/>
      <c r="R145" s="82"/>
      <c r="S145" s="82"/>
    </row>
    <row r="146" spans="1:19" ht="15.75" hidden="1" outlineLevel="1" thickBot="1">
      <c r="A146" s="82"/>
      <c r="B146" s="82"/>
      <c r="C146" s="121" t="s">
        <v>103</v>
      </c>
      <c r="D146" s="82"/>
      <c r="E146" s="82"/>
      <c r="F146" s="122">
        <f>F70-F87</f>
        <v>-8.2790072042371321E-7</v>
      </c>
      <c r="G146" s="122">
        <f>G70-G87</f>
        <v>5.0419180297467392E-7</v>
      </c>
      <c r="H146" s="82"/>
      <c r="I146" s="82"/>
      <c r="J146" s="82"/>
      <c r="K146" s="82"/>
      <c r="L146" s="82"/>
      <c r="M146" s="82"/>
      <c r="N146" s="82"/>
      <c r="O146" s="82"/>
      <c r="P146" s="82"/>
      <c r="Q146" s="82"/>
      <c r="R146" s="82"/>
      <c r="S146" s="82"/>
    </row>
    <row r="147" spans="1:19" ht="19.5" hidden="1" customHeight="1" outlineLevel="1">
      <c r="A147" s="82"/>
      <c r="B147" s="82"/>
      <c r="C147" s="121"/>
      <c r="D147" s="82"/>
      <c r="E147" s="82"/>
      <c r="F147" s="122"/>
      <c r="G147" s="122"/>
      <c r="H147" s="82"/>
      <c r="I147" s="82"/>
      <c r="J147" s="82"/>
      <c r="K147" s="82"/>
      <c r="L147" s="82"/>
      <c r="M147" s="82"/>
      <c r="N147" s="82"/>
      <c r="O147" s="82"/>
      <c r="P147" s="82"/>
      <c r="Q147" s="82"/>
      <c r="R147" s="82"/>
      <c r="S147" s="82"/>
    </row>
    <row r="148" spans="1:19" s="114" customFormat="1" ht="13.5" hidden="1" customHeight="1" outlineLevel="1">
      <c r="A148" s="82"/>
      <c r="B148" s="110"/>
      <c r="C148" s="111"/>
      <c r="D148" s="111"/>
      <c r="E148" s="111"/>
      <c r="F148" s="112"/>
      <c r="G148" s="113"/>
      <c r="H148" s="113"/>
      <c r="I148" s="113"/>
      <c r="J148" s="113"/>
      <c r="K148" s="113"/>
      <c r="L148" s="113"/>
      <c r="M148" s="142"/>
    </row>
    <row r="149" spans="1:19" ht="5.0999999999999996" hidden="1" customHeight="1" outlineLevel="1" thickBot="1">
      <c r="A149" s="82"/>
      <c r="C149" s="115"/>
      <c r="D149" s="115"/>
      <c r="E149" s="115"/>
      <c r="F149" s="116"/>
      <c r="G149" s="116"/>
      <c r="H149" s="116"/>
      <c r="I149" s="116"/>
      <c r="J149" s="116"/>
      <c r="K149" s="116"/>
      <c r="L149" s="116"/>
      <c r="M149" s="50"/>
    </row>
    <row r="150" spans="1:19" ht="13.5" hidden="1" customHeight="1" outlineLevel="1">
      <c r="A150" s="82"/>
      <c r="C150" s="118"/>
      <c r="D150" s="118"/>
      <c r="E150" s="118"/>
      <c r="M150" s="50"/>
    </row>
    <row r="151" spans="1:19" ht="13.5" hidden="1" customHeight="1" outlineLevel="1" thickBot="1">
      <c r="A151" s="82"/>
      <c r="C151" s="118"/>
      <c r="D151" s="118"/>
      <c r="E151" s="118"/>
      <c r="M151" s="50"/>
    </row>
    <row r="152" spans="1:19" ht="19.5" customHeight="1" thickTop="1">
      <c r="A152" s="125"/>
      <c r="B152" s="46" t="s">
        <v>61</v>
      </c>
      <c r="C152" s="47" t="s">
        <v>124</v>
      </c>
      <c r="D152" s="48"/>
      <c r="E152" s="49"/>
      <c r="F152" s="49"/>
      <c r="G152" s="49"/>
      <c r="H152" s="49"/>
      <c r="I152" s="49"/>
      <c r="J152" s="49"/>
      <c r="K152" s="49"/>
      <c r="L152" s="49"/>
      <c r="M152" s="50"/>
    </row>
    <row r="153" spans="1:19" ht="5.0999999999999996" customHeight="1" outlineLevel="1">
      <c r="A153" s="125"/>
      <c r="M153" s="50"/>
    </row>
    <row r="154" spans="1:19" ht="13.5" customHeight="1" outlineLevel="1">
      <c r="A154" s="125"/>
      <c r="C154" s="53"/>
      <c r="D154" s="53"/>
      <c r="E154" s="53"/>
      <c r="F154" s="143"/>
      <c r="G154" s="54"/>
      <c r="H154" s="55" t="s">
        <v>64</v>
      </c>
      <c r="I154" s="55"/>
      <c r="J154" s="55"/>
      <c r="K154" s="55"/>
      <c r="L154" s="55"/>
      <c r="M154" s="50"/>
    </row>
    <row r="155" spans="1:19" ht="13.5" customHeight="1" outlineLevel="1" thickBot="1">
      <c r="A155" s="125"/>
      <c r="C155" s="56" t="s">
        <v>65</v>
      </c>
      <c r="D155" s="144" t="s">
        <v>126</v>
      </c>
      <c r="E155" s="57" t="s">
        <v>127</v>
      </c>
      <c r="F155" s="145" t="s">
        <v>128</v>
      </c>
      <c r="G155" s="58" t="s">
        <v>129</v>
      </c>
      <c r="H155" s="58">
        <f t="shared" ref="H155:L155" si="45">H$11</f>
        <v>46022</v>
      </c>
      <c r="I155" s="58">
        <f t="shared" si="45"/>
        <v>46387</v>
      </c>
      <c r="J155" s="58">
        <f t="shared" si="45"/>
        <v>46752</v>
      </c>
      <c r="K155" s="58">
        <f t="shared" si="45"/>
        <v>47118</v>
      </c>
      <c r="L155" s="58">
        <f t="shared" si="45"/>
        <v>47483</v>
      </c>
      <c r="M155" s="50"/>
    </row>
    <row r="156" spans="1:19" ht="13.5" customHeight="1" outlineLevel="1">
      <c r="A156" s="125"/>
      <c r="M156" s="50"/>
    </row>
    <row r="157" spans="1:19" ht="13.5" customHeight="1" outlineLevel="1">
      <c r="A157" s="125"/>
      <c r="C157" s="146">
        <f>G11</f>
        <v>45657</v>
      </c>
      <c r="D157" s="169">
        <f>G67</f>
        <v>55.684984</v>
      </c>
      <c r="E157" s="170">
        <v>10</v>
      </c>
      <c r="F157" s="149">
        <f>-G20</f>
        <v>-1.1617642799999999</v>
      </c>
      <c r="G157" s="150">
        <f t="shared" ref="G157:G162" si="46">IFERROR(-D157/E157,"N/M")</f>
        <v>-5.5684984000000002</v>
      </c>
      <c r="H157" s="154">
        <f>-MIN(-$G157,$D157)</f>
        <v>-5.5684984000000002</v>
      </c>
      <c r="I157" s="154">
        <f>-MIN(-$H157,SUM($H157:H157,$D157))</f>
        <v>-5.5684984000000002</v>
      </c>
      <c r="J157" s="154">
        <f>-MIN(-$H157,SUM($H157:I157,$D157))</f>
        <v>-5.5684984000000002</v>
      </c>
      <c r="K157" s="154">
        <f>-MIN(-$H157,SUM($H157:J157,$D157))</f>
        <v>-5.5684984000000002</v>
      </c>
      <c r="L157" s="154">
        <f>-MIN(-$H157,SUM($H157:K157,$D157))</f>
        <v>-5.5684984000000002</v>
      </c>
      <c r="M157" s="50"/>
    </row>
    <row r="158" spans="1:19" ht="13.5" customHeight="1" outlineLevel="1">
      <c r="C158" s="146">
        <f>H155</f>
        <v>46022</v>
      </c>
      <c r="D158" s="169">
        <f>H36</f>
        <v>2.6089416062595356</v>
      </c>
      <c r="E158" s="170">
        <v>10</v>
      </c>
      <c r="F158" s="68"/>
      <c r="G158" s="150">
        <f t="shared" si="46"/>
        <v>-0.26089416062595355</v>
      </c>
      <c r="H158" s="154">
        <f>-MIN(-$G158,$D158)</f>
        <v>-0.26089416062595355</v>
      </c>
      <c r="I158" s="193">
        <f>-MIN(-$H158,SUM($H158:H158,$D158))</f>
        <v>-0.26089416062595355</v>
      </c>
      <c r="J158" s="193">
        <f>-MIN(-$H158,SUM($H158:I158,$D158))</f>
        <v>-0.26089416062595355</v>
      </c>
      <c r="K158" s="193">
        <f>-MIN(-$H158,SUM($H158:J158,$D158))</f>
        <v>-0.26089416062595355</v>
      </c>
      <c r="L158" s="193">
        <f>-MIN(-$H158,SUM($H158:K158,$D158))</f>
        <v>-0.26089416062595355</v>
      </c>
      <c r="M158" s="50"/>
    </row>
    <row r="159" spans="1:19" ht="13.5" customHeight="1" outlineLevel="1">
      <c r="C159" s="146">
        <f>I155</f>
        <v>46387</v>
      </c>
      <c r="D159" s="169">
        <f>I36</f>
        <v>3.0090322850545372</v>
      </c>
      <c r="E159" s="170">
        <v>10</v>
      </c>
      <c r="F159" s="68"/>
      <c r="G159" s="150">
        <f t="shared" si="46"/>
        <v>-0.3009032285054537</v>
      </c>
      <c r="H159" s="194"/>
      <c r="I159" s="154">
        <f>-MIN(-$G159,$D159)</f>
        <v>-0.3009032285054537</v>
      </c>
      <c r="J159" s="193">
        <f ca="1">-MIN(-$I159,SUM($I159:J159,$D159))</f>
        <v>-0.3009032285054537</v>
      </c>
      <c r="K159" s="193">
        <f ca="1">-MIN(-$I159,SUM($I159:K159,$D159))</f>
        <v>-0.3009032285054537</v>
      </c>
      <c r="L159" s="193">
        <f ca="1">-MIN(-$I159,SUM($I159:L159,$D159))</f>
        <v>-0.3009032285054537</v>
      </c>
      <c r="M159" s="50"/>
    </row>
    <row r="160" spans="1:19" ht="13.5" customHeight="1" outlineLevel="1">
      <c r="C160" s="146">
        <f>J155</f>
        <v>46752</v>
      </c>
      <c r="D160" s="169">
        <f>J36</f>
        <v>3.3802073552164953</v>
      </c>
      <c r="E160" s="170">
        <v>10</v>
      </c>
      <c r="F160" s="68"/>
      <c r="G160" s="150">
        <f t="shared" si="46"/>
        <v>-0.33802073552164952</v>
      </c>
      <c r="H160" s="194"/>
      <c r="I160" s="194"/>
      <c r="J160" s="154">
        <f>-MIN(-$G160,$D160)</f>
        <v>-0.33802073552164952</v>
      </c>
      <c r="K160" s="193">
        <f ca="1">-MIN(-$J160,SUM($J160:L160,$D160))</f>
        <v>-0.33802073552164952</v>
      </c>
      <c r="L160" s="193">
        <f ca="1">-MIN(-$J160,SUM($J160:M160,$D160))</f>
        <v>-0.33802073552164952</v>
      </c>
      <c r="M160" s="50"/>
    </row>
    <row r="161" spans="1:19" ht="13.5" customHeight="1" outlineLevel="1">
      <c r="C161" s="146">
        <f>K155</f>
        <v>47118</v>
      </c>
      <c r="D161" s="169">
        <f>K36</f>
        <v>3.6957619988438841</v>
      </c>
      <c r="E161" s="170">
        <v>10</v>
      </c>
      <c r="F161" s="68"/>
      <c r="G161" s="150">
        <f t="shared" si="46"/>
        <v>-0.36957619988438839</v>
      </c>
      <c r="H161" s="194"/>
      <c r="I161" s="194"/>
      <c r="J161" s="194"/>
      <c r="K161" s="154">
        <f>-MIN(-$G161,$D161)</f>
        <v>-0.36957619988438839</v>
      </c>
      <c r="L161" s="193">
        <f ca="1">-MIN(-$K161,SUM($K161:N161,$D161))</f>
        <v>-0.36957619988438839</v>
      </c>
      <c r="M161" s="50"/>
    </row>
    <row r="162" spans="1:19" ht="13.5" customHeight="1" outlineLevel="1">
      <c r="C162" s="146">
        <f>L155</f>
        <v>47483</v>
      </c>
      <c r="D162" s="169">
        <f>L36</f>
        <v>3.9299019555263603</v>
      </c>
      <c r="E162" s="170">
        <v>10</v>
      </c>
      <c r="F162" s="68"/>
      <c r="G162" s="150">
        <f t="shared" si="46"/>
        <v>-0.39299019555263603</v>
      </c>
      <c r="H162" s="194"/>
      <c r="I162" s="194"/>
      <c r="J162" s="194"/>
      <c r="K162" s="194"/>
      <c r="L162" s="154">
        <f>-MIN(-$G162,$D162)</f>
        <v>-0.39299019555263603</v>
      </c>
      <c r="M162" s="50"/>
    </row>
    <row r="163" spans="1:19" ht="13.5" customHeight="1" outlineLevel="1">
      <c r="C163" s="68"/>
      <c r="D163" s="155"/>
    </row>
    <row r="164" spans="1:19" ht="13.5" customHeight="1" outlineLevel="1">
      <c r="C164" s="39" t="s">
        <v>131</v>
      </c>
      <c r="H164" s="156">
        <f>-SUM(H157:H163)</f>
        <v>5.829392560625954</v>
      </c>
      <c r="I164" s="156">
        <f t="shared" ref="I164:L164" si="47">-SUM(I157:I163)</f>
        <v>6.1302957891314076</v>
      </c>
      <c r="J164" s="156">
        <f t="shared" ca="1" si="47"/>
        <v>6.4683165246530567</v>
      </c>
      <c r="K164" s="156">
        <f t="shared" ca="1" si="47"/>
        <v>6.8378927245374452</v>
      </c>
      <c r="L164" s="156">
        <f t="shared" ca="1" si="47"/>
        <v>7.2308829200900817</v>
      </c>
    </row>
    <row r="165" spans="1:19" ht="5.0999999999999996" customHeight="1" outlineLevel="1" thickBot="1">
      <c r="C165" s="157"/>
      <c r="D165" s="157"/>
      <c r="E165" s="157"/>
      <c r="F165" s="83"/>
      <c r="G165" s="83"/>
      <c r="H165" s="83"/>
      <c r="I165" s="83"/>
      <c r="J165" s="83"/>
      <c r="K165" s="83"/>
      <c r="L165" s="83"/>
    </row>
    <row r="166" spans="1:19" ht="13.5" customHeight="1" outlineLevel="1"/>
    <row r="167" spans="1:19" ht="19.5" customHeight="1">
      <c r="A167" s="82"/>
      <c r="B167" s="82"/>
      <c r="C167" s="121"/>
      <c r="D167" s="82"/>
      <c r="E167" s="82"/>
      <c r="F167" s="82"/>
      <c r="G167" s="82"/>
      <c r="H167" s="82"/>
      <c r="I167" s="82"/>
      <c r="J167" s="82"/>
      <c r="K167" s="82"/>
      <c r="L167" s="82"/>
      <c r="M167" s="82"/>
      <c r="N167" s="82"/>
      <c r="O167" s="82"/>
      <c r="P167" s="82"/>
      <c r="Q167" s="82"/>
      <c r="R167" s="82"/>
      <c r="S167" s="82"/>
    </row>
    <row r="168" spans="1:19" ht="19.5" customHeight="1">
      <c r="A168" s="82"/>
      <c r="B168" s="82"/>
      <c r="C168" s="121"/>
      <c r="D168" s="82"/>
      <c r="E168" s="82"/>
      <c r="F168" s="82"/>
      <c r="G168" s="82"/>
      <c r="H168" s="82"/>
      <c r="I168" s="82"/>
      <c r="J168" s="82"/>
      <c r="K168" s="82"/>
      <c r="L168" s="82"/>
      <c r="M168" s="82"/>
      <c r="N168" s="82"/>
      <c r="O168" s="82"/>
      <c r="P168" s="82"/>
      <c r="Q168" s="82"/>
      <c r="R168" s="82"/>
      <c r="S168" s="82"/>
    </row>
    <row r="169" spans="1:19" ht="5.0999999999999996" customHeight="1">
      <c r="A169" s="82"/>
      <c r="B169" s="82"/>
      <c r="C169" s="82"/>
      <c r="D169" s="82"/>
      <c r="E169" s="82"/>
      <c r="F169" s="82"/>
      <c r="G169" s="82"/>
      <c r="H169" s="82"/>
      <c r="I169" s="82"/>
      <c r="J169" s="82"/>
      <c r="K169" s="82"/>
      <c r="L169" s="82"/>
      <c r="M169" s="82"/>
      <c r="N169" s="82"/>
      <c r="O169" s="82"/>
      <c r="P169" s="82"/>
      <c r="Q169" s="82"/>
      <c r="R169" s="82"/>
      <c r="S169" s="82"/>
    </row>
    <row r="170" spans="1:19" ht="13.5" customHeight="1">
      <c r="A170" s="82"/>
      <c r="B170" s="82"/>
      <c r="C170" s="123"/>
      <c r="D170" s="82"/>
      <c r="E170" s="82"/>
      <c r="F170" s="82"/>
      <c r="G170" s="82"/>
      <c r="H170" s="82"/>
      <c r="I170" s="82"/>
      <c r="J170" s="82"/>
      <c r="K170" s="82"/>
      <c r="L170" s="82"/>
      <c r="M170" s="82"/>
      <c r="N170" s="82"/>
      <c r="O170" s="82"/>
      <c r="P170" s="82"/>
      <c r="Q170" s="82"/>
      <c r="R170" s="82"/>
      <c r="S170" s="82"/>
    </row>
    <row r="171" spans="1:19" ht="13.5" customHeight="1">
      <c r="A171" s="82"/>
      <c r="B171" s="82"/>
      <c r="C171" s="82"/>
      <c r="D171" s="82"/>
      <c r="E171" s="82"/>
      <c r="F171" s="124"/>
      <c r="G171" s="124"/>
      <c r="H171" s="82"/>
      <c r="I171" s="82"/>
      <c r="J171" s="82"/>
      <c r="K171" s="82"/>
      <c r="L171" s="82"/>
      <c r="M171" s="82"/>
      <c r="N171" s="82"/>
      <c r="O171" s="82"/>
      <c r="P171" s="82"/>
      <c r="Q171" s="82"/>
      <c r="R171" s="82"/>
      <c r="S171" s="82"/>
    </row>
    <row r="172" spans="1:19" ht="13.5" customHeight="1">
      <c r="A172" s="82"/>
      <c r="B172" s="82"/>
      <c r="C172" s="82"/>
      <c r="D172" s="82"/>
      <c r="E172" s="82"/>
      <c r="F172" s="124"/>
      <c r="G172" s="124"/>
      <c r="H172" s="82"/>
      <c r="I172" s="82"/>
      <c r="J172" s="82"/>
      <c r="K172" s="82"/>
      <c r="L172" s="82"/>
      <c r="M172" s="82"/>
      <c r="N172" s="82"/>
      <c r="O172" s="82"/>
      <c r="P172" s="82"/>
      <c r="Q172" s="82"/>
      <c r="R172" s="82"/>
      <c r="S172" s="82"/>
    </row>
    <row r="173" spans="1:19" ht="13.5" customHeight="1">
      <c r="A173" s="82"/>
      <c r="B173" s="82"/>
      <c r="C173" s="82"/>
      <c r="D173" s="82"/>
      <c r="E173" s="82"/>
      <c r="F173" s="124"/>
      <c r="G173" s="124"/>
      <c r="H173" s="82"/>
      <c r="I173" s="82"/>
      <c r="J173" s="82"/>
      <c r="K173" s="82"/>
      <c r="L173" s="82"/>
      <c r="M173" s="82"/>
      <c r="N173" s="82"/>
      <c r="O173" s="82"/>
      <c r="P173" s="82"/>
      <c r="Q173" s="82"/>
      <c r="R173" s="82"/>
      <c r="S173" s="82"/>
    </row>
    <row r="174" spans="1:19" ht="13.5" customHeight="1">
      <c r="A174" s="82"/>
      <c r="B174" s="82"/>
      <c r="C174" s="82"/>
      <c r="D174" s="82"/>
      <c r="E174" s="82"/>
      <c r="F174" s="124"/>
      <c r="G174" s="124"/>
      <c r="H174" s="82"/>
      <c r="I174" s="82"/>
      <c r="J174" s="82"/>
      <c r="K174" s="82"/>
      <c r="L174" s="82"/>
      <c r="M174" s="82"/>
      <c r="N174" s="82"/>
      <c r="O174" s="82"/>
      <c r="P174" s="82"/>
      <c r="Q174" s="82"/>
      <c r="R174" s="82"/>
      <c r="S174" s="82"/>
    </row>
    <row r="175" spans="1:19" ht="13.5" customHeight="1">
      <c r="A175" s="82"/>
      <c r="B175" s="82"/>
      <c r="C175" s="82"/>
      <c r="D175" s="82"/>
      <c r="E175" s="82"/>
      <c r="F175" s="82"/>
      <c r="G175" s="82"/>
      <c r="H175" s="82"/>
      <c r="I175" s="82"/>
      <c r="J175" s="82"/>
      <c r="K175" s="82"/>
      <c r="L175" s="82"/>
      <c r="M175" s="82"/>
      <c r="N175" s="82"/>
      <c r="O175" s="82"/>
      <c r="P175" s="82"/>
      <c r="Q175" s="82"/>
      <c r="R175" s="82"/>
      <c r="S175" s="82"/>
    </row>
    <row r="176" spans="1:19" ht="13.5" customHeight="1">
      <c r="A176" s="82"/>
      <c r="B176" s="82"/>
      <c r="C176" s="123"/>
      <c r="D176" s="82"/>
      <c r="E176" s="82"/>
      <c r="F176" s="82"/>
      <c r="G176" s="82"/>
      <c r="H176" s="82"/>
      <c r="I176" s="82"/>
      <c r="J176" s="82"/>
      <c r="K176" s="82"/>
      <c r="L176" s="82"/>
      <c r="M176" s="82"/>
      <c r="N176" s="82"/>
      <c r="O176" s="82"/>
      <c r="P176" s="82"/>
      <c r="Q176" s="82"/>
      <c r="R176" s="82"/>
      <c r="S176" s="82"/>
    </row>
    <row r="177" spans="1:19" ht="13.5" customHeight="1">
      <c r="A177" s="82"/>
      <c r="B177" s="82"/>
      <c r="C177" s="82"/>
      <c r="D177" s="82"/>
      <c r="E177" s="82"/>
      <c r="F177" s="124"/>
      <c r="G177" s="124"/>
      <c r="H177" s="82"/>
      <c r="I177" s="82"/>
      <c r="J177" s="82"/>
      <c r="K177" s="82"/>
      <c r="L177" s="82"/>
      <c r="M177" s="82"/>
      <c r="N177" s="82"/>
      <c r="O177" s="82"/>
      <c r="P177" s="82"/>
      <c r="Q177" s="82"/>
      <c r="R177" s="82"/>
      <c r="S177" s="82"/>
    </row>
    <row r="178" spans="1:19" ht="13.5" customHeight="1">
      <c r="A178" s="82"/>
      <c r="B178" s="82"/>
      <c r="C178" s="82"/>
      <c r="D178" s="82"/>
      <c r="E178" s="82"/>
      <c r="F178" s="124"/>
      <c r="G178" s="124"/>
      <c r="H178" s="82"/>
      <c r="I178" s="82"/>
      <c r="J178" s="82"/>
      <c r="K178" s="82"/>
      <c r="L178" s="82"/>
      <c r="M178" s="82"/>
      <c r="N178" s="82"/>
      <c r="O178" s="82"/>
      <c r="P178" s="82"/>
      <c r="Q178" s="82"/>
      <c r="R178" s="82"/>
      <c r="S178" s="82"/>
    </row>
    <row r="179" spans="1:19" ht="13.5" customHeight="1">
      <c r="A179" s="82"/>
      <c r="B179" s="82"/>
      <c r="C179" s="82"/>
      <c r="D179" s="82"/>
      <c r="E179" s="82"/>
      <c r="F179" s="124"/>
      <c r="G179" s="124"/>
      <c r="H179" s="82"/>
      <c r="I179" s="82"/>
      <c r="J179" s="82"/>
      <c r="K179" s="82"/>
      <c r="L179" s="82"/>
      <c r="M179" s="82"/>
      <c r="N179" s="82"/>
      <c r="O179" s="82"/>
      <c r="P179" s="82"/>
      <c r="Q179" s="82"/>
      <c r="R179" s="82"/>
      <c r="S179" s="82"/>
    </row>
    <row r="180" spans="1:19" ht="13.5" customHeight="1">
      <c r="A180" s="82"/>
      <c r="B180" s="82"/>
      <c r="C180" s="82"/>
      <c r="D180" s="82"/>
      <c r="E180" s="82"/>
      <c r="F180" s="124"/>
      <c r="G180" s="124"/>
      <c r="H180" s="82"/>
      <c r="I180" s="82"/>
      <c r="J180" s="82"/>
      <c r="K180" s="82"/>
      <c r="L180" s="82"/>
      <c r="M180" s="82"/>
      <c r="N180" s="82"/>
      <c r="O180" s="82"/>
      <c r="P180" s="82"/>
      <c r="Q180" s="82"/>
      <c r="R180" s="82"/>
      <c r="S180" s="82"/>
    </row>
    <row r="181" spans="1:19" ht="5.0999999999999996" customHeight="1">
      <c r="A181" s="82"/>
      <c r="B181" s="82"/>
      <c r="C181" s="82"/>
      <c r="D181" s="82"/>
      <c r="E181" s="82"/>
      <c r="F181" s="82"/>
      <c r="G181" s="82"/>
      <c r="H181" s="82"/>
      <c r="I181" s="82"/>
      <c r="J181" s="82"/>
      <c r="K181" s="82"/>
      <c r="L181" s="82"/>
      <c r="M181" s="82"/>
      <c r="N181" s="82"/>
      <c r="O181" s="82"/>
      <c r="P181" s="82"/>
      <c r="Q181" s="82"/>
      <c r="R181" s="82"/>
      <c r="S181" s="82"/>
    </row>
    <row r="182" spans="1:19" ht="13.5" customHeight="1">
      <c r="A182" s="82"/>
      <c r="B182" s="82"/>
      <c r="C182" s="82"/>
      <c r="D182" s="82"/>
      <c r="E182" s="82"/>
      <c r="F182" s="124"/>
      <c r="G182" s="124"/>
      <c r="H182" s="82"/>
      <c r="I182" s="82"/>
      <c r="J182" s="82"/>
      <c r="K182" s="82"/>
      <c r="L182" s="82"/>
      <c r="M182" s="82"/>
      <c r="N182" s="82"/>
      <c r="O182" s="82"/>
      <c r="P182" s="82"/>
      <c r="Q182" s="82"/>
      <c r="R182" s="82"/>
      <c r="S182" s="82"/>
    </row>
    <row r="183" spans="1:19" ht="13.5" customHeight="1">
      <c r="A183" s="82"/>
      <c r="B183" s="82"/>
      <c r="C183" s="82"/>
      <c r="D183" s="82"/>
      <c r="E183" s="82"/>
      <c r="F183" s="124"/>
      <c r="G183" s="124"/>
      <c r="H183" s="82"/>
      <c r="I183" s="82"/>
      <c r="J183" s="82"/>
      <c r="K183" s="82"/>
      <c r="L183" s="82"/>
      <c r="M183" s="82"/>
      <c r="N183" s="82"/>
      <c r="O183" s="82"/>
      <c r="P183" s="82"/>
      <c r="Q183" s="82"/>
      <c r="R183" s="82"/>
      <c r="S183" s="82"/>
    </row>
    <row r="184" spans="1:19" ht="13.5" customHeight="1">
      <c r="A184" s="82"/>
      <c r="B184" s="82"/>
      <c r="C184" s="82"/>
      <c r="D184" s="82"/>
      <c r="E184" s="82"/>
      <c r="F184" s="82"/>
      <c r="G184" s="82"/>
      <c r="H184" s="82"/>
      <c r="I184" s="82"/>
      <c r="J184" s="82"/>
      <c r="K184" s="82"/>
      <c r="L184" s="82"/>
      <c r="M184" s="82"/>
      <c r="N184" s="82"/>
      <c r="O184" s="82"/>
      <c r="P184" s="82"/>
      <c r="Q184" s="82"/>
      <c r="R184" s="82"/>
      <c r="S184" s="82"/>
    </row>
    <row r="185" spans="1:19" ht="13.5" customHeight="1">
      <c r="F185" s="124"/>
      <c r="G185" s="124"/>
    </row>
  </sheetData>
  <pageMargins left="0.25" right="0.25" top="0.75" bottom="0.75" header="0.3" footer="0.3"/>
  <pageSetup scale="47" orientation="landscape" r:id="rId1"/>
  <headerFooter alignWithMargins="0">
    <oddHeader>&amp;A</oddHead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1F26-7FFC-4B90-92DB-BE0FC4451888}">
  <sheetPr>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c r="I60" s="196"/>
      <c r="J60" s="196"/>
      <c r="K60" s="196"/>
      <c r="L60" s="196"/>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25.594733500229559</v>
      </c>
      <c r="I64" s="93">
        <f t="shared" si="19"/>
        <v>29.519778919074909</v>
      </c>
      <c r="J64" s="93">
        <f t="shared" si="19"/>
        <v>33.161150952826461</v>
      </c>
      <c r="K64" s="93">
        <f t="shared" si="19"/>
        <v>36.256864934705241</v>
      </c>
      <c r="L64" s="93">
        <f t="shared" si="19"/>
        <v>38.553869121638776</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82.32568454586314</v>
      </c>
      <c r="I70" s="102">
        <f t="shared" si="20"/>
        <v>82.891514460631612</v>
      </c>
      <c r="J70" s="102">
        <f t="shared" ca="1" si="20"/>
        <v>83.206825324946607</v>
      </c>
      <c r="K70" s="102">
        <f t="shared" ca="1" si="20"/>
        <v>82.922456581131812</v>
      </c>
      <c r="L70" s="102">
        <f t="shared" ca="1" si="20"/>
        <v>81.680527803501633</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-0.38282416195421831</v>
      </c>
      <c r="I89" s="178">
        <f t="shared" si="27"/>
        <v>9.1309738077493421</v>
      </c>
      <c r="J89" s="178">
        <f t="shared" ca="1" si="27"/>
        <v>20.156795712828213</v>
      </c>
      <c r="K89" s="178">
        <f t="shared" ca="1" si="27"/>
        <v>32.683172070190338</v>
      </c>
      <c r="L89" s="178">
        <f t="shared" ca="1" si="27"/>
        <v>46.605047758352384</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c r="I100" s="129"/>
      <c r="J100" s="129"/>
      <c r="K100" s="129"/>
      <c r="L100" s="129"/>
      <c r="M100" s="50" t="s">
        <v>181</v>
      </c>
    </row>
    <row r="101" spans="1:13" ht="13.5" customHeight="1" outlineLevel="1">
      <c r="A101" s="125"/>
      <c r="C101" s="91" t="s">
        <v>15</v>
      </c>
      <c r="D101" s="68"/>
      <c r="E101" s="68"/>
      <c r="F101" s="68"/>
      <c r="G101" s="154"/>
      <c r="H101" s="129"/>
      <c r="I101" s="129"/>
      <c r="J101" s="129"/>
      <c r="K101" s="129"/>
      <c r="L101" s="129"/>
      <c r="M101" s="50" t="s">
        <v>182</v>
      </c>
    </row>
    <row r="102" spans="1:13" ht="13.5" customHeight="1" outlineLevel="1">
      <c r="A102" s="125"/>
      <c r="C102" s="91" t="s">
        <v>183</v>
      </c>
      <c r="D102" s="68"/>
      <c r="E102" s="68"/>
      <c r="F102" s="68"/>
      <c r="G102" s="154"/>
      <c r="H102" s="129"/>
      <c r="I102" s="129"/>
      <c r="J102" s="129"/>
      <c r="K102" s="129"/>
      <c r="L102" s="129"/>
      <c r="M102" s="50" t="s">
        <v>184</v>
      </c>
    </row>
    <row r="103" spans="1:13" ht="13.5" customHeight="1" outlineLevel="1">
      <c r="A103" s="125"/>
      <c r="C103" s="65" t="s">
        <v>185</v>
      </c>
      <c r="D103" s="65"/>
      <c r="E103" s="65"/>
      <c r="F103" s="65"/>
      <c r="G103" s="197"/>
      <c r="H103" s="198">
        <f>SUM(H100:H102)</f>
        <v>0</v>
      </c>
      <c r="I103" s="198">
        <f t="shared" ref="I103:L103" si="29">SUM(I100:I102)</f>
        <v>0</v>
      </c>
      <c r="J103" s="198">
        <f t="shared" si="29"/>
        <v>0</v>
      </c>
      <c r="K103" s="198">
        <f t="shared" si="29"/>
        <v>0</v>
      </c>
      <c r="L103" s="198">
        <f t="shared" si="29"/>
        <v>0</v>
      </c>
      <c r="M103" s="50" t="s">
        <v>186</v>
      </c>
    </row>
    <row r="104" spans="1:13" ht="13.5" customHeight="1" outlineLevel="1">
      <c r="A104" s="125"/>
      <c r="C104" s="91" t="s">
        <v>187</v>
      </c>
      <c r="D104" s="68"/>
      <c r="E104" s="68"/>
      <c r="F104" s="68"/>
      <c r="G104" s="154"/>
      <c r="H104" s="129"/>
      <c r="I104" s="129"/>
      <c r="J104" s="129"/>
      <c r="K104" s="129"/>
      <c r="L104" s="129"/>
      <c r="M104" s="50" t="s">
        <v>188</v>
      </c>
    </row>
    <row r="105" spans="1:13" ht="13.5" customHeight="1" outlineLevel="1">
      <c r="A105" s="125"/>
      <c r="C105" s="180" t="s">
        <v>189</v>
      </c>
      <c r="D105" s="180"/>
      <c r="E105" s="180"/>
      <c r="F105" s="180"/>
      <c r="G105" s="199"/>
      <c r="H105" s="200">
        <f>+SUM(H103:H104)</f>
        <v>0</v>
      </c>
      <c r="I105" s="200">
        <f t="shared" ref="I105:L105" si="30">+SUM(I103:I104)</f>
        <v>0</v>
      </c>
      <c r="J105" s="200">
        <f t="shared" si="30"/>
        <v>0</v>
      </c>
      <c r="K105" s="200">
        <f t="shared" si="30"/>
        <v>0</v>
      </c>
      <c r="L105" s="200">
        <f t="shared" si="30"/>
        <v>0</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c r="I109" s="203"/>
      <c r="J109" s="203"/>
      <c r="K109" s="203"/>
      <c r="L109" s="203"/>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1">+C81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2">SUM(I113:I116)</f>
        <v>0</v>
      </c>
      <c r="J117" s="200">
        <f t="shared" si="32"/>
        <v>0</v>
      </c>
      <c r="K117" s="200">
        <f t="shared" si="32"/>
        <v>0</v>
      </c>
      <c r="L117" s="200">
        <f t="shared" si="32"/>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c r="I119" s="203"/>
      <c r="J119" s="203"/>
      <c r="K119" s="203"/>
      <c r="L119" s="203"/>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3">H$11</f>
        <v>46022</v>
      </c>
      <c r="I126" s="58">
        <f t="shared" si="33"/>
        <v>46387</v>
      </c>
      <c r="J126" s="58">
        <f t="shared" si="33"/>
        <v>46752</v>
      </c>
      <c r="K126" s="58">
        <f t="shared" si="33"/>
        <v>47118</v>
      </c>
      <c r="L126" s="58">
        <f t="shared" si="33"/>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4">F61</f>
        <v>16.781419000000003</v>
      </c>
      <c r="G130" s="177">
        <f t="shared" si="34"/>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4"/>
        <v>0.80490099999999998</v>
      </c>
      <c r="G131" s="177">
        <f t="shared" si="34"/>
        <v>1.161057</v>
      </c>
      <c r="H131" s="177">
        <f>(H146/365)*H150</f>
        <v>1.2029011201180084</v>
      </c>
      <c r="I131" s="177">
        <f t="shared" ref="I131:L131" si="35">(I146/365)*I150</f>
        <v>1.3873703794209342</v>
      </c>
      <c r="J131" s="177">
        <f t="shared" si="35"/>
        <v>1.558507558799139</v>
      </c>
      <c r="K131" s="177">
        <f t="shared" si="35"/>
        <v>1.7039999045715051</v>
      </c>
      <c r="L131" s="177">
        <f t="shared" si="35"/>
        <v>1.8119544925477122</v>
      </c>
      <c r="M131" s="50"/>
    </row>
    <row r="132" spans="3:13" ht="13.5" customHeight="1" outlineLevel="1">
      <c r="C132" s="91" t="str">
        <f>C63</f>
        <v>Prepaids and Other Current Assets</v>
      </c>
      <c r="D132" s="68"/>
      <c r="E132" s="68"/>
      <c r="F132" s="177">
        <f t="shared" si="34"/>
        <v>0.26978399999999997</v>
      </c>
      <c r="G132" s="177">
        <f t="shared" si="34"/>
        <v>0.34491899999999998</v>
      </c>
      <c r="H132" s="177">
        <f>H151*H147</f>
        <v>0.3792215684283346</v>
      </c>
      <c r="I132" s="177">
        <f t="shared" ref="I132:L132" si="36">I151*I147</f>
        <v>0.43737657441320382</v>
      </c>
      <c r="J132" s="177">
        <f t="shared" si="36"/>
        <v>0.49132856472628733</v>
      </c>
      <c r="K132" s="177">
        <f t="shared" si="36"/>
        <v>0.53719587221761422</v>
      </c>
      <c r="L132" s="177">
        <f t="shared" si="36"/>
        <v>0.57122918342390505</v>
      </c>
      <c r="M132" s="50"/>
    </row>
    <row r="133" spans="3:13" ht="13.5" customHeight="1" outlineLevel="1">
      <c r="C133" s="65" t="s">
        <v>152</v>
      </c>
      <c r="D133" s="65"/>
      <c r="E133" s="65"/>
      <c r="F133" s="179">
        <f t="shared" ref="F133:L133" si="37">SUM(F130:F132)</f>
        <v>17.856104000000006</v>
      </c>
      <c r="G133" s="179">
        <f t="shared" si="37"/>
        <v>23.790697999999999</v>
      </c>
      <c r="H133" s="179">
        <f t="shared" si="37"/>
        <v>25.594733500229559</v>
      </c>
      <c r="I133" s="179">
        <f t="shared" si="37"/>
        <v>29.519778919074909</v>
      </c>
      <c r="J133" s="179">
        <f t="shared" si="37"/>
        <v>33.161150952826461</v>
      </c>
      <c r="K133" s="179">
        <f t="shared" si="37"/>
        <v>36.256864934705241</v>
      </c>
      <c r="L133" s="179">
        <f t="shared" si="37"/>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8">F74</f>
        <v>2.8058170000000002</v>
      </c>
      <c r="G135" s="177">
        <f t="shared" si="38"/>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8"/>
        <v>2.3839329999999999</v>
      </c>
      <c r="G136" s="177">
        <f t="shared" si="38"/>
        <v>2.7880379999999998</v>
      </c>
      <c r="H136" s="177">
        <f>H154*H147</f>
        <v>3.1966854452582232</v>
      </c>
      <c r="I136" s="177">
        <f t="shared" ref="I136:L136" si="39">I154*I147</f>
        <v>3.6869087782063024</v>
      </c>
      <c r="J136" s="177">
        <f t="shared" si="39"/>
        <v>4.1417023778724023</v>
      </c>
      <c r="K136" s="177">
        <f t="shared" si="39"/>
        <v>4.5283453498910609</v>
      </c>
      <c r="L136" s="177">
        <f t="shared" si="39"/>
        <v>4.8152324882940372</v>
      </c>
      <c r="M136" s="50"/>
    </row>
    <row r="137" spans="3:13" ht="13.5" customHeight="1" outlineLevel="1">
      <c r="C137" s="91" t="str">
        <f>C76</f>
        <v>Accrued Expenses &amp; Other</v>
      </c>
      <c r="D137" s="68"/>
      <c r="E137" s="68"/>
      <c r="F137" s="177">
        <f t="shared" si="38"/>
        <v>2.0579079999999998</v>
      </c>
      <c r="G137" s="177">
        <f t="shared" si="38"/>
        <v>3.2020309999999998</v>
      </c>
      <c r="H137" s="177">
        <f>H155*H147</f>
        <v>3.2317636858846019</v>
      </c>
      <c r="I137" s="177">
        <f t="shared" ref="I137:L137" si="40">I155*I147</f>
        <v>3.727366394541769</v>
      </c>
      <c r="J137" s="177">
        <f t="shared" si="40"/>
        <v>4.1871505882458564</v>
      </c>
      <c r="K137" s="177">
        <f t="shared" si="40"/>
        <v>4.5780363159066395</v>
      </c>
      <c r="L137" s="177">
        <f t="shared" si="40"/>
        <v>4.8680715576328382</v>
      </c>
      <c r="M137" s="50"/>
    </row>
    <row r="138" spans="3:13" ht="13.5" customHeight="1" outlineLevel="1">
      <c r="C138" s="65" t="s">
        <v>156</v>
      </c>
      <c r="D138" s="65"/>
      <c r="E138" s="65"/>
      <c r="F138" s="179">
        <f t="shared" ref="F138:L138" si="41">SUM(F135:F137)</f>
        <v>7.2476579999999995</v>
      </c>
      <c r="G138" s="179">
        <f t="shared" si="41"/>
        <v>8.3507789999999993</v>
      </c>
      <c r="H138" s="179">
        <f t="shared" si="41"/>
        <v>9.6659794002709365</v>
      </c>
      <c r="I138" s="179">
        <f t="shared" si="41"/>
        <v>11.148292477035213</v>
      </c>
      <c r="J138" s="179">
        <f t="shared" si="41"/>
        <v>12.523474878002563</v>
      </c>
      <c r="K138" s="179">
        <f t="shared" si="41"/>
        <v>13.692586780562621</v>
      </c>
      <c r="L138" s="179">
        <f t="shared" si="41"/>
        <v>14.560061925519163</v>
      </c>
    </row>
    <row r="139" spans="3:13" ht="13.5" customHeight="1" outlineLevel="1">
      <c r="C139" s="180" t="s">
        <v>157</v>
      </c>
      <c r="D139" s="180"/>
      <c r="E139" s="180"/>
      <c r="F139" s="181">
        <f t="shared" ref="F139:L139" si="42">F133-F138</f>
        <v>10.608446000000006</v>
      </c>
      <c r="G139" s="181">
        <f t="shared" si="42"/>
        <v>15.439919</v>
      </c>
      <c r="H139" s="181">
        <f t="shared" si="42"/>
        <v>15.928754099958622</v>
      </c>
      <c r="I139" s="181">
        <f t="shared" si="42"/>
        <v>18.371486442039696</v>
      </c>
      <c r="J139" s="181">
        <f t="shared" si="42"/>
        <v>20.637676074823897</v>
      </c>
      <c r="K139" s="181">
        <f t="shared" si="42"/>
        <v>22.56427815414262</v>
      </c>
      <c r="L139" s="181">
        <f t="shared" si="42"/>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3">G139-F139</f>
        <v>4.8314729999999937</v>
      </c>
      <c r="H141" s="182">
        <f t="shared" si="43"/>
        <v>0.48883509995862262</v>
      </c>
      <c r="I141" s="182">
        <f t="shared" si="43"/>
        <v>2.442732342081074</v>
      </c>
      <c r="J141" s="182">
        <f t="shared" si="43"/>
        <v>2.2661896327842008</v>
      </c>
      <c r="K141" s="182">
        <f t="shared" si="43"/>
        <v>1.9266020793187231</v>
      </c>
      <c r="L141" s="182">
        <f t="shared" si="43"/>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4">F13</f>
        <v>78.565675999999996</v>
      </c>
      <c r="G145" s="209">
        <f t="shared" si="44"/>
        <v>90.614007999999998</v>
      </c>
      <c r="H145" s="209">
        <f t="shared" si="44"/>
        <v>104.5099955077592</v>
      </c>
      <c r="I145" s="209">
        <f t="shared" si="44"/>
        <v>120.53698321160066</v>
      </c>
      <c r="J145" s="209">
        <f t="shared" si="44"/>
        <v>135.4056582414087</v>
      </c>
      <c r="K145" s="209">
        <f t="shared" si="44"/>
        <v>148.04626863637753</v>
      </c>
      <c r="L145" s="209">
        <f t="shared" si="44"/>
        <v>157.42553790111026</v>
      </c>
      <c r="M145" s="50"/>
    </row>
    <row r="146" spans="1:19" ht="13.5" customHeight="1" outlineLevel="1">
      <c r="C146" s="68" t="s">
        <v>66</v>
      </c>
      <c r="D146" s="68"/>
      <c r="E146" s="68"/>
      <c r="F146" s="177">
        <f t="shared" si="44"/>
        <v>51.562188999999996</v>
      </c>
      <c r="G146" s="177">
        <f t="shared" si="44"/>
        <v>61.618676000000001</v>
      </c>
      <c r="H146" s="177">
        <f t="shared" si="44"/>
        <v>69.828708282059708</v>
      </c>
      <c r="I146" s="177">
        <f t="shared" si="44"/>
        <v>80.537194523728473</v>
      </c>
      <c r="J146" s="177">
        <f t="shared" si="44"/>
        <v>90.471750220079329</v>
      </c>
      <c r="K146" s="177">
        <f t="shared" si="44"/>
        <v>98.917616966977391</v>
      </c>
      <c r="L146" s="177">
        <f t="shared" si="44"/>
        <v>105.18440756632523</v>
      </c>
      <c r="M146" s="50"/>
    </row>
    <row r="147" spans="1:19" ht="13.5" customHeight="1" outlineLevel="1">
      <c r="C147" s="68" t="s">
        <v>69</v>
      </c>
      <c r="D147" s="68"/>
      <c r="E147" s="68"/>
      <c r="F147" s="177">
        <f t="shared" ref="F147:L147" si="45">F17</f>
        <v>14.179914999999999</v>
      </c>
      <c r="G147" s="177">
        <f t="shared" si="45"/>
        <v>15.4366889395</v>
      </c>
      <c r="H147" s="177">
        <f t="shared" si="45"/>
        <v>18.333216581804578</v>
      </c>
      <c r="I147" s="177">
        <f t="shared" si="45"/>
        <v>21.144681985672378</v>
      </c>
      <c r="J147" s="177">
        <f t="shared" si="45"/>
        <v>23.752955369300096</v>
      </c>
      <c r="K147" s="177">
        <f t="shared" si="45"/>
        <v>25.970380094765407</v>
      </c>
      <c r="L147" s="177">
        <f t="shared" si="45"/>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6">I149</f>
        <v>83.863776892169696</v>
      </c>
      <c r="K149" s="211">
        <f t="shared" si="46"/>
        <v>83.863776892169696</v>
      </c>
      <c r="L149" s="211">
        <f t="shared" si="46"/>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7">I151</f>
        <v>2.0684944550576352E-2</v>
      </c>
      <c r="K151" s="139">
        <f t="shared" si="47"/>
        <v>2.0684944550576352E-2</v>
      </c>
      <c r="L151" s="139">
        <f t="shared" si="47"/>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8">H153</f>
        <v>16.922818383787302</v>
      </c>
      <c r="J153" s="211">
        <f t="shared" si="48"/>
        <v>16.922818383787302</v>
      </c>
      <c r="K153" s="211">
        <f t="shared" si="48"/>
        <v>16.922818383787302</v>
      </c>
      <c r="L153" s="211">
        <f t="shared" si="48"/>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8"/>
        <v>0.17436577105792128</v>
      </c>
      <c r="K154" s="139">
        <f t="shared" si="48"/>
        <v>0.17436577105792128</v>
      </c>
      <c r="L154" s="139">
        <f t="shared" si="48"/>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8"/>
        <v>0.1762791418223944</v>
      </c>
      <c r="K155" s="139">
        <f t="shared" si="48"/>
        <v>0.1762791418223944</v>
      </c>
      <c r="L155" s="139">
        <f t="shared" si="48"/>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5'!F13</f>
        <v>0</v>
      </c>
      <c r="G162" s="122">
        <f>'Financials from CIP'!E13/1000-'Step 5'!G13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5'!F15</f>
        <v>0</v>
      </c>
      <c r="G163" s="122">
        <f>'Financials from CIP'!E19/1000-'Step 5'!G15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5'!F18</f>
        <v>0</v>
      </c>
      <c r="G164" s="122">
        <f>'Financials from CIP'!E36/1000-'Step 5'!G18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5'!F33</f>
        <v>0</v>
      </c>
      <c r="G165" s="122">
        <f>'Financials from CIP'!E34/1000-'Step 5'!G33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5'!F60</f>
        <v>0</v>
      </c>
      <c r="G168" s="122">
        <f>'Financials from CIP'!E46/1000-'Step 5'!G60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5'!F64</f>
        <v>0</v>
      </c>
      <c r="G169" s="122">
        <f>'Financials from CIP'!E51/1000-'Step 5'!G64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5'!F70</f>
        <v>0</v>
      </c>
      <c r="G170" s="122">
        <f>'Financials from CIP'!E56/1000-'Step 5'!G70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5'!F77</f>
        <v>0</v>
      </c>
      <c r="G171" s="122">
        <f>'Financials from CIP'!E61/1000-'Step 5'!G77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5'!F84</f>
        <v>0</v>
      </c>
      <c r="G172" s="122">
        <f>'Financials from CIP'!E69/1000-'Step 5'!G84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5'!F85:F86)</f>
        <v>0</v>
      </c>
      <c r="G173" s="122">
        <f>'Financials from CIP'!E73/1000-SUM('Step 5'!G85:G86)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49">H$11</f>
        <v>46022</v>
      </c>
      <c r="I185" s="58">
        <f t="shared" si="49"/>
        <v>46387</v>
      </c>
      <c r="J185" s="58">
        <f t="shared" si="49"/>
        <v>46752</v>
      </c>
      <c r="K185" s="58">
        <f t="shared" si="49"/>
        <v>47118</v>
      </c>
      <c r="L185" s="58">
        <f t="shared" si="49"/>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0">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0"/>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0"/>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0"/>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0"/>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0"/>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1">-SUM(I187:I193)</f>
        <v>6.1302957891314076</v>
      </c>
      <c r="J194" s="156">
        <f t="shared" ca="1" si="51"/>
        <v>6.4683165246530567</v>
      </c>
      <c r="K194" s="156">
        <f t="shared" ca="1" si="51"/>
        <v>6.8378927245374452</v>
      </c>
      <c r="L194" s="156">
        <f t="shared" ca="1" si="51"/>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1AEF-5205-4DAD-91D6-3E198C97596D}">
  <sheetPr>
    <tabColor rgb="FF416D89"/>
    <outlinePr summaryBelow="0"/>
    <pageSetUpPr fitToPage="1"/>
  </sheetPr>
  <dimension ref="A1:S2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175</v>
      </c>
      <c r="D3" s="34"/>
      <c r="E3" s="38"/>
      <c r="F3" s="38"/>
      <c r="G3" s="38"/>
      <c r="H3" s="34"/>
      <c r="I3" s="34"/>
      <c r="J3" s="34"/>
      <c r="K3" s="34"/>
      <c r="L3" s="34"/>
    </row>
    <row r="4" spans="2:14" ht="13.5" customHeight="1" outlineLevel="1">
      <c r="C4" s="37"/>
      <c r="D4" s="34"/>
      <c r="E4" s="38"/>
      <c r="F4" s="38"/>
      <c r="G4" s="38"/>
      <c r="H4" s="34"/>
      <c r="I4" s="34"/>
      <c r="J4" s="34"/>
      <c r="K4" s="34"/>
      <c r="L4" s="34"/>
      <c r="N4" s="195" t="s">
        <v>176</v>
      </c>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125"/>
      <c r="C60" s="88" t="s">
        <v>82</v>
      </c>
      <c r="F60" s="141">
        <f>'Financials from CIP'!D46/1000</f>
        <v>7.1056520000000001</v>
      </c>
      <c r="G60" s="141">
        <f>'Financials from CIP'!E46/1000</f>
        <v>2.9579920000000004</v>
      </c>
      <c r="H60" s="196">
        <f>G60+H119</f>
        <v>13.005932342237593</v>
      </c>
      <c r="I60" s="196">
        <f>H60+I119</f>
        <v>22.519730311941146</v>
      </c>
      <c r="J60" s="196">
        <f ca="1">I60+J119</f>
        <v>33.545552217020031</v>
      </c>
      <c r="K60" s="196">
        <f ca="1">J60+K119</f>
        <v>46.071928574382142</v>
      </c>
      <c r="L60" s="196">
        <f ca="1">K60+L119</f>
        <v>59.993804262544216</v>
      </c>
      <c r="M60" s="50" t="s">
        <v>177</v>
      </c>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3"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A93" s="125"/>
      <c r="B93" s="46" t="s">
        <v>61</v>
      </c>
      <c r="C93" s="47" t="s">
        <v>178</v>
      </c>
      <c r="D93" s="48"/>
      <c r="E93" s="49"/>
      <c r="F93" s="49"/>
      <c r="G93" s="49"/>
      <c r="H93" s="49"/>
      <c r="I93" s="49"/>
      <c r="J93" s="49"/>
      <c r="K93" s="49"/>
      <c r="L93" s="49"/>
    </row>
    <row r="94" spans="1:13" ht="5.0999999999999996" customHeight="1" outlineLevel="1">
      <c r="A94" s="125"/>
      <c r="C94" s="51"/>
      <c r="D94" s="52"/>
    </row>
    <row r="95" spans="1:13" ht="13.5" customHeight="1" outlineLevel="1">
      <c r="A95" s="125"/>
      <c r="C95" s="53"/>
      <c r="D95" s="53"/>
      <c r="E95" s="53"/>
      <c r="F95" s="54" t="s">
        <v>63</v>
      </c>
      <c r="G95" s="54" t="s">
        <v>63</v>
      </c>
      <c r="H95" s="55" t="s">
        <v>64</v>
      </c>
      <c r="I95" s="55"/>
      <c r="J95" s="55"/>
      <c r="K95" s="55"/>
      <c r="L95" s="55"/>
    </row>
    <row r="96" spans="1:13" ht="13.5" customHeight="1" outlineLevel="1" thickBot="1">
      <c r="A96" s="125"/>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A97" s="125"/>
      <c r="C97" s="59"/>
      <c r="D97" s="59"/>
      <c r="E97" s="59"/>
      <c r="F97" s="60"/>
      <c r="G97" s="60"/>
      <c r="H97" s="60"/>
      <c r="I97" s="60"/>
      <c r="J97" s="60"/>
      <c r="K97" s="60"/>
    </row>
    <row r="98" spans="1:13" ht="13.5" customHeight="1" outlineLevel="1">
      <c r="A98" s="125"/>
      <c r="C98" s="84" t="s">
        <v>179</v>
      </c>
      <c r="D98" s="85"/>
      <c r="E98" s="86"/>
      <c r="F98" s="86"/>
      <c r="G98" s="86"/>
      <c r="H98" s="86"/>
      <c r="I98" s="86"/>
      <c r="J98" s="86"/>
      <c r="K98" s="86"/>
      <c r="L98" s="87"/>
      <c r="M98" s="50" t="s">
        <v>180</v>
      </c>
    </row>
    <row r="99" spans="1:13" ht="13.5" customHeight="1" outlineLevel="1">
      <c r="A99" s="125"/>
      <c r="C99" s="118"/>
      <c r="D99" s="118"/>
      <c r="E99" s="118"/>
    </row>
    <row r="100" spans="1:13" ht="13.5" customHeight="1" outlineLevel="1">
      <c r="A100" s="125"/>
      <c r="C100" s="68" t="s">
        <v>22</v>
      </c>
      <c r="D100" s="68"/>
      <c r="E100" s="68"/>
      <c r="F100" s="68"/>
      <c r="G100" s="147"/>
      <c r="H100" s="129">
        <f>H33</f>
        <v>7.078372487829796</v>
      </c>
      <c r="I100" s="129">
        <f>I33</f>
        <v>8.5973148077077592</v>
      </c>
      <c r="J100" s="129">
        <f ca="1">J33</f>
        <v>9.965950368426526</v>
      </c>
      <c r="K100" s="129">
        <f ca="1">K33</f>
        <v>11.072895710987275</v>
      </c>
      <c r="L100" s="129">
        <f ca="1">L33</f>
        <v>11.812471765575342</v>
      </c>
      <c r="M100" s="50" t="s">
        <v>181</v>
      </c>
    </row>
    <row r="101" spans="1:13" ht="13.5" customHeight="1" outlineLevel="1">
      <c r="A101" s="125"/>
      <c r="C101" s="91" t="s">
        <v>15</v>
      </c>
      <c r="D101" s="68"/>
      <c r="E101" s="68"/>
      <c r="F101" s="68"/>
      <c r="G101" s="154"/>
      <c r="H101" s="129">
        <f>H20</f>
        <v>5.829392560625954</v>
      </c>
      <c r="I101" s="129">
        <f>I20</f>
        <v>6.1302957891314076</v>
      </c>
      <c r="J101" s="129">
        <f ca="1">J20</f>
        <v>6.4683165246530567</v>
      </c>
      <c r="K101" s="129">
        <f ca="1">K20</f>
        <v>6.8378927245374452</v>
      </c>
      <c r="L101" s="129">
        <f ca="1">L20</f>
        <v>7.2308829200900817</v>
      </c>
      <c r="M101" s="50" t="s">
        <v>182</v>
      </c>
    </row>
    <row r="102" spans="1:13" ht="13.5" customHeight="1" outlineLevel="1">
      <c r="A102" s="125"/>
      <c r="C102" s="91" t="s">
        <v>183</v>
      </c>
      <c r="D102" s="68"/>
      <c r="E102" s="68"/>
      <c r="F102" s="68"/>
      <c r="G102" s="154"/>
      <c r="H102" s="129">
        <f>H21</f>
        <v>0.237952</v>
      </c>
      <c r="I102" s="129">
        <f t="shared" ref="I102:L102" si="29">I21</f>
        <v>0.237952</v>
      </c>
      <c r="J102" s="129">
        <f t="shared" si="29"/>
        <v>0.237952</v>
      </c>
      <c r="K102" s="129">
        <f t="shared" si="29"/>
        <v>0.237952</v>
      </c>
      <c r="L102" s="129">
        <f t="shared" si="29"/>
        <v>0.237952</v>
      </c>
      <c r="M102" s="50" t="s">
        <v>184</v>
      </c>
    </row>
    <row r="103" spans="1:13" ht="13.5" customHeight="1" outlineLevel="1">
      <c r="A103" s="125"/>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t="s">
        <v>186</v>
      </c>
    </row>
    <row r="104" spans="1:13" ht="13.5" customHeight="1" outlineLevel="1">
      <c r="A104" s="125"/>
      <c r="C104" s="91" t="s">
        <v>187</v>
      </c>
      <c r="D104" s="68"/>
      <c r="E104" s="68"/>
      <c r="F104" s="68"/>
      <c r="G104" s="154"/>
      <c r="H104" s="129">
        <f>-(H141)</f>
        <v>-0.48883509995862262</v>
      </c>
      <c r="I104" s="129">
        <f>-(I141)</f>
        <v>-2.442732342081074</v>
      </c>
      <c r="J104" s="129">
        <f>-(J141)</f>
        <v>-2.2661896327842008</v>
      </c>
      <c r="K104" s="129">
        <f>-(K141)</f>
        <v>-1.9266020793187231</v>
      </c>
      <c r="L104" s="129">
        <f>-(L141)</f>
        <v>-1.4295290419769913</v>
      </c>
      <c r="M104" s="50" t="s">
        <v>188</v>
      </c>
    </row>
    <row r="105" spans="1:13" ht="13.5" customHeight="1" outlineLevel="1">
      <c r="A105" s="125"/>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A106" s="125"/>
      <c r="C106" s="68"/>
      <c r="D106" s="68"/>
      <c r="E106" s="68"/>
      <c r="F106" s="68"/>
      <c r="G106" s="154"/>
      <c r="H106" s="154"/>
      <c r="I106" s="154"/>
      <c r="J106" s="154"/>
      <c r="K106" s="154"/>
      <c r="L106" s="154"/>
    </row>
    <row r="107" spans="1:13" ht="13.5" customHeight="1" outlineLevel="1">
      <c r="A107" s="125"/>
      <c r="C107" s="84" t="s">
        <v>190</v>
      </c>
      <c r="D107" s="85"/>
      <c r="E107" s="86"/>
      <c r="F107" s="86"/>
      <c r="G107" s="86"/>
      <c r="H107" s="201"/>
      <c r="I107" s="201"/>
      <c r="J107" s="201"/>
      <c r="K107" s="201"/>
      <c r="L107" s="202"/>
    </row>
    <row r="108" spans="1:13" ht="13.5" customHeight="1" outlineLevel="1">
      <c r="A108" s="125"/>
      <c r="C108" s="118"/>
      <c r="D108" s="118"/>
      <c r="E108" s="118"/>
      <c r="H108" s="68"/>
      <c r="I108" s="68"/>
      <c r="J108" s="68"/>
      <c r="K108" s="68"/>
      <c r="L108" s="68"/>
    </row>
    <row r="109" spans="1:13" ht="13.5" customHeight="1" outlineLevel="1">
      <c r="A109" s="125"/>
      <c r="C109" s="39" t="s">
        <v>191</v>
      </c>
      <c r="D109" s="68"/>
      <c r="E109" s="68"/>
      <c r="F109" s="68"/>
      <c r="G109" s="147"/>
      <c r="H109" s="203">
        <f>-H36</f>
        <v>-2.6089416062595356</v>
      </c>
      <c r="I109" s="203">
        <f>-I36</f>
        <v>-3.0090322850545372</v>
      </c>
      <c r="J109" s="203">
        <f>-J36</f>
        <v>-3.3802073552164953</v>
      </c>
      <c r="K109" s="203">
        <f>-K36</f>
        <v>-3.6957619988438841</v>
      </c>
      <c r="L109" s="203">
        <f>-L36</f>
        <v>-3.9299019555263603</v>
      </c>
      <c r="M109" s="50" t="s">
        <v>192</v>
      </c>
    </row>
    <row r="110" spans="1:13" ht="13.5" customHeight="1" outlineLevel="1">
      <c r="A110" s="125"/>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A118" s="204"/>
      <c r="C118" s="118"/>
      <c r="D118" s="118"/>
      <c r="E118" s="118"/>
      <c r="F118" s="29"/>
      <c r="G118" s="29"/>
      <c r="H118" s="68"/>
      <c r="I118" s="68"/>
      <c r="J118" s="68"/>
      <c r="K118" s="68"/>
      <c r="L118" s="68"/>
    </row>
    <row r="119" spans="1:13" s="205" customFormat="1" ht="13.5" customHeight="1" outlineLevel="1">
      <c r="A119" s="204"/>
      <c r="C119" s="39" t="s">
        <v>195</v>
      </c>
      <c r="D119" s="118"/>
      <c r="E119" s="118"/>
      <c r="F119" s="30"/>
      <c r="G119" s="208"/>
      <c r="H119" s="203">
        <f>H117+H109+H105</f>
        <v>10.047940342237592</v>
      </c>
      <c r="I119" s="203">
        <f>I117+I109+I105</f>
        <v>9.5137979697035551</v>
      </c>
      <c r="J119" s="203">
        <f ca="1">J117+J109+J105</f>
        <v>11.025821905078885</v>
      </c>
      <c r="K119" s="203">
        <f ca="1">K117+K109+K105</f>
        <v>12.526376357362114</v>
      </c>
      <c r="L119" s="203">
        <f ca="1">L117+L109+L105</f>
        <v>13.921875688162071</v>
      </c>
      <c r="M119" s="50" t="s">
        <v>196</v>
      </c>
    </row>
    <row r="120" spans="1:13" s="205" customFormat="1" ht="5.0999999999999996" customHeight="1" outlineLevel="1" thickBot="1">
      <c r="A120" s="204"/>
      <c r="C120" s="157"/>
      <c r="D120" s="157"/>
      <c r="E120" s="157"/>
      <c r="F120" s="83"/>
      <c r="G120" s="83"/>
      <c r="H120" s="83"/>
      <c r="I120" s="83"/>
      <c r="J120" s="83"/>
      <c r="K120" s="83"/>
      <c r="L120" s="83"/>
    </row>
    <row r="121" spans="1:13" s="205" customFormat="1" ht="13.5" customHeight="1" outlineLevel="1">
      <c r="A121" s="204"/>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5 Answer Key'!F13</f>
        <v>0</v>
      </c>
      <c r="G162" s="122">
        <f>'Financials from CIP'!E13/1000-'Step 5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5 Answer Key'!F15</f>
        <v>0</v>
      </c>
      <c r="G163" s="122">
        <f>'Financials from CIP'!E19/1000-'Step 5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5 Answer Key'!F18</f>
        <v>0</v>
      </c>
      <c r="G164" s="122">
        <f>'Financials from CIP'!E36/1000-'Step 5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5 Answer Key'!F33</f>
        <v>0</v>
      </c>
      <c r="G165" s="122">
        <f>'Financials from CIP'!E34/1000-'Step 5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5 Answer Key'!F60</f>
        <v>0</v>
      </c>
      <c r="G168" s="122">
        <f>'Financials from CIP'!E46/1000-'Step 5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5 Answer Key'!F64</f>
        <v>0</v>
      </c>
      <c r="G169" s="122">
        <f>'Financials from CIP'!E51/1000-'Step 5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5 Answer Key'!F70</f>
        <v>0</v>
      </c>
      <c r="G170" s="122">
        <f>'Financials from CIP'!E56/1000-'Step 5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5 Answer Key'!F77</f>
        <v>0</v>
      </c>
      <c r="G171" s="122">
        <f>'Financials from CIP'!E61/1000-'Step 5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5 Answer Key'!F84</f>
        <v>0</v>
      </c>
      <c r="G172" s="122">
        <f>'Financials from CIP'!E69/1000-'Step 5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5 Answer Key'!F85:F86)</f>
        <v>0</v>
      </c>
      <c r="G173" s="122">
        <f>'Financials from CIP'!E73/1000-SUM('Step 5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c r="A197" s="82"/>
      <c r="B197" s="82"/>
      <c r="C197" s="121"/>
      <c r="D197" s="82"/>
      <c r="E197" s="82"/>
      <c r="F197" s="82"/>
      <c r="G197" s="82"/>
      <c r="H197" s="82"/>
      <c r="I197" s="82"/>
      <c r="J197" s="82"/>
      <c r="K197" s="82"/>
      <c r="L197" s="82"/>
      <c r="M197" s="82"/>
      <c r="N197" s="82"/>
      <c r="O197" s="82"/>
      <c r="P197" s="82"/>
      <c r="Q197" s="82"/>
      <c r="R197" s="82"/>
      <c r="S197" s="82"/>
    </row>
    <row r="198" spans="1:19" ht="19.5" customHeight="1">
      <c r="A198" s="82"/>
      <c r="B198" s="82"/>
      <c r="C198" s="121"/>
      <c r="D198" s="82"/>
      <c r="E198" s="82"/>
      <c r="F198" s="82"/>
      <c r="G198" s="82"/>
      <c r="H198" s="82"/>
      <c r="I198" s="82"/>
      <c r="J198" s="82"/>
      <c r="K198" s="82"/>
      <c r="L198" s="82"/>
      <c r="M198" s="82"/>
      <c r="N198" s="82"/>
      <c r="O198" s="82"/>
      <c r="P198" s="82"/>
      <c r="Q198" s="82"/>
      <c r="R198" s="82"/>
      <c r="S198" s="82"/>
    </row>
    <row r="199" spans="1:19" ht="5.0999999999999996" customHeight="1">
      <c r="A199" s="82"/>
      <c r="B199" s="82"/>
      <c r="C199" s="82"/>
      <c r="D199" s="82"/>
      <c r="E199" s="82"/>
      <c r="F199" s="82"/>
      <c r="G199" s="82"/>
      <c r="H199" s="82"/>
      <c r="I199" s="82"/>
      <c r="J199" s="82"/>
      <c r="K199" s="82"/>
      <c r="L199" s="82"/>
      <c r="M199" s="82"/>
      <c r="N199" s="82"/>
      <c r="O199" s="82"/>
      <c r="P199" s="82"/>
      <c r="Q199" s="82"/>
      <c r="R199" s="82"/>
      <c r="S199" s="82"/>
    </row>
    <row r="200" spans="1:19" ht="13.5" customHeight="1">
      <c r="A200" s="82"/>
      <c r="B200" s="82"/>
      <c r="C200" s="123"/>
      <c r="D200" s="82"/>
      <c r="E200" s="82"/>
      <c r="F200" s="82"/>
      <c r="G200" s="82"/>
      <c r="H200" s="82"/>
      <c r="I200" s="82"/>
      <c r="J200" s="82"/>
      <c r="K200" s="82"/>
      <c r="L200" s="82"/>
      <c r="M200" s="82"/>
      <c r="N200" s="82"/>
      <c r="O200" s="82"/>
      <c r="P200" s="82"/>
      <c r="Q200" s="82"/>
      <c r="R200" s="82"/>
      <c r="S200" s="82"/>
    </row>
    <row r="201" spans="1:19" ht="13.5" customHeight="1">
      <c r="A201" s="82"/>
      <c r="B201" s="82"/>
      <c r="C201" s="82"/>
      <c r="D201" s="82"/>
      <c r="E201" s="82"/>
      <c r="F201" s="124"/>
      <c r="G201" s="124"/>
      <c r="H201" s="82"/>
      <c r="I201" s="82"/>
      <c r="J201" s="82"/>
      <c r="K201" s="82"/>
      <c r="L201" s="82"/>
      <c r="M201" s="82"/>
      <c r="N201" s="82"/>
      <c r="O201" s="82"/>
      <c r="P201" s="82"/>
      <c r="Q201" s="82"/>
      <c r="R201" s="82"/>
      <c r="S201" s="82"/>
    </row>
    <row r="202" spans="1:19" ht="13.5" customHeight="1">
      <c r="A202" s="82"/>
      <c r="B202" s="82"/>
      <c r="C202" s="82"/>
      <c r="D202" s="82"/>
      <c r="E202" s="82"/>
      <c r="F202" s="124"/>
      <c r="G202" s="124"/>
      <c r="H202" s="82"/>
      <c r="I202" s="82"/>
      <c r="J202" s="82"/>
      <c r="K202" s="82"/>
      <c r="L202" s="82"/>
      <c r="M202" s="82"/>
      <c r="N202" s="82"/>
      <c r="O202" s="82"/>
      <c r="P202" s="82"/>
      <c r="Q202" s="82"/>
      <c r="R202" s="82"/>
      <c r="S202" s="82"/>
    </row>
    <row r="203" spans="1:19" ht="13.5" customHeight="1">
      <c r="A203" s="82"/>
      <c r="B203" s="82"/>
      <c r="C203" s="82"/>
      <c r="D203" s="82"/>
      <c r="E203" s="82"/>
      <c r="F203" s="124"/>
      <c r="G203" s="124"/>
      <c r="H203" s="82"/>
      <c r="I203" s="82"/>
      <c r="J203" s="82"/>
      <c r="K203" s="82"/>
      <c r="L203" s="82"/>
      <c r="M203" s="82"/>
      <c r="N203" s="82"/>
      <c r="O203" s="82"/>
      <c r="P203" s="82"/>
      <c r="Q203" s="82"/>
      <c r="R203" s="82"/>
      <c r="S203" s="82"/>
    </row>
    <row r="204" spans="1:19" ht="13.5" customHeight="1">
      <c r="A204" s="82"/>
      <c r="B204" s="82"/>
      <c r="C204" s="82"/>
      <c r="D204" s="82"/>
      <c r="E204" s="82"/>
      <c r="F204" s="124"/>
      <c r="G204" s="124"/>
      <c r="H204" s="82"/>
      <c r="I204" s="82"/>
      <c r="J204" s="82"/>
      <c r="K204" s="82"/>
      <c r="L204" s="82"/>
      <c r="M204" s="82"/>
      <c r="N204" s="82"/>
      <c r="O204" s="82"/>
      <c r="P204" s="82"/>
      <c r="Q204" s="82"/>
      <c r="R204" s="82"/>
      <c r="S204" s="82"/>
    </row>
    <row r="205" spans="1:19" ht="13.5" customHeight="1">
      <c r="A205" s="82"/>
      <c r="B205" s="82"/>
      <c r="C205" s="82"/>
      <c r="D205" s="82"/>
      <c r="E205" s="82"/>
      <c r="F205" s="82"/>
      <c r="G205" s="82"/>
      <c r="H205" s="82"/>
      <c r="I205" s="82"/>
      <c r="J205" s="82"/>
      <c r="K205" s="82"/>
      <c r="L205" s="82"/>
      <c r="M205" s="82"/>
      <c r="N205" s="82"/>
      <c r="O205" s="82"/>
      <c r="P205" s="82"/>
      <c r="Q205" s="82"/>
      <c r="R205" s="82"/>
      <c r="S205" s="82"/>
    </row>
    <row r="206" spans="1:19" ht="13.5" customHeight="1">
      <c r="A206" s="82"/>
      <c r="B206" s="82"/>
      <c r="C206" s="123"/>
      <c r="D206" s="82"/>
      <c r="E206" s="82"/>
      <c r="F206" s="82"/>
      <c r="G206" s="82"/>
      <c r="H206" s="82"/>
      <c r="I206" s="82"/>
      <c r="J206" s="82"/>
      <c r="K206" s="82"/>
      <c r="L206" s="82"/>
      <c r="M206" s="82"/>
      <c r="N206" s="82"/>
      <c r="O206" s="82"/>
      <c r="P206" s="82"/>
      <c r="Q206" s="82"/>
      <c r="R206" s="82"/>
      <c r="S206" s="82"/>
    </row>
    <row r="207" spans="1:19" ht="13.5" customHeight="1">
      <c r="A207" s="82"/>
      <c r="B207" s="82"/>
      <c r="C207" s="82"/>
      <c r="D207" s="82"/>
      <c r="E207" s="82"/>
      <c r="F207" s="124"/>
      <c r="G207" s="124"/>
      <c r="H207" s="82"/>
      <c r="I207" s="82"/>
      <c r="J207" s="82"/>
      <c r="K207" s="82"/>
      <c r="L207" s="82"/>
      <c r="M207" s="82"/>
      <c r="N207" s="82"/>
      <c r="O207" s="82"/>
      <c r="P207" s="82"/>
      <c r="Q207" s="82"/>
      <c r="R207" s="82"/>
      <c r="S207" s="82"/>
    </row>
    <row r="208" spans="1:19" ht="13.5" customHeight="1">
      <c r="A208" s="82"/>
      <c r="B208" s="82"/>
      <c r="C208" s="82"/>
      <c r="D208" s="82"/>
      <c r="E208" s="82"/>
      <c r="F208" s="124"/>
      <c r="G208" s="124"/>
      <c r="H208" s="82"/>
      <c r="I208" s="82"/>
      <c r="J208" s="82"/>
      <c r="K208" s="82"/>
      <c r="L208" s="82"/>
      <c r="M208" s="82"/>
      <c r="N208" s="82"/>
      <c r="O208" s="82"/>
      <c r="P208" s="82"/>
      <c r="Q208" s="82"/>
      <c r="R208" s="82"/>
      <c r="S208" s="82"/>
    </row>
    <row r="209" spans="1:19" ht="13.5" customHeight="1">
      <c r="A209" s="82"/>
      <c r="B209" s="82"/>
      <c r="C209" s="82"/>
      <c r="D209" s="82"/>
      <c r="E209" s="82"/>
      <c r="F209" s="124"/>
      <c r="G209" s="124"/>
      <c r="H209" s="82"/>
      <c r="I209" s="82"/>
      <c r="J209" s="82"/>
      <c r="K209" s="82"/>
      <c r="L209" s="82"/>
      <c r="M209" s="82"/>
      <c r="N209" s="82"/>
      <c r="O209" s="82"/>
      <c r="P209" s="82"/>
      <c r="Q209" s="82"/>
      <c r="R209" s="82"/>
      <c r="S209" s="82"/>
    </row>
    <row r="210" spans="1:19" ht="13.5" customHeight="1">
      <c r="A210" s="82"/>
      <c r="B210" s="82"/>
      <c r="C210" s="82"/>
      <c r="D210" s="82"/>
      <c r="E210" s="82"/>
      <c r="F210" s="124"/>
      <c r="G210" s="124"/>
      <c r="H210" s="82"/>
      <c r="I210" s="82"/>
      <c r="J210" s="82"/>
      <c r="K210" s="82"/>
      <c r="L210" s="82"/>
      <c r="M210" s="82"/>
      <c r="N210" s="82"/>
      <c r="O210" s="82"/>
      <c r="P210" s="82"/>
      <c r="Q210" s="82"/>
      <c r="R210" s="82"/>
      <c r="S210" s="82"/>
    </row>
    <row r="211" spans="1:19" ht="5.0999999999999996" customHeight="1">
      <c r="A211" s="82"/>
      <c r="B211" s="82"/>
      <c r="C211" s="82"/>
      <c r="D211" s="82"/>
      <c r="E211" s="82"/>
      <c r="F211" s="82"/>
      <c r="G211" s="82"/>
      <c r="H211" s="82"/>
      <c r="I211" s="82"/>
      <c r="J211" s="82"/>
      <c r="K211" s="82"/>
      <c r="L211" s="82"/>
      <c r="M211" s="82"/>
      <c r="N211" s="82"/>
      <c r="O211" s="82"/>
      <c r="P211" s="82"/>
      <c r="Q211" s="82"/>
      <c r="R211" s="82"/>
      <c r="S211" s="82"/>
    </row>
    <row r="212" spans="1:19" ht="13.5" customHeight="1">
      <c r="A212" s="82"/>
      <c r="B212" s="82"/>
      <c r="C212" s="82"/>
      <c r="D212" s="82"/>
      <c r="E212" s="82"/>
      <c r="F212" s="124"/>
      <c r="G212" s="124"/>
      <c r="H212" s="82"/>
      <c r="I212" s="82"/>
      <c r="J212" s="82"/>
      <c r="K212" s="82"/>
      <c r="L212" s="82"/>
      <c r="M212" s="82"/>
      <c r="N212" s="82"/>
      <c r="O212" s="82"/>
      <c r="P212" s="82"/>
      <c r="Q212" s="82"/>
      <c r="R212" s="82"/>
      <c r="S212" s="82"/>
    </row>
    <row r="213" spans="1:19" ht="13.5" customHeight="1">
      <c r="A213" s="82"/>
      <c r="B213" s="82"/>
      <c r="C213" s="82"/>
      <c r="D213" s="82"/>
      <c r="E213" s="82"/>
      <c r="F213" s="124"/>
      <c r="G213" s="124"/>
      <c r="H213" s="82"/>
      <c r="I213" s="82"/>
      <c r="J213" s="82"/>
      <c r="K213" s="82"/>
      <c r="L213" s="82"/>
      <c r="M213" s="82"/>
      <c r="N213" s="82"/>
      <c r="O213" s="82"/>
      <c r="P213" s="82"/>
      <c r="Q213" s="82"/>
      <c r="R213" s="82"/>
      <c r="S213" s="82"/>
    </row>
    <row r="214" spans="1:19" ht="13.5" customHeight="1">
      <c r="A214" s="82"/>
      <c r="B214" s="82"/>
      <c r="C214" s="82"/>
      <c r="D214" s="82"/>
      <c r="E214" s="82"/>
      <c r="F214" s="82"/>
      <c r="G214" s="82"/>
      <c r="H214" s="82"/>
      <c r="I214" s="82"/>
      <c r="J214" s="82"/>
      <c r="K214" s="82"/>
      <c r="L214" s="82"/>
      <c r="M214" s="82"/>
      <c r="N214" s="82"/>
      <c r="O214" s="82"/>
      <c r="P214" s="82"/>
      <c r="Q214" s="82"/>
      <c r="R214" s="82"/>
      <c r="S214" s="82"/>
    </row>
    <row r="215" spans="1:19" ht="13.5" customHeight="1">
      <c r="F215" s="124"/>
      <c r="G215" s="124"/>
    </row>
  </sheetData>
  <pageMargins left="0.25" right="0.25" top="0.75" bottom="0.75" header="0.3" footer="0.3"/>
  <pageSetup scale="47" orientation="landscape" r:id="rId1"/>
  <headerFooter alignWithMargins="0">
    <oddHeader>&amp;A</oddHead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2B85-A214-433B-B67D-ABA809984306}">
  <sheetPr>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c r="I78" s="129"/>
      <c r="J78" s="129"/>
      <c r="K78" s="129"/>
      <c r="L78" s="129"/>
      <c r="M78" s="50" t="s">
        <v>198</v>
      </c>
    </row>
    <row r="79" spans="1:13" ht="13.5" customHeight="1" outlineLevel="1">
      <c r="A79" s="125"/>
      <c r="C79" s="91" t="s">
        <v>42</v>
      </c>
      <c r="D79" s="95"/>
      <c r="E79" s="95"/>
      <c r="F79" s="96">
        <f>'Financials from CIP'!D64/1000</f>
        <v>18.943222000000002</v>
      </c>
      <c r="G79" s="96">
        <f>'Financials from CIP'!E64/1000</f>
        <v>12.001450999999999</v>
      </c>
      <c r="H79" s="129"/>
      <c r="I79" s="129"/>
      <c r="J79" s="129"/>
      <c r="K79" s="129"/>
      <c r="L79" s="129"/>
      <c r="M79" s="50" t="s">
        <v>198</v>
      </c>
    </row>
    <row r="80" spans="1:13" ht="13.5" customHeight="1" outlineLevel="1">
      <c r="A80" s="125"/>
      <c r="C80" s="91" t="s">
        <v>90</v>
      </c>
      <c r="D80" s="95"/>
      <c r="E80" s="95"/>
      <c r="F80" s="96">
        <f>'Financials from CIP'!D65/1000</f>
        <v>0.54533299999999996</v>
      </c>
      <c r="G80" s="96">
        <f>'Financials from CIP'!E65/1000</f>
        <v>8.5337999999999997E-2</v>
      </c>
      <c r="H80" s="129"/>
      <c r="I80" s="129"/>
      <c r="J80" s="129"/>
      <c r="K80" s="129"/>
      <c r="L80" s="129"/>
      <c r="M80" s="50" t="s">
        <v>198</v>
      </c>
    </row>
    <row r="81" spans="1:13" ht="13.5" customHeight="1" outlineLevel="1">
      <c r="A81" s="125"/>
      <c r="C81" s="91" t="s">
        <v>91</v>
      </c>
      <c r="D81" s="95"/>
      <c r="E81" s="95"/>
      <c r="F81" s="96">
        <f>'Financials from CIP'!D66/1000</f>
        <v>9.2447999999999989E-2</v>
      </c>
      <c r="G81" s="96">
        <f>'Financials from CIP'!E66/1000</f>
        <v>1.2666999999999999E-2</v>
      </c>
      <c r="H81" s="129"/>
      <c r="I81" s="129"/>
      <c r="J81" s="129"/>
      <c r="K81" s="129"/>
      <c r="L81" s="129"/>
      <c r="M81" s="50" t="s">
        <v>198</v>
      </c>
    </row>
    <row r="82" spans="1:13" ht="13.5" customHeight="1" outlineLevel="1">
      <c r="A82" s="82"/>
      <c r="C82" s="76" t="s">
        <v>92</v>
      </c>
      <c r="D82" s="77"/>
      <c r="E82" s="77"/>
      <c r="F82" s="93">
        <f>SUM(F78:F81)</f>
        <v>20.226886000000004</v>
      </c>
      <c r="G82" s="93">
        <f>SUM(G78:G81)</f>
        <v>13.388756000000001</v>
      </c>
      <c r="H82" s="93">
        <f t="shared" ref="H82:L82" si="24">SUM(H78:H81)</f>
        <v>0</v>
      </c>
      <c r="I82" s="93">
        <f t="shared" si="24"/>
        <v>0</v>
      </c>
      <c r="J82" s="93">
        <f t="shared" si="24"/>
        <v>0</v>
      </c>
      <c r="K82" s="93">
        <f t="shared" si="24"/>
        <v>0</v>
      </c>
      <c r="L82" s="93">
        <f t="shared" si="24"/>
        <v>0</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10.095867400270937</v>
      </c>
      <c r="I84" s="93">
        <f t="shared" si="25"/>
        <v>11.578180477035213</v>
      </c>
      <c r="J84" s="93">
        <f t="shared" si="25"/>
        <v>12.953362878002563</v>
      </c>
      <c r="K84" s="93">
        <f t="shared" si="25"/>
        <v>14.122474780562621</v>
      </c>
      <c r="L84" s="93">
        <f t="shared" si="25"/>
        <v>14.989949925519163</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81.942860383908922</v>
      </c>
      <c r="I87" s="105">
        <f t="shared" si="26"/>
        <v>92.022488268380954</v>
      </c>
      <c r="J87" s="105">
        <f t="shared" ca="1" si="26"/>
        <v>103.36362103777482</v>
      </c>
      <c r="K87" s="105">
        <f t="shared" ca="1" si="26"/>
        <v>115.60562865132215</v>
      </c>
      <c r="L87" s="105">
        <f t="shared" ca="1" si="26"/>
        <v>128.28557556185402</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-13.388756504191804</v>
      </c>
      <c r="I89" s="178">
        <f t="shared" si="27"/>
        <v>-13.388756504191818</v>
      </c>
      <c r="J89" s="178">
        <f t="shared" ca="1" si="27"/>
        <v>-13.388756504191818</v>
      </c>
      <c r="K89" s="178">
        <f t="shared" ca="1" si="27"/>
        <v>-13.388756504191804</v>
      </c>
      <c r="L89" s="178">
        <f t="shared" ca="1" si="27"/>
        <v>-13.388756504191832</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6'!F13</f>
        <v>0</v>
      </c>
      <c r="G162" s="122">
        <f>'Financials from CIP'!E13/1000-'Step 6'!G13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6'!F15</f>
        <v>0</v>
      </c>
      <c r="G163" s="122">
        <f>'Financials from CIP'!E19/1000-'Step 6'!G15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6'!F18</f>
        <v>0</v>
      </c>
      <c r="G164" s="122">
        <f>'Financials from CIP'!E36/1000-'Step 6'!G18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6'!F33</f>
        <v>0</v>
      </c>
      <c r="G165" s="122">
        <f>'Financials from CIP'!E34/1000-'Step 6'!G33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6'!F60</f>
        <v>0</v>
      </c>
      <c r="G168" s="122">
        <f>'Financials from CIP'!E46/1000-'Step 6'!G60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6'!F64</f>
        <v>0</v>
      </c>
      <c r="G169" s="122">
        <f>'Financials from CIP'!E51/1000-'Step 6'!G64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6'!F70</f>
        <v>0</v>
      </c>
      <c r="G170" s="122">
        <f>'Financials from CIP'!E56/1000-'Step 6'!G70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6'!F77</f>
        <v>0</v>
      </c>
      <c r="G171" s="122">
        <f>'Financials from CIP'!E61/1000-'Step 6'!G77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6'!F84</f>
        <v>0</v>
      </c>
      <c r="G172" s="122">
        <f>'Financials from CIP'!E69/1000-'Step 6'!G84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6'!F85:F86)</f>
        <v>0</v>
      </c>
      <c r="G173" s="122">
        <f>'Financials from CIP'!E73/1000-SUM('Step 6'!G85:G86)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c r="I206" s="221"/>
      <c r="J206" s="221"/>
      <c r="K206" s="221"/>
      <c r="L206" s="221"/>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c r="H209" s="222"/>
      <c r="I209" s="222"/>
      <c r="J209" s="222"/>
      <c r="K209" s="222"/>
      <c r="L209" s="222"/>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c r="H211" s="130"/>
      <c r="I211" s="130"/>
      <c r="J211" s="130"/>
      <c r="K211" s="130"/>
      <c r="L211" s="130"/>
      <c r="M211" s="50" t="s">
        <v>210</v>
      </c>
    </row>
    <row r="212" spans="1:13" ht="13.5" customHeight="1" outlineLevel="1">
      <c r="A212" s="125"/>
      <c r="C212" s="98" t="s">
        <v>211</v>
      </c>
      <c r="D212" s="223"/>
      <c r="E212" s="223"/>
      <c r="F212" s="223"/>
      <c r="G212" s="165"/>
      <c r="H212" s="165"/>
      <c r="I212" s="165"/>
      <c r="J212" s="165"/>
      <c r="K212" s="165"/>
      <c r="L212" s="165"/>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c r="I215" s="221"/>
      <c r="J215" s="221"/>
      <c r="K215" s="221"/>
      <c r="L215" s="221"/>
      <c r="M215" s="50" t="s">
        <v>213</v>
      </c>
    </row>
    <row r="216" spans="1:13" ht="13.5" customHeight="1" outlineLevel="1">
      <c r="A216" s="125"/>
      <c r="C216" s="91" t="s">
        <v>214</v>
      </c>
      <c r="D216" s="118"/>
      <c r="E216" s="118"/>
      <c r="G216" s="149"/>
      <c r="H216" s="165"/>
      <c r="I216" s="165"/>
      <c r="J216" s="165"/>
      <c r="K216" s="165"/>
      <c r="L216" s="165"/>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c r="H218" s="227"/>
      <c r="I218" s="227"/>
      <c r="J218" s="227"/>
      <c r="K218" s="227"/>
      <c r="L218" s="227"/>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c r="I221" s="229"/>
      <c r="J221" s="229"/>
      <c r="K221" s="229"/>
      <c r="L221" s="229"/>
      <c r="M221" s="50" t="s">
        <v>213</v>
      </c>
    </row>
    <row r="222" spans="1:13" ht="13.5" customHeight="1" outlineLevel="1">
      <c r="A222" s="125"/>
      <c r="C222" s="91" t="s">
        <v>214</v>
      </c>
      <c r="D222" s="118"/>
      <c r="E222" s="118"/>
      <c r="G222" s="154"/>
      <c r="H222" s="230"/>
      <c r="I222" s="230"/>
      <c r="J222" s="230"/>
      <c r="K222" s="230"/>
      <c r="L222" s="230"/>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c r="H224" s="233"/>
      <c r="I224" s="233"/>
      <c r="J224" s="233"/>
      <c r="K224" s="233"/>
      <c r="L224" s="233"/>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c r="I227" s="229"/>
      <c r="J227" s="229"/>
      <c r="K227" s="229"/>
      <c r="L227" s="229"/>
      <c r="M227" s="50" t="s">
        <v>213</v>
      </c>
    </row>
    <row r="228" spans="1:13" ht="13.5" customHeight="1" outlineLevel="1">
      <c r="A228" s="125"/>
      <c r="C228" s="91" t="s">
        <v>214</v>
      </c>
      <c r="D228" s="118"/>
      <c r="E228" s="118"/>
      <c r="G228" s="154"/>
      <c r="H228" s="230"/>
      <c r="I228" s="230"/>
      <c r="J228" s="230"/>
      <c r="K228" s="230"/>
      <c r="L228" s="230"/>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c r="H230" s="233"/>
      <c r="I230" s="233"/>
      <c r="J230" s="233"/>
      <c r="K230" s="233"/>
      <c r="L230" s="233"/>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0</v>
      </c>
      <c r="H235" s="238"/>
      <c r="I235" s="238"/>
      <c r="J235" s="238"/>
      <c r="K235" s="238"/>
      <c r="L235" s="238"/>
      <c r="M235" s="50" t="s">
        <v>224</v>
      </c>
    </row>
    <row r="236" spans="1:13" ht="13.5" customHeight="1" outlineLevel="1">
      <c r="A236" s="125"/>
      <c r="C236" s="68" t="str">
        <f>+C220</f>
        <v>Subordinated - Note 1</v>
      </c>
      <c r="G236" s="152">
        <f>G224</f>
        <v>0</v>
      </c>
      <c r="H236" s="238"/>
      <c r="I236" s="238"/>
      <c r="J236" s="238"/>
      <c r="K236" s="238"/>
      <c r="L236" s="238"/>
      <c r="M236" s="50" t="s">
        <v>225</v>
      </c>
    </row>
    <row r="237" spans="1:13" ht="13.5" customHeight="1" outlineLevel="1">
      <c r="A237" s="125"/>
      <c r="C237" s="68" t="str">
        <f>+C226</f>
        <v>Subordinated - Note 2</v>
      </c>
      <c r="G237" s="152">
        <f>G230</f>
        <v>0</v>
      </c>
      <c r="H237" s="238"/>
      <c r="I237" s="238"/>
      <c r="J237" s="238"/>
      <c r="K237" s="238"/>
      <c r="L237" s="238"/>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c r="H244" s="247"/>
      <c r="I244" s="247"/>
      <c r="J244" s="248"/>
      <c r="K244" s="247"/>
      <c r="L244" s="249"/>
      <c r="M244" s="50" t="s">
        <v>236</v>
      </c>
    </row>
    <row r="245" spans="1:19" ht="13.5" customHeight="1" outlineLevel="1">
      <c r="A245" s="125"/>
      <c r="C245" s="98" t="str">
        <f>+C214</f>
        <v>Term Loan A</v>
      </c>
      <c r="D245" s="118"/>
      <c r="E245" s="118"/>
      <c r="F245" s="246"/>
      <c r="G245" s="247"/>
      <c r="H245" s="247"/>
      <c r="I245" s="247"/>
      <c r="J245" s="248"/>
      <c r="K245" s="247"/>
      <c r="L245" s="249"/>
      <c r="M245" s="50" t="s">
        <v>237</v>
      </c>
    </row>
    <row r="246" spans="1:19" ht="13.5" customHeight="1" outlineLevel="1">
      <c r="A246" s="125"/>
      <c r="C246" s="98" t="str">
        <f>+C220</f>
        <v>Subordinated - Note 1</v>
      </c>
      <c r="D246" s="118"/>
      <c r="E246" s="118"/>
      <c r="F246" s="246"/>
      <c r="G246" s="247"/>
      <c r="H246" s="247"/>
      <c r="I246" s="247"/>
      <c r="J246" s="247"/>
      <c r="K246" s="247"/>
      <c r="L246" s="249"/>
      <c r="M246" s="50" t="s">
        <v>238</v>
      </c>
    </row>
    <row r="247" spans="1:19" ht="13.5" customHeight="1" outlineLevel="1">
      <c r="A247" s="125"/>
      <c r="C247" s="98" t="str">
        <f>+C226</f>
        <v>Subordinated - Note 2</v>
      </c>
      <c r="D247" s="118"/>
      <c r="E247" s="118"/>
      <c r="F247" s="246"/>
      <c r="G247" s="247"/>
      <c r="H247" s="247"/>
      <c r="I247" s="247"/>
      <c r="J247" s="247"/>
      <c r="K247" s="247"/>
      <c r="L247" s="249"/>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5142FBE0-F844-4DC2-A58F-C73873156A4D}">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ED557-2246-4D3E-A6C4-F403CD8AE5D2}">
  <sheetPr>
    <tabColor rgb="FF416D89"/>
    <outlinePr summaryBelow="0"/>
    <pageSetUpPr fitToPage="1"/>
  </sheetPr>
  <dimension ref="A1:S26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197</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A78" s="125"/>
      <c r="C78" s="91" t="s">
        <v>41</v>
      </c>
      <c r="D78" s="95"/>
      <c r="E78" s="95"/>
      <c r="F78" s="96">
        <f>'Financials from CIP'!D63/1000</f>
        <v>0.64588299999999998</v>
      </c>
      <c r="G78" s="96">
        <f>'Financials from CIP'!E63/1000</f>
        <v>1.2892999999999999</v>
      </c>
      <c r="H78" s="129">
        <f>H209</f>
        <v>1.2892999999999999</v>
      </c>
      <c r="I78" s="129">
        <f>I209</f>
        <v>1.2892999999999999</v>
      </c>
      <c r="J78" s="129">
        <f>J209</f>
        <v>1.2892999999999999</v>
      </c>
      <c r="K78" s="129">
        <f>K209</f>
        <v>1.2892999999999999</v>
      </c>
      <c r="L78" s="129">
        <f>L209</f>
        <v>1.2892999999999999</v>
      </c>
      <c r="M78" s="50" t="s">
        <v>198</v>
      </c>
    </row>
    <row r="79" spans="1:13" ht="13.5" customHeight="1" outlineLevel="1">
      <c r="A79" s="125"/>
      <c r="C79" s="91" t="s">
        <v>42</v>
      </c>
      <c r="D79" s="95"/>
      <c r="E79" s="95"/>
      <c r="F79" s="96">
        <f>'Financials from CIP'!D64/1000</f>
        <v>18.943222000000002</v>
      </c>
      <c r="G79" s="96">
        <f>'Financials from CIP'!E64/1000</f>
        <v>12.001450999999999</v>
      </c>
      <c r="H79" s="129">
        <f>H218</f>
        <v>9.6011607999999988</v>
      </c>
      <c r="I79" s="129">
        <f>I218</f>
        <v>7.2008705999999982</v>
      </c>
      <c r="J79" s="129">
        <f>J218</f>
        <v>4.8005803999999976</v>
      </c>
      <c r="K79" s="129">
        <f>K218</f>
        <v>2.4002901999999975</v>
      </c>
      <c r="L79" s="129">
        <f>L218</f>
        <v>0</v>
      </c>
      <c r="M79" s="50" t="s">
        <v>198</v>
      </c>
    </row>
    <row r="80" spans="1:13" ht="13.5" customHeight="1" outlineLevel="1">
      <c r="A80" s="125"/>
      <c r="C80" s="91" t="s">
        <v>90</v>
      </c>
      <c r="D80" s="95"/>
      <c r="E80" s="95"/>
      <c r="F80" s="96">
        <f>'Financials from CIP'!D65/1000</f>
        <v>0.54533299999999996</v>
      </c>
      <c r="G80" s="96">
        <f>'Financials from CIP'!E65/1000</f>
        <v>8.5337999999999997E-2</v>
      </c>
      <c r="H80" s="129">
        <f>H224</f>
        <v>6.8270399999999995E-2</v>
      </c>
      <c r="I80" s="129">
        <f>I224</f>
        <v>5.1202799999999993E-2</v>
      </c>
      <c r="J80" s="129">
        <f>J224</f>
        <v>3.4135199999999991E-2</v>
      </c>
      <c r="K80" s="129">
        <f>K224</f>
        <v>1.7067599999999992E-2</v>
      </c>
      <c r="L80" s="129">
        <f>L224</f>
        <v>0</v>
      </c>
      <c r="M80" s="50" t="s">
        <v>198</v>
      </c>
    </row>
    <row r="81" spans="1:13" ht="13.5" customHeight="1" outlineLevel="1">
      <c r="A81" s="125"/>
      <c r="C81" s="91" t="s">
        <v>91</v>
      </c>
      <c r="D81" s="95"/>
      <c r="E81" s="95"/>
      <c r="F81" s="96">
        <f>'Financials from CIP'!D66/1000</f>
        <v>9.2447999999999989E-2</v>
      </c>
      <c r="G81" s="96">
        <f>'Financials from CIP'!E66/1000</f>
        <v>1.2666999999999999E-2</v>
      </c>
      <c r="H81" s="129">
        <f>H230</f>
        <v>1.203365E-2</v>
      </c>
      <c r="I81" s="129">
        <f>I230</f>
        <v>1.14003E-2</v>
      </c>
      <c r="J81" s="129">
        <f>J230</f>
        <v>1.0766950000000001E-2</v>
      </c>
      <c r="K81" s="129">
        <f>K230</f>
        <v>1.0133600000000001E-2</v>
      </c>
      <c r="L81" s="129">
        <f>L230</f>
        <v>0</v>
      </c>
      <c r="M81" s="50" t="s">
        <v>198</v>
      </c>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206"/>
      <c r="I113" s="206"/>
      <c r="J113" s="206"/>
      <c r="K113" s="206"/>
      <c r="L113" s="206"/>
    </row>
    <row r="114" spans="1:13" s="205" customFormat="1" ht="13.5" customHeight="1" outlineLevel="1">
      <c r="A114" s="204"/>
      <c r="C114" s="68" t="str">
        <f>+C79</f>
        <v>Term Loan A</v>
      </c>
      <c r="D114" s="118"/>
      <c r="E114" s="118"/>
      <c r="F114" s="29"/>
      <c r="G114" s="207"/>
      <c r="H114" s="206"/>
      <c r="I114" s="206"/>
      <c r="J114" s="206"/>
      <c r="K114" s="206"/>
      <c r="L114" s="206"/>
    </row>
    <row r="115" spans="1:13" s="205" customFormat="1" ht="13.5" customHeight="1" outlineLevel="1">
      <c r="A115" s="204"/>
      <c r="C115" s="68" t="str">
        <f>+C80</f>
        <v>Subordinated - Note 1</v>
      </c>
      <c r="D115" s="118"/>
      <c r="E115" s="118"/>
      <c r="F115" s="29"/>
      <c r="G115" s="207"/>
      <c r="H115" s="206"/>
      <c r="I115" s="206"/>
      <c r="J115" s="206"/>
      <c r="K115" s="206"/>
      <c r="L115" s="206"/>
    </row>
    <row r="116" spans="1:13" s="205" customFormat="1" ht="13.5" customHeight="1" outlineLevel="1">
      <c r="A116" s="204"/>
      <c r="C116" s="68" t="str">
        <f t="shared" ref="C116" si="32">+C81</f>
        <v>Subordinated - Note 2</v>
      </c>
      <c r="D116" s="118"/>
      <c r="E116" s="118"/>
      <c r="F116" s="29"/>
      <c r="G116" s="207"/>
      <c r="H116" s="206"/>
      <c r="I116" s="206"/>
      <c r="J116" s="206"/>
      <c r="K116" s="206"/>
      <c r="L116" s="206"/>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6 Answer Key'!F13</f>
        <v>0</v>
      </c>
      <c r="G162" s="122">
        <f>'Financials from CIP'!E13/1000-'Step 6 Answer Key'!G13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6 Answer Key'!F15</f>
        <v>0</v>
      </c>
      <c r="G163" s="122">
        <f>'Financials from CIP'!E19/1000-'Step 6 Answer Key'!G15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6 Answer Key'!F18</f>
        <v>0</v>
      </c>
      <c r="G164" s="122">
        <f>'Financials from CIP'!E36/1000-'Step 6 Answer Key'!G18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6 Answer Key'!F33</f>
        <v>0</v>
      </c>
      <c r="G165" s="122">
        <f>'Financials from CIP'!E34/1000-'Step 6 Answer Key'!G33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6 Answer Key'!F60</f>
        <v>0</v>
      </c>
      <c r="G168" s="122">
        <f>'Financials from CIP'!E46/1000-'Step 6 Answer Key'!G60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6 Answer Key'!F64</f>
        <v>0</v>
      </c>
      <c r="G169" s="122">
        <f>'Financials from CIP'!E51/1000-'Step 6 Answer Key'!G64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6 Answer Key'!F70</f>
        <v>0</v>
      </c>
      <c r="G170" s="122">
        <f>'Financials from CIP'!E56/1000-'Step 6 Answer Key'!G70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6 Answer Key'!F77</f>
        <v>0</v>
      </c>
      <c r="G171" s="122">
        <f>'Financials from CIP'!E61/1000-'Step 6 Answer Key'!G77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6 Answer Key'!F84</f>
        <v>0</v>
      </c>
      <c r="G172" s="122">
        <f>'Financials from CIP'!E69/1000-'Step 6 Answer Key'!G84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6 Answer Key'!F85:F86)</f>
        <v>0</v>
      </c>
      <c r="G173" s="122">
        <f>'Financials from CIP'!E73/1000-SUM('Step 6 Answer Key'!G85:G86)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C202" s="59"/>
      <c r="D202" s="59"/>
      <c r="E202" s="59"/>
      <c r="F202" s="60"/>
      <c r="G202" s="60"/>
      <c r="H202" s="60"/>
      <c r="I202" s="60"/>
      <c r="J202" s="60"/>
      <c r="K202" s="60"/>
    </row>
    <row r="203" spans="1:19" ht="13.5" customHeight="1" outlineLevel="1">
      <c r="A203" s="125"/>
      <c r="C203" s="84" t="s">
        <v>201</v>
      </c>
      <c r="D203" s="85"/>
      <c r="E203" s="86"/>
      <c r="F203" s="86"/>
      <c r="G203" s="86"/>
      <c r="H203" s="86"/>
      <c r="I203" s="86"/>
      <c r="J203" s="86"/>
      <c r="K203" s="86"/>
      <c r="L203" s="87"/>
    </row>
    <row r="204" spans="1:19" ht="13.5" customHeight="1" outlineLevel="1">
      <c r="A204" s="125"/>
      <c r="M204" s="30"/>
    </row>
    <row r="205" spans="1:19" ht="13.5" customHeight="1" outlineLevel="1">
      <c r="A205" s="125"/>
      <c r="C205" s="216" t="str">
        <f>+C113</f>
        <v>Revolver</v>
      </c>
      <c r="D205" s="217"/>
      <c r="E205" s="217"/>
      <c r="F205" s="218"/>
      <c r="G205" s="219"/>
      <c r="H205" s="220"/>
      <c r="I205" s="220"/>
      <c r="J205" s="220"/>
      <c r="K205" s="220"/>
      <c r="L205" s="220"/>
    </row>
    <row r="206" spans="1:19" ht="13.5" customHeight="1" outlineLevel="1">
      <c r="A206" s="125"/>
      <c r="C206" s="98" t="s">
        <v>202</v>
      </c>
      <c r="D206" s="118"/>
      <c r="E206" s="118"/>
      <c r="G206" s="149"/>
      <c r="H206" s="221">
        <f>G209</f>
        <v>1.2892999999999999</v>
      </c>
      <c r="I206" s="221">
        <f>H209</f>
        <v>1.2892999999999999</v>
      </c>
      <c r="J206" s="221">
        <f>I209</f>
        <v>1.2892999999999999</v>
      </c>
      <c r="K206" s="221">
        <f>J209</f>
        <v>1.2892999999999999</v>
      </c>
      <c r="L206" s="221">
        <f>K209</f>
        <v>1.2892999999999999</v>
      </c>
      <c r="M206" s="50" t="s">
        <v>203</v>
      </c>
    </row>
    <row r="207" spans="1:19" ht="13.5" customHeight="1" outlineLevel="1">
      <c r="A207" s="125"/>
      <c r="C207" s="91" t="s">
        <v>204</v>
      </c>
      <c r="D207" s="118"/>
      <c r="E207" s="118"/>
      <c r="G207" s="149"/>
      <c r="H207" s="206"/>
      <c r="I207" s="206"/>
      <c r="J207" s="206"/>
      <c r="K207" s="206"/>
      <c r="L207" s="206"/>
      <c r="M207" s="50" t="s">
        <v>205</v>
      </c>
    </row>
    <row r="208" spans="1:19" ht="13.5" customHeight="1" outlineLevel="1">
      <c r="A208" s="125"/>
      <c r="C208" s="91" t="s">
        <v>206</v>
      </c>
      <c r="D208" s="118"/>
      <c r="E208" s="118"/>
      <c r="G208" s="149"/>
      <c r="H208" s="206"/>
      <c r="I208" s="206"/>
      <c r="J208" s="206"/>
      <c r="K208" s="206"/>
      <c r="L208" s="206"/>
    </row>
    <row r="209" spans="1:13" ht="13.5" customHeight="1" outlineLevel="1">
      <c r="A209" s="125"/>
      <c r="C209" s="65" t="s">
        <v>207</v>
      </c>
      <c r="D209" s="65"/>
      <c r="E209" s="65"/>
      <c r="F209" s="65"/>
      <c r="G209" s="222">
        <f>G78</f>
        <v>1.2892999999999999</v>
      </c>
      <c r="H209" s="222">
        <f>SUM(H206:H208)</f>
        <v>1.2892999999999999</v>
      </c>
      <c r="I209" s="222">
        <f>SUM(I206:I208)</f>
        <v>1.2892999999999999</v>
      </c>
      <c r="J209" s="222">
        <f>SUM(J206:J208)</f>
        <v>1.2892999999999999</v>
      </c>
      <c r="K209" s="222">
        <f>SUM(K206:K208)</f>
        <v>1.2892999999999999</v>
      </c>
      <c r="L209" s="222">
        <f>SUM(L206:L208)</f>
        <v>1.2892999999999999</v>
      </c>
      <c r="M209" s="50" t="s">
        <v>208</v>
      </c>
    </row>
    <row r="210" spans="1:13" ht="13.5" customHeight="1" outlineLevel="1">
      <c r="A210" s="125"/>
      <c r="C210" s="68"/>
      <c r="D210" s="68"/>
      <c r="E210" s="68"/>
      <c r="F210" s="68"/>
      <c r="G210" s="147"/>
      <c r="H210" s="154"/>
      <c r="I210" s="68"/>
      <c r="J210" s="68"/>
      <c r="K210" s="68"/>
      <c r="L210" s="68"/>
    </row>
    <row r="211" spans="1:13" ht="13.5" customHeight="1" outlineLevel="1">
      <c r="A211" s="125"/>
      <c r="C211" s="68" t="s">
        <v>209</v>
      </c>
      <c r="D211" s="68"/>
      <c r="E211" s="68"/>
      <c r="F211" s="68"/>
      <c r="G211" s="130">
        <v>30</v>
      </c>
      <c r="H211" s="130">
        <v>30</v>
      </c>
      <c r="I211" s="130">
        <v>30</v>
      </c>
      <c r="J211" s="130">
        <v>30</v>
      </c>
      <c r="K211" s="130">
        <v>30</v>
      </c>
      <c r="L211" s="130">
        <v>30</v>
      </c>
      <c r="M211" s="50" t="s">
        <v>210</v>
      </c>
    </row>
    <row r="212" spans="1:13" ht="13.5" customHeight="1" outlineLevel="1">
      <c r="A212" s="125"/>
      <c r="C212" s="98" t="s">
        <v>211</v>
      </c>
      <c r="D212" s="223"/>
      <c r="E212" s="223"/>
      <c r="F212" s="223"/>
      <c r="G212" s="165">
        <f t="shared" ref="G212:L212" si="54">G211-G209</f>
        <v>28.710699999999999</v>
      </c>
      <c r="H212" s="165">
        <f t="shared" si="54"/>
        <v>28.710699999999999</v>
      </c>
      <c r="I212" s="165">
        <f t="shared" si="54"/>
        <v>28.710699999999999</v>
      </c>
      <c r="J212" s="165">
        <f t="shared" si="54"/>
        <v>28.710699999999999</v>
      </c>
      <c r="K212" s="165">
        <f t="shared" si="54"/>
        <v>28.710699999999999</v>
      </c>
      <c r="L212" s="165">
        <f t="shared" si="54"/>
        <v>28.710699999999999</v>
      </c>
      <c r="M212" s="50" t="s">
        <v>212</v>
      </c>
    </row>
    <row r="213" spans="1:13" ht="13.5" customHeight="1" outlineLevel="1">
      <c r="A213" s="125"/>
      <c r="C213" s="68"/>
      <c r="G213" s="68"/>
      <c r="H213" s="68"/>
      <c r="I213" s="68"/>
      <c r="J213" s="68"/>
      <c r="K213" s="68"/>
      <c r="L213" s="68"/>
    </row>
    <row r="214" spans="1:13" ht="13.5" customHeight="1" outlineLevel="1">
      <c r="A214" s="125"/>
      <c r="C214" s="216" t="str">
        <f>+C114</f>
        <v>Term Loan A</v>
      </c>
      <c r="D214" s="217"/>
      <c r="E214" s="217"/>
      <c r="F214" s="218"/>
      <c r="G214" s="219"/>
      <c r="H214" s="224"/>
      <c r="I214" s="224"/>
      <c r="J214" s="225"/>
      <c r="K214" s="225"/>
      <c r="L214" s="225"/>
    </row>
    <row r="215" spans="1:13" ht="13.5" customHeight="1" outlineLevel="1">
      <c r="A215" s="125"/>
      <c r="C215" s="98" t="s">
        <v>202</v>
      </c>
      <c r="D215" s="118"/>
      <c r="E215" s="118"/>
      <c r="G215" s="149"/>
      <c r="H215" s="221">
        <f>G218</f>
        <v>12.001450999999999</v>
      </c>
      <c r="I215" s="221">
        <f>H218</f>
        <v>9.6011607999999988</v>
      </c>
      <c r="J215" s="221">
        <f>I218</f>
        <v>7.2008705999999982</v>
      </c>
      <c r="K215" s="221">
        <f>J218</f>
        <v>4.8005803999999976</v>
      </c>
      <c r="L215" s="221">
        <f>K218</f>
        <v>2.4002901999999975</v>
      </c>
      <c r="M215" s="50" t="s">
        <v>213</v>
      </c>
    </row>
    <row r="216" spans="1:13" ht="13.5" customHeight="1" outlineLevel="1">
      <c r="A216" s="125"/>
      <c r="C216" s="91" t="s">
        <v>214</v>
      </c>
      <c r="D216" s="118"/>
      <c r="E216" s="118"/>
      <c r="G216" s="149"/>
      <c r="H216" s="165">
        <f>-MIN(($G218*H235),H215)</f>
        <v>-2.4002902000000002</v>
      </c>
      <c r="I216" s="165">
        <f>-MIN(($G218*I235),I215)</f>
        <v>-2.4002902000000002</v>
      </c>
      <c r="J216" s="165">
        <f>-MIN(($G218*J235),J215)</f>
        <v>-2.4002902000000002</v>
      </c>
      <c r="K216" s="165">
        <f>-MIN(($G218*K235),K215)</f>
        <v>-2.4002902000000002</v>
      </c>
      <c r="L216" s="165">
        <f>-MIN(($G218*L235),L215)</f>
        <v>-2.4002901999999975</v>
      </c>
      <c r="M216" s="50" t="s">
        <v>215</v>
      </c>
    </row>
    <row r="217" spans="1:13" ht="13.5" customHeight="1" outlineLevel="1">
      <c r="A217" s="125"/>
      <c r="C217" s="91" t="s">
        <v>216</v>
      </c>
      <c r="D217" s="118"/>
      <c r="E217" s="118"/>
      <c r="G217" s="149"/>
      <c r="H217" s="226"/>
      <c r="I217" s="226"/>
      <c r="J217" s="226"/>
      <c r="K217" s="226"/>
      <c r="L217" s="226"/>
    </row>
    <row r="218" spans="1:13" ht="13.5" customHeight="1" outlineLevel="1">
      <c r="A218" s="125"/>
      <c r="C218" s="65" t="s">
        <v>207</v>
      </c>
      <c r="D218" s="65"/>
      <c r="E218" s="65"/>
      <c r="F218" s="65"/>
      <c r="G218" s="222">
        <f>G79</f>
        <v>12.001450999999999</v>
      </c>
      <c r="H218" s="227">
        <f>SUM(H215:H217)</f>
        <v>9.6011607999999988</v>
      </c>
      <c r="I218" s="227">
        <f>SUM(I215:I217)</f>
        <v>7.2008705999999982</v>
      </c>
      <c r="J218" s="227">
        <f>SUM(J215:J217)</f>
        <v>4.8005803999999976</v>
      </c>
      <c r="K218" s="227">
        <f>SUM(K215:K217)</f>
        <v>2.4002901999999975</v>
      </c>
      <c r="L218" s="227">
        <f>SUM(L215:L217)</f>
        <v>0</v>
      </c>
      <c r="M218" s="50" t="s">
        <v>217</v>
      </c>
    </row>
    <row r="219" spans="1:13" ht="13.5" customHeight="1" outlineLevel="1">
      <c r="A219" s="125"/>
      <c r="C219" s="68"/>
      <c r="G219" s="68"/>
      <c r="H219" s="68"/>
      <c r="I219" s="68"/>
      <c r="J219" s="68"/>
      <c r="K219" s="68"/>
      <c r="L219" s="68"/>
    </row>
    <row r="220" spans="1:13" ht="13.5" customHeight="1" outlineLevel="1">
      <c r="A220" s="125"/>
      <c r="C220" s="216" t="str">
        <f>+C115</f>
        <v>Subordinated - Note 1</v>
      </c>
      <c r="D220" s="217"/>
      <c r="E220" s="217"/>
      <c r="F220" s="218"/>
      <c r="G220" s="219"/>
      <c r="H220" s="224"/>
      <c r="I220" s="224"/>
      <c r="J220" s="225"/>
      <c r="K220" s="225"/>
      <c r="L220" s="225"/>
    </row>
    <row r="221" spans="1:13" ht="13.5" customHeight="1" outlineLevel="1">
      <c r="A221" s="125"/>
      <c r="C221" s="98" t="s">
        <v>202</v>
      </c>
      <c r="D221" s="118"/>
      <c r="E221" s="118"/>
      <c r="G221" s="228"/>
      <c r="H221" s="229">
        <f>G224</f>
        <v>8.5337999999999997E-2</v>
      </c>
      <c r="I221" s="229">
        <f>H224</f>
        <v>6.8270399999999995E-2</v>
      </c>
      <c r="J221" s="229">
        <f>I224</f>
        <v>5.1202799999999993E-2</v>
      </c>
      <c r="K221" s="229">
        <f>J224</f>
        <v>3.4135199999999991E-2</v>
      </c>
      <c r="L221" s="229">
        <f>K224</f>
        <v>1.7067599999999992E-2</v>
      </c>
      <c r="M221" s="50" t="s">
        <v>213</v>
      </c>
    </row>
    <row r="222" spans="1:13" ht="13.5" customHeight="1" outlineLevel="1">
      <c r="A222" s="125"/>
      <c r="C222" s="91" t="s">
        <v>214</v>
      </c>
      <c r="D222" s="118"/>
      <c r="E222" s="118"/>
      <c r="G222" s="154"/>
      <c r="H222" s="230">
        <f>-MIN(H221,(H236*$G224))</f>
        <v>-1.7067599999999999E-2</v>
      </c>
      <c r="I222" s="230">
        <f>-MIN(I221,(I236*$G224))</f>
        <v>-1.7067599999999999E-2</v>
      </c>
      <c r="J222" s="230">
        <f>-MIN(J221,(J236*$G224))</f>
        <v>-1.7067599999999999E-2</v>
      </c>
      <c r="K222" s="230">
        <f>-MIN(K221,(K236*$G224))</f>
        <v>-1.7067599999999999E-2</v>
      </c>
      <c r="L222" s="230">
        <f>-MIN(L221,(L236*$G224))</f>
        <v>-1.7067599999999992E-2</v>
      </c>
      <c r="M222" s="50" t="s">
        <v>218</v>
      </c>
    </row>
    <row r="223" spans="1:13" ht="13.5" customHeight="1" outlineLevel="1">
      <c r="A223" s="125"/>
      <c r="C223" s="91" t="s">
        <v>216</v>
      </c>
      <c r="D223" s="118"/>
      <c r="E223" s="118"/>
      <c r="G223" s="154"/>
      <c r="H223" s="231"/>
      <c r="I223" s="231"/>
      <c r="J223" s="231"/>
      <c r="K223" s="231"/>
      <c r="L223" s="231"/>
    </row>
    <row r="224" spans="1:13" ht="13.5" customHeight="1" outlineLevel="1">
      <c r="A224" s="125"/>
      <c r="C224" s="65" t="s">
        <v>207</v>
      </c>
      <c r="D224" s="65"/>
      <c r="E224" s="65"/>
      <c r="F224" s="65"/>
      <c r="G224" s="232">
        <f>G80</f>
        <v>8.5337999999999997E-2</v>
      </c>
      <c r="H224" s="233">
        <f>SUM(H221:H223)</f>
        <v>6.8270399999999995E-2</v>
      </c>
      <c r="I224" s="233">
        <f>SUM(I221:I223)</f>
        <v>5.1202799999999993E-2</v>
      </c>
      <c r="J224" s="233">
        <f>SUM(J221:J223)</f>
        <v>3.4135199999999991E-2</v>
      </c>
      <c r="K224" s="233">
        <f>SUM(K221:K223)</f>
        <v>1.7067599999999992E-2</v>
      </c>
      <c r="L224" s="233">
        <f>SUM(L221:L223)</f>
        <v>0</v>
      </c>
      <c r="M224" s="50" t="s">
        <v>219</v>
      </c>
    </row>
    <row r="225" spans="1:13" ht="13.5" customHeight="1" outlineLevel="1">
      <c r="A225" s="125"/>
      <c r="C225" s="68"/>
      <c r="G225" s="68"/>
      <c r="H225" s="68"/>
      <c r="I225" s="68"/>
      <c r="J225" s="68"/>
      <c r="K225" s="68"/>
      <c r="L225" s="68"/>
    </row>
    <row r="226" spans="1:13" ht="13.5" customHeight="1" outlineLevel="1">
      <c r="A226" s="125"/>
      <c r="C226" s="216" t="str">
        <f>+C116</f>
        <v>Subordinated - Note 2</v>
      </c>
      <c r="D226" s="217"/>
      <c r="E226" s="217"/>
      <c r="F226" s="218"/>
      <c r="G226" s="219"/>
      <c r="H226" s="224"/>
      <c r="I226" s="224"/>
      <c r="J226" s="225"/>
      <c r="K226" s="225"/>
      <c r="L226" s="225"/>
    </row>
    <row r="227" spans="1:13" ht="13.5" customHeight="1" outlineLevel="1">
      <c r="A227" s="125"/>
      <c r="C227" s="98" t="s">
        <v>202</v>
      </c>
      <c r="D227" s="118"/>
      <c r="E227" s="118"/>
      <c r="G227" s="228"/>
      <c r="H227" s="229">
        <f>G230</f>
        <v>1.2666999999999999E-2</v>
      </c>
      <c r="I227" s="229">
        <f>H230</f>
        <v>1.203365E-2</v>
      </c>
      <c r="J227" s="229">
        <f>I230</f>
        <v>1.14003E-2</v>
      </c>
      <c r="K227" s="229">
        <f>J230</f>
        <v>1.0766950000000001E-2</v>
      </c>
      <c r="L227" s="229">
        <f>K230</f>
        <v>1.0133600000000001E-2</v>
      </c>
      <c r="M227" s="50" t="s">
        <v>213</v>
      </c>
    </row>
    <row r="228" spans="1:13" ht="13.5" customHeight="1" outlineLevel="1">
      <c r="A228" s="125"/>
      <c r="C228" s="91" t="s">
        <v>214</v>
      </c>
      <c r="D228" s="118"/>
      <c r="E228" s="118"/>
      <c r="G228" s="154"/>
      <c r="H228" s="230">
        <f>-MIN(H227,H237*$G230)</f>
        <v>-6.3334999999999997E-4</v>
      </c>
      <c r="I228" s="230">
        <f>-MIN(I227,I237*$G230)</f>
        <v>-6.3334999999999997E-4</v>
      </c>
      <c r="J228" s="230">
        <f>-MIN(J227,J237*$G230)</f>
        <v>-6.3334999999999997E-4</v>
      </c>
      <c r="K228" s="230">
        <f>-MIN(K227,K237*$G230)</f>
        <v>-6.3334999999999997E-4</v>
      </c>
      <c r="L228" s="230">
        <f>-MIN(L227,L237*$G230)</f>
        <v>-1.01336E-2</v>
      </c>
      <c r="M228" s="50" t="s">
        <v>220</v>
      </c>
    </row>
    <row r="229" spans="1:13" ht="13.5" customHeight="1" outlineLevel="1">
      <c r="A229" s="125"/>
      <c r="C229" s="91" t="s">
        <v>216</v>
      </c>
      <c r="D229" s="118"/>
      <c r="E229" s="118"/>
      <c r="G229" s="154"/>
      <c r="H229" s="231"/>
      <c r="I229" s="231"/>
      <c r="J229" s="231"/>
      <c r="K229" s="231"/>
      <c r="L229" s="231"/>
    </row>
    <row r="230" spans="1:13" ht="13.5" customHeight="1" outlineLevel="1">
      <c r="A230" s="125"/>
      <c r="C230" s="65" t="s">
        <v>207</v>
      </c>
      <c r="D230" s="65"/>
      <c r="E230" s="65"/>
      <c r="F230" s="65"/>
      <c r="G230" s="232">
        <f>G81</f>
        <v>1.2666999999999999E-2</v>
      </c>
      <c r="H230" s="233">
        <f>SUM(H227:H229)</f>
        <v>1.203365E-2</v>
      </c>
      <c r="I230" s="233">
        <f>SUM(I227:I229)</f>
        <v>1.14003E-2</v>
      </c>
      <c r="J230" s="233">
        <f>SUM(J227:J229)</f>
        <v>1.0766950000000001E-2</v>
      </c>
      <c r="K230" s="233">
        <f>SUM(K227:K229)</f>
        <v>1.0133600000000001E-2</v>
      </c>
      <c r="L230" s="233">
        <f>SUM(L227:L229)</f>
        <v>0</v>
      </c>
      <c r="M230" s="50" t="s">
        <v>219</v>
      </c>
    </row>
    <row r="231" spans="1:13" ht="13.5" customHeight="1" outlineLevel="1">
      <c r="A231" s="125"/>
      <c r="C231" s="68"/>
      <c r="G231" s="68"/>
      <c r="H231" s="68"/>
      <c r="I231" s="68"/>
      <c r="J231" s="68"/>
      <c r="K231" s="68"/>
      <c r="L231" s="68"/>
    </row>
    <row r="232" spans="1:13" ht="13.5" customHeight="1" outlineLevel="1">
      <c r="A232" s="125"/>
      <c r="C232" s="84" t="s">
        <v>221</v>
      </c>
      <c r="D232" s="85"/>
      <c r="E232" s="86"/>
      <c r="F232" s="86"/>
      <c r="G232" s="234" t="s">
        <v>222</v>
      </c>
      <c r="H232" s="86"/>
      <c r="I232" s="86"/>
      <c r="J232" s="86"/>
      <c r="K232" s="86"/>
      <c r="L232" s="87"/>
    </row>
    <row r="233" spans="1:13" ht="13.5" customHeight="1" outlineLevel="1">
      <c r="A233" s="125"/>
      <c r="C233" s="68"/>
    </row>
    <row r="234" spans="1:13" ht="13.5" customHeight="1" outlineLevel="1">
      <c r="A234" s="125"/>
      <c r="C234" s="68"/>
      <c r="G234" s="235" t="s">
        <v>222</v>
      </c>
      <c r="H234" s="236" t="s">
        <v>223</v>
      </c>
      <c r="I234" s="237"/>
      <c r="J234" s="237"/>
      <c r="K234" s="237"/>
      <c r="L234" s="237"/>
    </row>
    <row r="235" spans="1:13" ht="13.5" customHeight="1" outlineLevel="1">
      <c r="A235" s="125"/>
      <c r="C235" s="68" t="str">
        <f>+C214</f>
        <v>Term Loan A</v>
      </c>
      <c r="G235" s="152">
        <f>G218</f>
        <v>12.001450999999999</v>
      </c>
      <c r="H235" s="238">
        <v>0.2</v>
      </c>
      <c r="I235" s="238">
        <v>0.2</v>
      </c>
      <c r="J235" s="238">
        <v>0.2</v>
      </c>
      <c r="K235" s="238">
        <v>0.2</v>
      </c>
      <c r="L235" s="238">
        <v>0.2</v>
      </c>
      <c r="M235" s="50" t="s">
        <v>224</v>
      </c>
    </row>
    <row r="236" spans="1:13" ht="13.5" customHeight="1" outlineLevel="1">
      <c r="A236" s="125"/>
      <c r="C236" s="68" t="str">
        <f>+C220</f>
        <v>Subordinated - Note 1</v>
      </c>
      <c r="G236" s="152">
        <f>G224</f>
        <v>8.5337999999999997E-2</v>
      </c>
      <c r="H236" s="238">
        <v>0.2</v>
      </c>
      <c r="I236" s="238">
        <v>0.2</v>
      </c>
      <c r="J236" s="238">
        <v>0.2</v>
      </c>
      <c r="K236" s="238">
        <v>0.2</v>
      </c>
      <c r="L236" s="238">
        <v>0.2</v>
      </c>
      <c r="M236" s="50" t="s">
        <v>225</v>
      </c>
    </row>
    <row r="237" spans="1:13" ht="13.5" customHeight="1" outlineLevel="1">
      <c r="A237" s="125"/>
      <c r="C237" s="68" t="str">
        <f>+C226</f>
        <v>Subordinated - Note 2</v>
      </c>
      <c r="G237" s="152">
        <f>G230</f>
        <v>1.2666999999999999E-2</v>
      </c>
      <c r="H237" s="238">
        <v>0.05</v>
      </c>
      <c r="I237" s="238">
        <v>0.05</v>
      </c>
      <c r="J237" s="238">
        <v>0.05</v>
      </c>
      <c r="K237" s="238">
        <v>0.05</v>
      </c>
      <c r="L237" s="238">
        <v>0.8</v>
      </c>
      <c r="M237" s="50" t="s">
        <v>226</v>
      </c>
    </row>
    <row r="238" spans="1:13" ht="13.5" customHeight="1" outlineLevel="1">
      <c r="A238" s="125"/>
      <c r="C238" s="68"/>
    </row>
    <row r="239" spans="1:13" ht="13.5" customHeight="1" outlineLevel="1">
      <c r="A239" s="125"/>
      <c r="C239" s="84" t="s">
        <v>227</v>
      </c>
      <c r="D239" s="85"/>
      <c r="E239" s="86"/>
      <c r="F239" s="86"/>
      <c r="G239" s="86"/>
      <c r="H239" s="86"/>
      <c r="I239" s="86"/>
      <c r="J239" s="86"/>
      <c r="K239" s="86"/>
      <c r="L239" s="87"/>
    </row>
    <row r="240" spans="1:13" ht="13.5" customHeight="1" outlineLevel="1">
      <c r="A240" s="125"/>
      <c r="C240" s="68"/>
    </row>
    <row r="241" spans="1:19" ht="13.5" customHeight="1" outlineLevel="1">
      <c r="A241" s="125"/>
      <c r="C241" s="239"/>
      <c r="D241" s="240"/>
      <c r="E241" s="240"/>
      <c r="H241" s="54"/>
      <c r="I241" s="54" t="s">
        <v>228</v>
      </c>
      <c r="J241" s="54" t="s">
        <v>229</v>
      </c>
      <c r="K241" s="54" t="s">
        <v>230</v>
      </c>
      <c r="L241" s="54" t="s">
        <v>98</v>
      </c>
    </row>
    <row r="242" spans="1:19" ht="13.5" customHeight="1" outlineLevel="1" thickBot="1">
      <c r="A242" s="125"/>
      <c r="C242" s="241"/>
      <c r="D242" s="242"/>
      <c r="E242" s="242"/>
      <c r="F242" s="243"/>
      <c r="G242" s="244" t="s">
        <v>231</v>
      </c>
      <c r="H242" s="243" t="s">
        <v>232</v>
      </c>
      <c r="I242" s="243" t="s">
        <v>232</v>
      </c>
      <c r="J242" s="243" t="s">
        <v>232</v>
      </c>
      <c r="K242" s="243" t="s">
        <v>233</v>
      </c>
      <c r="L242" s="243" t="s">
        <v>234</v>
      </c>
      <c r="M242" s="50" t="s">
        <v>235</v>
      </c>
    </row>
    <row r="243" spans="1:19" ht="5.0999999999999996" customHeight="1" outlineLevel="1">
      <c r="A243" s="125"/>
      <c r="C243" s="98"/>
      <c r="D243" s="118"/>
      <c r="E243" s="118"/>
      <c r="F243" s="245"/>
      <c r="G243" s="245"/>
      <c r="H243" s="245"/>
      <c r="I243" s="245"/>
      <c r="J243" s="245"/>
      <c r="K243" s="118"/>
    </row>
    <row r="244" spans="1:19" ht="13.5" customHeight="1" outlineLevel="1">
      <c r="A244" s="125"/>
      <c r="C244" s="98" t="str">
        <f>+C205</f>
        <v>Revolver</v>
      </c>
      <c r="D244" s="118"/>
      <c r="E244" s="118"/>
      <c r="F244" s="246"/>
      <c r="G244" s="247" t="s">
        <v>240</v>
      </c>
      <c r="H244" s="247">
        <v>3.7100000000000001E-2</v>
      </c>
      <c r="I244" s="247">
        <v>4.2500000000000003E-2</v>
      </c>
      <c r="J244" s="248">
        <f>I244+H244</f>
        <v>7.9600000000000004E-2</v>
      </c>
      <c r="K244" s="247" t="s">
        <v>241</v>
      </c>
      <c r="L244" s="249">
        <v>1</v>
      </c>
      <c r="M244" s="50" t="s">
        <v>236</v>
      </c>
    </row>
    <row r="245" spans="1:19" ht="13.5" customHeight="1" outlineLevel="1">
      <c r="A245" s="125"/>
      <c r="C245" s="98" t="str">
        <f>+C214</f>
        <v>Term Loan A</v>
      </c>
      <c r="D245" s="118"/>
      <c r="E245" s="118"/>
      <c r="F245" s="246"/>
      <c r="G245" s="247" t="s">
        <v>240</v>
      </c>
      <c r="H245" s="247">
        <v>3.7100000000000001E-2</v>
      </c>
      <c r="I245" s="247">
        <v>4.7500000000000001E-2</v>
      </c>
      <c r="J245" s="248">
        <f>I245+H245</f>
        <v>8.4600000000000009E-2</v>
      </c>
      <c r="K245" s="247" t="s">
        <v>241</v>
      </c>
      <c r="L245" s="249">
        <v>1</v>
      </c>
      <c r="M245" s="50" t="s">
        <v>237</v>
      </c>
    </row>
    <row r="246" spans="1:19" ht="13.5" customHeight="1" outlineLevel="1">
      <c r="A246" s="125"/>
      <c r="C246" s="98" t="str">
        <f>+C220</f>
        <v>Subordinated - Note 1</v>
      </c>
      <c r="D246" s="118"/>
      <c r="E246" s="118"/>
      <c r="F246" s="246"/>
      <c r="G246" s="247" t="s">
        <v>242</v>
      </c>
      <c r="H246" s="247" t="s">
        <v>241</v>
      </c>
      <c r="I246" s="247" t="s">
        <v>241</v>
      </c>
      <c r="J246" s="247" t="s">
        <v>241</v>
      </c>
      <c r="K246" s="247">
        <v>0.12</v>
      </c>
      <c r="L246" s="249">
        <v>1</v>
      </c>
      <c r="M246" s="50" t="s">
        <v>238</v>
      </c>
    </row>
    <row r="247" spans="1:19" ht="13.5" customHeight="1" outlineLevel="1">
      <c r="A247" s="125"/>
      <c r="C247" s="98" t="str">
        <f>+C226</f>
        <v>Subordinated - Note 2</v>
      </c>
      <c r="D247" s="118"/>
      <c r="E247" s="118"/>
      <c r="F247" s="246"/>
      <c r="G247" s="247" t="s">
        <v>242</v>
      </c>
      <c r="H247" s="247" t="s">
        <v>241</v>
      </c>
      <c r="I247" s="247" t="s">
        <v>241</v>
      </c>
      <c r="J247" s="247" t="s">
        <v>241</v>
      </c>
      <c r="K247" s="247">
        <v>0.14499999999999999</v>
      </c>
      <c r="L247" s="249">
        <v>0.5</v>
      </c>
      <c r="M247" s="50" t="s">
        <v>239</v>
      </c>
    </row>
    <row r="248" spans="1:19" ht="5.0999999999999996" customHeight="1" outlineLevel="1" thickBot="1">
      <c r="C248" s="157"/>
      <c r="D248" s="157"/>
      <c r="E248" s="157"/>
      <c r="F248" s="83"/>
      <c r="G248" s="83"/>
      <c r="H248" s="83"/>
      <c r="I248" s="83"/>
      <c r="J248" s="83"/>
      <c r="K248" s="83"/>
      <c r="L248" s="83"/>
    </row>
    <row r="250" spans="1:19" ht="19.5" customHeight="1">
      <c r="A250" s="82"/>
      <c r="B250" s="82"/>
      <c r="C250" s="121"/>
      <c r="D250" s="82"/>
      <c r="E250" s="82"/>
      <c r="F250" s="82"/>
      <c r="G250" s="82"/>
      <c r="H250" s="82"/>
      <c r="I250" s="82"/>
      <c r="J250" s="82"/>
      <c r="K250" s="82"/>
      <c r="L250" s="82"/>
      <c r="M250" s="82"/>
      <c r="N250" s="82"/>
      <c r="O250" s="82"/>
      <c r="P250" s="82"/>
      <c r="Q250" s="82"/>
      <c r="R250" s="82"/>
      <c r="S250" s="82"/>
    </row>
    <row r="251" spans="1:19" ht="5.0999999999999996" customHeight="1">
      <c r="A251" s="82"/>
      <c r="B251" s="82"/>
      <c r="C251" s="82"/>
      <c r="D251" s="82"/>
      <c r="E251" s="82"/>
      <c r="F251" s="82"/>
      <c r="G251" s="82"/>
      <c r="H251" s="82"/>
      <c r="I251" s="82"/>
      <c r="J251" s="82"/>
      <c r="K251" s="82"/>
      <c r="L251" s="82"/>
      <c r="M251" s="82"/>
      <c r="N251" s="82"/>
      <c r="O251" s="82"/>
      <c r="P251" s="82"/>
      <c r="Q251" s="82"/>
      <c r="R251" s="82"/>
      <c r="S251" s="82"/>
    </row>
    <row r="252" spans="1:19" ht="13.5" customHeight="1">
      <c r="A252" s="82"/>
      <c r="B252" s="82"/>
      <c r="C252" s="123"/>
      <c r="D252" s="82"/>
      <c r="E252" s="82"/>
      <c r="F252" s="82"/>
      <c r="G252" s="82"/>
      <c r="H252" s="82"/>
      <c r="I252" s="82"/>
      <c r="J252" s="82"/>
      <c r="K252" s="82"/>
      <c r="L252" s="82"/>
      <c r="M252" s="82"/>
      <c r="N252" s="82"/>
      <c r="O252" s="82"/>
      <c r="P252" s="82"/>
      <c r="Q252" s="82"/>
      <c r="R252" s="82"/>
      <c r="S252" s="82"/>
    </row>
    <row r="253" spans="1:19" ht="13.5" customHeight="1">
      <c r="A253" s="82"/>
      <c r="B253" s="82"/>
      <c r="C253" s="82"/>
      <c r="D253" s="82"/>
      <c r="E253" s="82"/>
      <c r="F253" s="124"/>
      <c r="G253" s="124"/>
      <c r="H253" s="82"/>
      <c r="I253" s="82"/>
      <c r="J253" s="82"/>
      <c r="K253" s="82"/>
      <c r="L253" s="82"/>
      <c r="M253" s="82"/>
      <c r="N253" s="82"/>
      <c r="O253" s="82"/>
      <c r="P253" s="82"/>
      <c r="Q253" s="82"/>
      <c r="R253" s="82"/>
      <c r="S253" s="82"/>
    </row>
    <row r="254" spans="1:19" ht="13.5" customHeight="1">
      <c r="A254" s="82"/>
      <c r="B254" s="82"/>
      <c r="C254" s="82"/>
      <c r="D254" s="82"/>
      <c r="E254" s="82"/>
      <c r="F254" s="124"/>
      <c r="G254" s="124"/>
      <c r="H254" s="82"/>
      <c r="I254" s="82"/>
      <c r="J254" s="82"/>
      <c r="K254" s="82"/>
      <c r="L254" s="82"/>
      <c r="M254" s="82"/>
      <c r="N254" s="82"/>
      <c r="O254" s="82"/>
      <c r="P254" s="82"/>
      <c r="Q254" s="82"/>
      <c r="R254" s="82"/>
      <c r="S254" s="82"/>
    </row>
    <row r="255" spans="1:19" ht="13.5" customHeight="1">
      <c r="A255" s="82"/>
      <c r="B255" s="82"/>
      <c r="C255" s="82"/>
      <c r="D255" s="82"/>
      <c r="E255" s="82"/>
      <c r="F255" s="124"/>
      <c r="G255" s="124"/>
      <c r="H255" s="82"/>
      <c r="I255" s="82"/>
      <c r="J255" s="82"/>
      <c r="K255" s="82"/>
      <c r="L255" s="82"/>
      <c r="M255" s="82"/>
      <c r="N255" s="82"/>
      <c r="O255" s="82"/>
      <c r="P255" s="82"/>
      <c r="Q255" s="82"/>
      <c r="R255" s="82"/>
      <c r="S255" s="82"/>
    </row>
    <row r="256" spans="1:19" ht="13.5" customHeight="1">
      <c r="A256" s="82"/>
      <c r="B256" s="82"/>
      <c r="C256" s="82"/>
      <c r="D256" s="82"/>
      <c r="E256" s="82"/>
      <c r="F256" s="124"/>
      <c r="G256" s="124"/>
      <c r="H256" s="82"/>
      <c r="I256" s="82"/>
      <c r="J256" s="82"/>
      <c r="K256" s="82"/>
      <c r="L256" s="82"/>
      <c r="M256" s="82"/>
      <c r="N256" s="82"/>
      <c r="O256" s="82"/>
      <c r="P256" s="82"/>
      <c r="Q256" s="82"/>
      <c r="R256" s="82"/>
      <c r="S256" s="82"/>
    </row>
    <row r="257" spans="1:19" ht="13.5" customHeight="1">
      <c r="A257" s="82"/>
      <c r="B257" s="82"/>
      <c r="C257" s="82"/>
      <c r="D257" s="82"/>
      <c r="E257" s="82"/>
      <c r="F257" s="82"/>
      <c r="G257" s="82"/>
      <c r="H257" s="82"/>
      <c r="I257" s="82"/>
      <c r="J257" s="82"/>
      <c r="K257" s="82"/>
      <c r="L257" s="82"/>
      <c r="M257" s="82"/>
      <c r="N257" s="82"/>
      <c r="O257" s="82"/>
      <c r="P257" s="82"/>
      <c r="Q257" s="82"/>
      <c r="R257" s="82"/>
      <c r="S257" s="82"/>
    </row>
    <row r="258" spans="1:19" ht="13.5" customHeight="1">
      <c r="A258" s="82"/>
      <c r="B258" s="82"/>
      <c r="C258" s="123"/>
      <c r="D258" s="82"/>
      <c r="E258" s="82"/>
      <c r="F258" s="82"/>
      <c r="G258" s="82"/>
      <c r="H258" s="82"/>
      <c r="I258" s="82"/>
      <c r="J258" s="82"/>
      <c r="K258" s="82"/>
      <c r="L258" s="82"/>
      <c r="M258" s="82"/>
      <c r="N258" s="82"/>
      <c r="O258" s="82"/>
      <c r="P258" s="82"/>
      <c r="Q258" s="82"/>
      <c r="R258" s="82"/>
      <c r="S258" s="82"/>
    </row>
    <row r="259" spans="1:19" ht="13.5" customHeight="1">
      <c r="A259" s="82"/>
      <c r="B259" s="82"/>
      <c r="C259" s="82"/>
      <c r="D259" s="82"/>
      <c r="E259" s="82"/>
      <c r="F259" s="124"/>
      <c r="G259" s="124"/>
      <c r="H259" s="82"/>
      <c r="I259" s="82"/>
      <c r="J259" s="82"/>
      <c r="K259" s="82"/>
      <c r="L259" s="82"/>
      <c r="M259" s="82"/>
      <c r="N259" s="82"/>
      <c r="O259" s="82"/>
      <c r="P259" s="82"/>
      <c r="Q259" s="82"/>
      <c r="R259" s="82"/>
      <c r="S259" s="82"/>
    </row>
    <row r="260" spans="1:19" ht="13.5" customHeight="1">
      <c r="A260" s="82"/>
      <c r="B260" s="82"/>
      <c r="C260" s="82"/>
      <c r="D260" s="82"/>
      <c r="E260" s="82"/>
      <c r="F260" s="124"/>
      <c r="G260" s="124"/>
      <c r="H260" s="82"/>
      <c r="I260" s="82"/>
      <c r="J260" s="82"/>
      <c r="K260" s="82"/>
      <c r="L260" s="82"/>
      <c r="M260" s="82"/>
      <c r="N260" s="82"/>
      <c r="O260" s="82"/>
      <c r="P260" s="82"/>
      <c r="Q260" s="82"/>
      <c r="R260" s="82"/>
      <c r="S260" s="82"/>
    </row>
    <row r="261" spans="1:19" ht="13.5" customHeight="1">
      <c r="A261" s="82"/>
      <c r="B261" s="82"/>
      <c r="C261" s="82"/>
      <c r="D261" s="82"/>
      <c r="E261" s="82"/>
      <c r="F261" s="124"/>
      <c r="G261" s="124"/>
      <c r="H261" s="82"/>
      <c r="I261" s="82"/>
      <c r="J261" s="82"/>
      <c r="K261" s="82"/>
      <c r="L261" s="82"/>
      <c r="M261" s="82"/>
      <c r="N261" s="82"/>
      <c r="O261" s="82"/>
      <c r="P261" s="82"/>
      <c r="Q261" s="82"/>
      <c r="R261" s="82"/>
      <c r="S261" s="82"/>
    </row>
    <row r="262" spans="1:19" ht="13.5" customHeight="1">
      <c r="A262" s="82"/>
      <c r="B262" s="82"/>
      <c r="C262" s="82"/>
      <c r="D262" s="82"/>
      <c r="E262" s="82"/>
      <c r="F262" s="124"/>
      <c r="G262" s="124"/>
      <c r="H262" s="82"/>
      <c r="I262" s="82"/>
      <c r="J262" s="82"/>
      <c r="K262" s="82"/>
      <c r="L262" s="82"/>
      <c r="M262" s="82"/>
      <c r="N262" s="82"/>
      <c r="O262" s="82"/>
      <c r="P262" s="82"/>
      <c r="Q262" s="82"/>
      <c r="R262" s="82"/>
      <c r="S262" s="82"/>
    </row>
    <row r="263" spans="1:19" ht="5.0999999999999996" customHeight="1">
      <c r="A263" s="82"/>
      <c r="B263" s="82"/>
      <c r="C263" s="82"/>
      <c r="D263" s="82"/>
      <c r="E263" s="82"/>
      <c r="F263" s="82"/>
      <c r="G263" s="82"/>
      <c r="H263" s="82"/>
      <c r="I263" s="82"/>
      <c r="J263" s="82"/>
      <c r="K263" s="82"/>
      <c r="L263" s="82"/>
      <c r="M263" s="82"/>
      <c r="N263" s="82"/>
      <c r="O263" s="82"/>
      <c r="P263" s="82"/>
      <c r="Q263" s="82"/>
      <c r="R263" s="82"/>
      <c r="S263" s="82"/>
    </row>
    <row r="264" spans="1:19" ht="13.5" customHeight="1">
      <c r="A264" s="82"/>
      <c r="B264" s="82"/>
      <c r="C264" s="82"/>
      <c r="D264" s="82"/>
      <c r="E264" s="82"/>
      <c r="F264" s="124"/>
      <c r="G264" s="124"/>
      <c r="H264" s="82"/>
      <c r="I264" s="82"/>
      <c r="J264" s="82"/>
      <c r="K264" s="82"/>
      <c r="L264" s="82"/>
      <c r="M264" s="82"/>
      <c r="N264" s="82"/>
      <c r="O264" s="82"/>
      <c r="P264" s="82"/>
      <c r="Q264" s="82"/>
      <c r="R264" s="82"/>
      <c r="S264" s="82"/>
    </row>
    <row r="265" spans="1:19" ht="13.5" customHeight="1">
      <c r="A265" s="82"/>
      <c r="B265" s="82"/>
      <c r="C265" s="82"/>
      <c r="D265" s="82"/>
      <c r="E265" s="82"/>
      <c r="F265" s="124"/>
      <c r="G265" s="124"/>
      <c r="H265" s="82"/>
      <c r="I265" s="82"/>
      <c r="J265" s="82"/>
      <c r="K265" s="82"/>
      <c r="L265" s="82"/>
      <c r="M265" s="82"/>
      <c r="N265" s="82"/>
      <c r="O265" s="82"/>
      <c r="P265" s="82"/>
      <c r="Q265" s="82"/>
      <c r="R265" s="82"/>
      <c r="S265" s="82"/>
    </row>
    <row r="266" spans="1:19" ht="13.5" customHeight="1">
      <c r="A266" s="82"/>
      <c r="B266" s="82"/>
      <c r="C266" s="82"/>
      <c r="D266" s="82"/>
      <c r="E266" s="82"/>
      <c r="F266" s="82"/>
      <c r="G266" s="82"/>
      <c r="H266" s="82"/>
      <c r="I266" s="82"/>
      <c r="J266" s="82"/>
      <c r="K266" s="82"/>
      <c r="L266" s="82"/>
      <c r="M266" s="82"/>
      <c r="N266" s="82"/>
      <c r="O266" s="82"/>
      <c r="P266" s="82"/>
      <c r="Q266" s="82"/>
      <c r="R266" s="82"/>
      <c r="S266" s="82"/>
    </row>
    <row r="267" spans="1:19" ht="13.5" customHeight="1">
      <c r="F267" s="124"/>
      <c r="G267" s="124"/>
    </row>
  </sheetData>
  <dataValidations count="1">
    <dataValidation type="whole" showInputMessage="1" showErrorMessage="1" errorTitle="Validation Error" error="Enter either 0 or 1." sqref="F244:F247" xr:uid="{E0BC97E1-F4FE-45B2-A36A-341CA20E6797}">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E58B-E7C2-4888-A568-D3F6C7EB793B}">
  <sheetPr>
    <outlinePr summaryBelow="0"/>
    <pageSetUpPr fitToPage="1"/>
  </sheetPr>
  <dimension ref="A1:S290"/>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4" ht="13.5" customHeight="1">
      <c r="C1" s="30"/>
      <c r="E1" s="31"/>
      <c r="F1" s="31"/>
      <c r="G1" s="31"/>
    </row>
    <row r="2" spans="2:14" ht="21" outlineLevel="1">
      <c r="B2" s="32"/>
      <c r="C2" s="33" t="s">
        <v>54</v>
      </c>
      <c r="D2" s="34"/>
      <c r="E2" s="35"/>
      <c r="F2" s="35"/>
      <c r="G2" s="36"/>
      <c r="H2" s="36"/>
      <c r="I2" s="36"/>
      <c r="J2" s="36"/>
      <c r="K2" s="36"/>
      <c r="L2" s="36"/>
    </row>
    <row r="3" spans="2:14" ht="13.5" customHeight="1" outlineLevel="1">
      <c r="C3" s="37" t="s">
        <v>243</v>
      </c>
      <c r="D3" s="34"/>
      <c r="E3" s="38"/>
      <c r="F3" s="38"/>
      <c r="G3" s="38"/>
      <c r="H3" s="34"/>
      <c r="I3" s="34"/>
      <c r="J3" s="34"/>
      <c r="K3" s="34"/>
      <c r="L3" s="34"/>
    </row>
    <row r="4" spans="2:14" ht="13.5" customHeight="1" outlineLevel="1">
      <c r="C4" s="37"/>
      <c r="D4" s="34"/>
      <c r="E4" s="38"/>
      <c r="F4" s="38"/>
      <c r="G4" s="38"/>
      <c r="H4" s="34"/>
      <c r="I4" s="34"/>
      <c r="J4" s="34"/>
      <c r="K4" s="34"/>
      <c r="L4" s="34"/>
      <c r="N4" s="195"/>
    </row>
    <row r="5" spans="2:14" ht="13.5" customHeight="1" outlineLevel="1">
      <c r="C5" s="30"/>
      <c r="E5" s="31"/>
      <c r="F5" s="31"/>
      <c r="G5" s="31"/>
      <c r="I5" s="39"/>
      <c r="J5" s="39" t="s">
        <v>56</v>
      </c>
    </row>
    <row r="6" spans="2:14" ht="13.5" customHeight="1" outlineLevel="1">
      <c r="C6" s="40" t="s">
        <v>57</v>
      </c>
      <c r="D6" s="41"/>
      <c r="E6" s="42"/>
      <c r="F6" s="43" t="s">
        <v>58</v>
      </c>
      <c r="G6" s="43"/>
      <c r="I6" s="44"/>
      <c r="J6" s="44" t="s">
        <v>59</v>
      </c>
    </row>
    <row r="7" spans="2:14" ht="13.5" customHeight="1" outlineLevel="1" thickBot="1">
      <c r="C7" s="30"/>
      <c r="E7" s="31"/>
      <c r="F7" s="31"/>
      <c r="G7" s="31"/>
      <c r="I7" s="45"/>
      <c r="J7" s="45" t="s">
        <v>60</v>
      </c>
    </row>
    <row r="8" spans="2:14" ht="21.75" thickTop="1">
      <c r="B8" s="46" t="s">
        <v>61</v>
      </c>
      <c r="C8" s="47" t="s">
        <v>3</v>
      </c>
      <c r="D8" s="48"/>
      <c r="E8" s="49"/>
      <c r="F8" s="49"/>
      <c r="G8" s="49"/>
      <c r="H8" s="49"/>
      <c r="I8" s="49"/>
      <c r="J8" s="49"/>
      <c r="K8" s="49"/>
      <c r="L8" s="49"/>
      <c r="M8" s="50"/>
    </row>
    <row r="9" spans="2:14" ht="5.0999999999999996" customHeight="1" outlineLevel="1">
      <c r="C9" s="51"/>
      <c r="D9" s="52"/>
    </row>
    <row r="10" spans="2:14" ht="13.5" customHeight="1" outlineLevel="1">
      <c r="C10" s="53"/>
      <c r="D10" s="53"/>
      <c r="E10" s="53"/>
      <c r="F10" s="54" t="s">
        <v>63</v>
      </c>
      <c r="G10" s="54" t="s">
        <v>63</v>
      </c>
      <c r="H10" s="55" t="s">
        <v>64</v>
      </c>
      <c r="I10" s="55"/>
      <c r="J10" s="55"/>
      <c r="K10" s="55"/>
      <c r="L10" s="55"/>
    </row>
    <row r="11" spans="2:14"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4" ht="5.0999999999999996" customHeight="1" outlineLevel="1">
      <c r="C12" s="59"/>
      <c r="D12" s="59"/>
      <c r="E12" s="59"/>
      <c r="F12" s="60"/>
      <c r="G12" s="60"/>
      <c r="H12" s="60"/>
      <c r="I12" s="60"/>
      <c r="J12" s="60"/>
      <c r="K12" s="60"/>
    </row>
    <row r="13" spans="2:14"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4"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4"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4"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H194</f>
        <v>5.829392560625954</v>
      </c>
      <c r="I20" s="149">
        <f t="shared" ref="I20:L20" si="6">I194</f>
        <v>6.1302957891314076</v>
      </c>
      <c r="J20" s="149">
        <f t="shared" ca="1" si="6"/>
        <v>6.4683165246530567</v>
      </c>
      <c r="K20" s="149">
        <f t="shared" ca="1" si="6"/>
        <v>6.8378927245374452</v>
      </c>
      <c r="L20" s="149">
        <f t="shared" ca="1" si="6"/>
        <v>7.2308829200900817</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10.280726083268959</v>
      </c>
      <c r="I22" s="71">
        <f t="shared" si="8"/>
        <v>12.486858913068398</v>
      </c>
      <c r="J22" s="71">
        <f t="shared" ca="1" si="8"/>
        <v>14.47468412737622</v>
      </c>
      <c r="K22" s="71">
        <f t="shared" ca="1" si="8"/>
        <v>16.082426850097292</v>
      </c>
      <c r="L22" s="71">
        <f t="shared" ca="1" si="8"/>
        <v>17.156597338869613</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10.280726083268959</v>
      </c>
      <c r="I31" s="66">
        <f t="shared" si="11"/>
        <v>12.486858913068398</v>
      </c>
      <c r="J31" s="66">
        <f t="shared" ca="1" si="11"/>
        <v>14.47468412737622</v>
      </c>
      <c r="K31" s="66">
        <f t="shared" ca="1" si="11"/>
        <v>16.082426850097292</v>
      </c>
      <c r="L31" s="66">
        <f t="shared" ca="1" si="11"/>
        <v>17.156597338869613</v>
      </c>
      <c r="M31" s="50"/>
    </row>
    <row r="32" spans="3:13" ht="13.5" customHeight="1" outlineLevel="1">
      <c r="C32" s="63" t="s">
        <v>78</v>
      </c>
      <c r="D32" s="63"/>
      <c r="E32" s="63"/>
      <c r="F32" s="128">
        <f>'Financials from CIP'!D29/1000</f>
        <v>3.2010390000000002</v>
      </c>
      <c r="G32" s="128">
        <f>'Financials from CIP'!E29/1000</f>
        <v>2.809107</v>
      </c>
      <c r="H32" s="149">
        <f>H46*H31</f>
        <v>3.2023535954391633</v>
      </c>
      <c r="I32" s="149">
        <f t="shared" ref="I32:L32" si="12">I46*I31</f>
        <v>3.8895441053606383</v>
      </c>
      <c r="J32" s="149">
        <f t="shared" ca="1" si="12"/>
        <v>4.5087337589496945</v>
      </c>
      <c r="K32" s="149">
        <f t="shared" ca="1" si="12"/>
        <v>5.0095311391100159</v>
      </c>
      <c r="L32" s="149">
        <f t="shared" ca="1" si="12"/>
        <v>5.3441255732942707</v>
      </c>
      <c r="M32" s="50"/>
    </row>
    <row r="33" spans="1:13" ht="13.5" customHeight="1" outlineLevel="1">
      <c r="C33" s="79" t="s">
        <v>22</v>
      </c>
      <c r="D33" s="79"/>
      <c r="E33" s="79"/>
      <c r="F33" s="71">
        <f>F31-F32</f>
        <v>5.8617809000000012</v>
      </c>
      <c r="G33" s="71">
        <f>G31-G32</f>
        <v>7.6036177804999978</v>
      </c>
      <c r="H33" s="71">
        <f t="shared" ref="H33:L33" si="13">H31-H32</f>
        <v>7.078372487829796</v>
      </c>
      <c r="I33" s="71">
        <f t="shared" si="13"/>
        <v>8.5973148077077592</v>
      </c>
      <c r="J33" s="71">
        <f t="shared" ca="1" si="13"/>
        <v>9.965950368426526</v>
      </c>
      <c r="K33" s="71">
        <f t="shared" ca="1" si="13"/>
        <v>11.072895710987275</v>
      </c>
      <c r="L33" s="71">
        <f t="shared" ca="1" si="13"/>
        <v>11.812471765575342</v>
      </c>
      <c r="M33" s="60"/>
    </row>
    <row r="34" spans="1:13" ht="13.5" customHeight="1" outlineLevel="1">
      <c r="C34" s="67" t="s">
        <v>79</v>
      </c>
      <c r="D34" s="39"/>
      <c r="E34" s="39"/>
      <c r="F34" s="69">
        <f>IFERROR(F33/F$13,"N/M")</f>
        <v>7.4609946715153336E-2</v>
      </c>
      <c r="G34" s="69">
        <f>IFERROR(G33/G$13,"N/M")</f>
        <v>8.3912167095621659E-2</v>
      </c>
      <c r="H34" s="69">
        <f t="shared" ref="H34:L34" si="14">IFERROR(H33/H$13,"N/M")</f>
        <v>6.772914354688947E-2</v>
      </c>
      <c r="I34" s="69">
        <f t="shared" si="14"/>
        <v>7.1325120130270037E-2</v>
      </c>
      <c r="J34" s="69">
        <f t="shared" ca="1" si="14"/>
        <v>7.36006936331913E-2</v>
      </c>
      <c r="K34" s="69">
        <f t="shared" ca="1" si="14"/>
        <v>7.4793480531305148E-2</v>
      </c>
      <c r="L34" s="69">
        <f t="shared" ca="1" si="14"/>
        <v>7.50352955630081E-2</v>
      </c>
      <c r="M34" s="60"/>
    </row>
    <row r="35" spans="1:13" ht="13.5" customHeight="1" outlineLevel="1">
      <c r="C35" s="68"/>
      <c r="D35" s="68"/>
      <c r="E35" s="68"/>
      <c r="H35" s="60"/>
      <c r="I35" s="60"/>
      <c r="J35" s="60"/>
      <c r="K35" s="60"/>
      <c r="L35" s="60"/>
      <c r="M35" s="60"/>
    </row>
    <row r="36" spans="1:13" ht="13.5" customHeight="1" outlineLevel="1">
      <c r="C36" s="80" t="s">
        <v>80</v>
      </c>
      <c r="D36" s="80"/>
      <c r="E36" s="80"/>
      <c r="G36" s="175">
        <f>('Financials from CIP'!E53-'Financials from CIP'!D53+'Financials from CIP'!E25)/1000</f>
        <v>2.2620482799999997</v>
      </c>
      <c r="H36" s="176">
        <f>H48*H13</f>
        <v>2.6089416062595356</v>
      </c>
      <c r="I36" s="176">
        <f>I48*I13</f>
        <v>3.0090322850545372</v>
      </c>
      <c r="J36" s="176">
        <f>J48*J13</f>
        <v>3.3802073552164953</v>
      </c>
      <c r="K36" s="176">
        <f>K48*K13</f>
        <v>3.6957619988438841</v>
      </c>
      <c r="L36" s="176">
        <f>L48*L13</f>
        <v>3.9299019555263603</v>
      </c>
      <c r="M36" s="5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F48" s="138"/>
      <c r="G48" s="138">
        <f>G36/G13</f>
        <v>2.4963560600917242E-2</v>
      </c>
      <c r="H48" s="139">
        <f>G48</f>
        <v>2.4963560600917242E-2</v>
      </c>
      <c r="I48" s="139">
        <f>H48</f>
        <v>2.4963560600917242E-2</v>
      </c>
      <c r="J48" s="139">
        <f>I48</f>
        <v>2.4963560600917242E-2</v>
      </c>
      <c r="K48" s="139">
        <f>J48</f>
        <v>2.4963560600917242E-2</v>
      </c>
      <c r="L48" s="139">
        <f>K48</f>
        <v>2.4963560600917242E-2</v>
      </c>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C60" s="88" t="s">
        <v>82</v>
      </c>
      <c r="F60" s="141">
        <f>'Financials from CIP'!D46/1000</f>
        <v>7.1056520000000001</v>
      </c>
      <c r="G60" s="141">
        <f>'Financials from CIP'!E46/1000</f>
        <v>2.9579920000000004</v>
      </c>
      <c r="H60" s="214">
        <f>G60+H119</f>
        <v>13.005932342237593</v>
      </c>
      <c r="I60" s="214">
        <f>H60+I119</f>
        <v>22.519730311941146</v>
      </c>
      <c r="J60" s="214">
        <f ca="1">I60+J119</f>
        <v>33.545552217020031</v>
      </c>
      <c r="K60" s="214">
        <f ca="1">J60+K119</f>
        <v>46.071928574382142</v>
      </c>
      <c r="L60" s="214">
        <f ca="1">K60+L119</f>
        <v>59.993804262544216</v>
      </c>
      <c r="M60" s="50"/>
    </row>
    <row r="61" spans="1:13" ht="13.5" customHeight="1" outlineLevel="1">
      <c r="A61" s="82"/>
      <c r="C61" s="91" t="s">
        <v>146</v>
      </c>
      <c r="F61" s="96">
        <f>SUM('Financials from CIP'!D47:D48)/1000</f>
        <v>16.781419000000003</v>
      </c>
      <c r="G61" s="96">
        <f>SUM('Financials from CIP'!E47:E48)/1000</f>
        <v>22.284721999999999</v>
      </c>
      <c r="H61" s="149">
        <f>H130</f>
        <v>24.012610811683217</v>
      </c>
      <c r="I61" s="149">
        <f t="shared" ref="I61:L61" si="17">I130</f>
        <v>27.695031965240773</v>
      </c>
      <c r="J61" s="149">
        <f t="shared" si="17"/>
        <v>31.111314829301037</v>
      </c>
      <c r="K61" s="149">
        <f t="shared" si="17"/>
        <v>34.015669157916122</v>
      </c>
      <c r="L61" s="149">
        <f t="shared" si="17"/>
        <v>36.170685445667161</v>
      </c>
      <c r="M61" s="50"/>
    </row>
    <row r="62" spans="1:13" ht="13.5" customHeight="1" outlineLevel="1">
      <c r="A62" s="82"/>
      <c r="C62" s="91" t="s">
        <v>31</v>
      </c>
      <c r="F62" s="96">
        <f>'Financials from CIP'!D49/1000</f>
        <v>0.80490099999999998</v>
      </c>
      <c r="G62" s="96">
        <f>'Financials from CIP'!E49/1000</f>
        <v>1.161057</v>
      </c>
      <c r="H62" s="149">
        <f t="shared" ref="H62:L63" si="18">H131</f>
        <v>1.2029011201180084</v>
      </c>
      <c r="I62" s="149">
        <f t="shared" si="18"/>
        <v>1.3873703794209342</v>
      </c>
      <c r="J62" s="149">
        <f t="shared" si="18"/>
        <v>1.558507558799139</v>
      </c>
      <c r="K62" s="149">
        <f t="shared" si="18"/>
        <v>1.7039999045715051</v>
      </c>
      <c r="L62" s="149">
        <f t="shared" si="18"/>
        <v>1.8119544925477122</v>
      </c>
      <c r="M62" s="50"/>
    </row>
    <row r="63" spans="1:13" ht="13.5" customHeight="1" outlineLevel="1">
      <c r="A63" s="82"/>
      <c r="C63" s="91" t="s">
        <v>84</v>
      </c>
      <c r="F63" s="96">
        <f>'Financials from CIP'!D50/1000</f>
        <v>0.26978399999999997</v>
      </c>
      <c r="G63" s="96">
        <f>'Financials from CIP'!E50/1000</f>
        <v>0.34491899999999998</v>
      </c>
      <c r="H63" s="149">
        <f t="shared" si="18"/>
        <v>0.3792215684283346</v>
      </c>
      <c r="I63" s="149">
        <f t="shared" si="18"/>
        <v>0.43737657441320382</v>
      </c>
      <c r="J63" s="149">
        <f t="shared" si="18"/>
        <v>0.49132856472628733</v>
      </c>
      <c r="K63" s="149">
        <f t="shared" si="18"/>
        <v>0.53719587221761422</v>
      </c>
      <c r="L63" s="149">
        <f t="shared" si="18"/>
        <v>0.57122918342390505</v>
      </c>
      <c r="M63" s="50"/>
    </row>
    <row r="64" spans="1:13" ht="13.5" customHeight="1" outlineLevel="1">
      <c r="A64" s="82"/>
      <c r="C64" s="76" t="s">
        <v>33</v>
      </c>
      <c r="D64" s="77"/>
      <c r="E64" s="77"/>
      <c r="F64" s="93">
        <f>SUM(F60:F63)</f>
        <v>24.961756000000005</v>
      </c>
      <c r="G64" s="93">
        <f>SUM(G60:G63)</f>
        <v>26.74869</v>
      </c>
      <c r="H64" s="93">
        <f t="shared" ref="H64:L64" si="19">SUM(H60:H63)</f>
        <v>38.600665842467151</v>
      </c>
      <c r="I64" s="93">
        <f t="shared" si="19"/>
        <v>52.039509231016062</v>
      </c>
      <c r="J64" s="93">
        <f t="shared" ca="1" si="19"/>
        <v>66.706703169846492</v>
      </c>
      <c r="K64" s="93">
        <f t="shared" ca="1" si="19"/>
        <v>82.328793509087376</v>
      </c>
      <c r="L64" s="93">
        <f t="shared" ca="1" si="19"/>
        <v>98.547673384183</v>
      </c>
    </row>
    <row r="65" spans="1:13" ht="13.5" customHeight="1" outlineLevel="1">
      <c r="A65" s="82"/>
      <c r="C65" s="91" t="s">
        <v>85</v>
      </c>
      <c r="D65" s="95"/>
      <c r="E65" s="95"/>
      <c r="F65" s="96"/>
      <c r="G65" s="96"/>
      <c r="H65" s="177">
        <f>G67+H36</f>
        <v>58.293925606259535</v>
      </c>
      <c r="I65" s="177">
        <f>H65+I36</f>
        <v>61.302957891314072</v>
      </c>
      <c r="J65" s="177">
        <f>I65+J36</f>
        <v>64.683165246530564</v>
      </c>
      <c r="K65" s="177">
        <f>J65+K36</f>
        <v>68.378927245374442</v>
      </c>
      <c r="L65" s="177">
        <f>K65+L36</f>
        <v>72.308829200900803</v>
      </c>
      <c r="M65" s="50"/>
    </row>
    <row r="66" spans="1:13" ht="13.5" customHeight="1" outlineLevel="1">
      <c r="A66" s="82"/>
      <c r="C66" s="91" t="s">
        <v>86</v>
      </c>
      <c r="D66" s="95"/>
      <c r="E66" s="95"/>
      <c r="F66" s="96"/>
      <c r="G66" s="96"/>
      <c r="H66" s="177">
        <f>G66-H20</f>
        <v>-5.829392560625954</v>
      </c>
      <c r="I66" s="177">
        <f>H66-I20</f>
        <v>-11.959688349757361</v>
      </c>
      <c r="J66" s="177">
        <f ca="1">I66-J20</f>
        <v>-18.428004874410419</v>
      </c>
      <c r="K66" s="177">
        <f ca="1">J66-K20</f>
        <v>-25.265897598947866</v>
      </c>
      <c r="L66" s="177">
        <f ca="1">K66-L20</f>
        <v>-32.496780519037948</v>
      </c>
      <c r="M66" s="50"/>
    </row>
    <row r="67" spans="1:13" ht="13.5" customHeight="1" outlineLevel="1">
      <c r="A67" s="82"/>
      <c r="C67" s="76" t="s">
        <v>34</v>
      </c>
      <c r="D67" s="77"/>
      <c r="E67" s="77"/>
      <c r="F67" s="131">
        <f>'Financials from CIP'!D53/1000</f>
        <v>54.584699999999998</v>
      </c>
      <c r="G67" s="131">
        <f>'Financials from CIP'!E53/1000</f>
        <v>55.684984</v>
      </c>
      <c r="H67" s="93">
        <f>SUM(H65:H66)</f>
        <v>52.46453304563358</v>
      </c>
      <c r="I67" s="93">
        <f>SUM(I65:I66)</f>
        <v>49.343269541556708</v>
      </c>
      <c r="J67" s="93">
        <f ca="1">SUM(J65:J66)</f>
        <v>46.255160372120145</v>
      </c>
      <c r="K67" s="93">
        <f ca="1">SUM(K65:K66)</f>
        <v>43.113029646426575</v>
      </c>
      <c r="L67" s="93">
        <f ca="1">SUM(L65:L66)</f>
        <v>39.812048681862855</v>
      </c>
    </row>
    <row r="68" spans="1:13" ht="13.5" customHeight="1" outlineLevel="1">
      <c r="A68" s="82"/>
      <c r="C68" s="98" t="s">
        <v>87</v>
      </c>
      <c r="D68" s="95"/>
      <c r="E68" s="95"/>
      <c r="F68" s="99">
        <v>0</v>
      </c>
      <c r="G68" s="99">
        <v>0</v>
      </c>
      <c r="H68" s="99">
        <v>0</v>
      </c>
      <c r="I68" s="99">
        <v>0</v>
      </c>
      <c r="J68" s="99">
        <v>0</v>
      </c>
      <c r="K68" s="99">
        <v>0</v>
      </c>
      <c r="L68" s="99">
        <v>0</v>
      </c>
      <c r="M68" s="50"/>
    </row>
    <row r="69" spans="1:13" ht="13.5" customHeight="1" outlineLevel="1">
      <c r="A69" s="82"/>
      <c r="C69" s="98" t="s">
        <v>88</v>
      </c>
      <c r="D69" s="95"/>
      <c r="E69" s="95"/>
      <c r="F69" s="96">
        <f>'Financials from CIP'!D54/1000</f>
        <v>4.378482</v>
      </c>
      <c r="G69" s="96">
        <f>'Financials from CIP'!E54/1000</f>
        <v>4.5043699999999998</v>
      </c>
      <c r="H69" s="177">
        <f>G69-H21</f>
        <v>4.2664179999999998</v>
      </c>
      <c r="I69" s="177">
        <f>H69-I21</f>
        <v>4.0284659999999999</v>
      </c>
      <c r="J69" s="177">
        <f>I69-J21</f>
        <v>3.7905139999999999</v>
      </c>
      <c r="K69" s="177">
        <f>J69-K21</f>
        <v>3.552562</v>
      </c>
      <c r="L69" s="177">
        <f>K69-L21</f>
        <v>3.3146100000000001</v>
      </c>
      <c r="M69" s="50"/>
    </row>
    <row r="70" spans="1:13" ht="13.5" customHeight="1" outlineLevel="1">
      <c r="A70" s="82"/>
      <c r="C70" s="100" t="s">
        <v>36</v>
      </c>
      <c r="D70" s="101"/>
      <c r="E70" s="101"/>
      <c r="F70" s="102">
        <f>SUM(F64,F67:F69)</f>
        <v>83.924938000000012</v>
      </c>
      <c r="G70" s="102">
        <f>SUM(G64,G67:G69)</f>
        <v>86.938043999999991</v>
      </c>
      <c r="H70" s="102">
        <f t="shared" ref="H70:L70" si="20">SUM(H64,H67:H69)</f>
        <v>95.331616888100726</v>
      </c>
      <c r="I70" s="102">
        <f t="shared" si="20"/>
        <v>105.41124477257277</v>
      </c>
      <c r="J70" s="102">
        <f t="shared" ca="1" si="20"/>
        <v>116.75237754196664</v>
      </c>
      <c r="K70" s="102">
        <f t="shared" ca="1" si="20"/>
        <v>128.99438515551395</v>
      </c>
      <c r="L70" s="102">
        <f t="shared" ca="1" si="20"/>
        <v>141.67433206604585</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49">
        <f>H135</f>
        <v>3.2375302691281114</v>
      </c>
      <c r="I74" s="149">
        <f t="shared" ref="I74:L74" si="21">I135</f>
        <v>3.7340173042871405</v>
      </c>
      <c r="J74" s="149">
        <f t="shared" si="21"/>
        <v>4.1946219118843056</v>
      </c>
      <c r="K74" s="149">
        <f t="shared" si="21"/>
        <v>4.5862051147649199</v>
      </c>
      <c r="L74" s="149">
        <f t="shared" si="21"/>
        <v>4.8767578795922875</v>
      </c>
      <c r="M74" s="50"/>
    </row>
    <row r="75" spans="1:13" ht="13.5" customHeight="1" outlineLevel="1">
      <c r="A75" s="82"/>
      <c r="C75" s="91" t="s">
        <v>38</v>
      </c>
      <c r="D75" s="95"/>
      <c r="E75" s="95"/>
      <c r="F75" s="96">
        <f>'Financials from CIP'!D59/1000</f>
        <v>2.3839329999999999</v>
      </c>
      <c r="G75" s="96">
        <f>'Financials from CIP'!E59/1000</f>
        <v>2.7880379999999998</v>
      </c>
      <c r="H75" s="149">
        <f t="shared" ref="H75:L76" si="22">H136</f>
        <v>3.1966854452582232</v>
      </c>
      <c r="I75" s="149">
        <f t="shared" si="22"/>
        <v>3.6869087782063024</v>
      </c>
      <c r="J75" s="149">
        <f t="shared" si="22"/>
        <v>4.1417023778724023</v>
      </c>
      <c r="K75" s="149">
        <f t="shared" si="22"/>
        <v>4.5283453498910609</v>
      </c>
      <c r="L75" s="149">
        <f t="shared" si="22"/>
        <v>4.8152324882940372</v>
      </c>
      <c r="M75" s="50"/>
    </row>
    <row r="76" spans="1:13" ht="13.5" customHeight="1" outlineLevel="1">
      <c r="A76" s="82"/>
      <c r="C76" s="91" t="s">
        <v>39</v>
      </c>
      <c r="D76" s="95"/>
      <c r="E76" s="95"/>
      <c r="F76" s="96">
        <f>'Financials from CIP'!D60/1000</f>
        <v>2.0579079999999998</v>
      </c>
      <c r="G76" s="96">
        <f>'Financials from CIP'!E60/1000</f>
        <v>3.2020309999999998</v>
      </c>
      <c r="H76" s="149">
        <f t="shared" si="22"/>
        <v>3.2317636858846019</v>
      </c>
      <c r="I76" s="149">
        <f t="shared" si="22"/>
        <v>3.727366394541769</v>
      </c>
      <c r="J76" s="149">
        <f t="shared" si="22"/>
        <v>4.1871505882458564</v>
      </c>
      <c r="K76" s="149">
        <f t="shared" si="22"/>
        <v>4.5780363159066395</v>
      </c>
      <c r="L76" s="149">
        <f t="shared" si="22"/>
        <v>4.8680715576328382</v>
      </c>
      <c r="M76" s="50"/>
    </row>
    <row r="77" spans="1:13" ht="13.5" customHeight="1" outlineLevel="1">
      <c r="A77" s="82"/>
      <c r="C77" s="76" t="s">
        <v>40</v>
      </c>
      <c r="D77" s="77"/>
      <c r="E77" s="77"/>
      <c r="F77" s="93">
        <f>SUM(F74:F76)</f>
        <v>7.2476579999999995</v>
      </c>
      <c r="G77" s="93">
        <f>SUM(G74:G76)</f>
        <v>8.3507789999999993</v>
      </c>
      <c r="H77" s="93">
        <f t="shared" ref="H77:L77" si="23">SUM(H74:H76)</f>
        <v>9.6659794002709365</v>
      </c>
      <c r="I77" s="93">
        <f t="shared" si="23"/>
        <v>11.148292477035213</v>
      </c>
      <c r="J77" s="93">
        <f t="shared" si="23"/>
        <v>12.523474878002563</v>
      </c>
      <c r="K77" s="93">
        <f t="shared" si="23"/>
        <v>13.692586780562621</v>
      </c>
      <c r="L77" s="93">
        <f t="shared" si="23"/>
        <v>14.560061925519163</v>
      </c>
    </row>
    <row r="78" spans="1:13" ht="13.5" customHeight="1" outlineLevel="1">
      <c r="C78" s="91" t="s">
        <v>41</v>
      </c>
      <c r="D78" s="95"/>
      <c r="E78" s="95"/>
      <c r="F78" s="96">
        <f>'Financials from CIP'!D63/1000</f>
        <v>0.64588299999999998</v>
      </c>
      <c r="G78" s="96">
        <f>'Financials from CIP'!E63/1000</f>
        <v>1.2892999999999999</v>
      </c>
      <c r="H78" s="149">
        <f>H232</f>
        <v>1.2892999999999999</v>
      </c>
      <c r="I78" s="149">
        <f>I232</f>
        <v>1.2892999999999999</v>
      </c>
      <c r="J78" s="149">
        <f>J232</f>
        <v>1.2892999999999999</v>
      </c>
      <c r="K78" s="149">
        <f>K232</f>
        <v>1.2892999999999999</v>
      </c>
      <c r="L78" s="149">
        <f>L232</f>
        <v>1.2892999999999999</v>
      </c>
      <c r="M78" s="50"/>
    </row>
    <row r="79" spans="1:13" ht="13.5" customHeight="1" outlineLevel="1">
      <c r="C79" s="91" t="s">
        <v>42</v>
      </c>
      <c r="D79" s="95"/>
      <c r="E79" s="95"/>
      <c r="F79" s="96">
        <f>'Financials from CIP'!D64/1000</f>
        <v>18.943222000000002</v>
      </c>
      <c r="G79" s="96">
        <f>'Financials from CIP'!E64/1000</f>
        <v>12.001450999999999</v>
      </c>
      <c r="H79" s="149">
        <f>H241</f>
        <v>9.6011607999999988</v>
      </c>
      <c r="I79" s="149">
        <f>I241</f>
        <v>7.2008705999999982</v>
      </c>
      <c r="J79" s="149">
        <f>J241</f>
        <v>4.8005803999999976</v>
      </c>
      <c r="K79" s="149">
        <f>K241</f>
        <v>2.4002901999999975</v>
      </c>
      <c r="L79" s="149">
        <f>L241</f>
        <v>0</v>
      </c>
      <c r="M79" s="50"/>
    </row>
    <row r="80" spans="1:13" ht="13.5" customHeight="1" outlineLevel="1">
      <c r="C80" s="91" t="s">
        <v>90</v>
      </c>
      <c r="D80" s="95"/>
      <c r="E80" s="95"/>
      <c r="F80" s="96">
        <f>'Financials from CIP'!D65/1000</f>
        <v>0.54533299999999996</v>
      </c>
      <c r="G80" s="96">
        <f>'Financials from CIP'!E65/1000</f>
        <v>8.5337999999999997E-2</v>
      </c>
      <c r="H80" s="149">
        <f>H247</f>
        <v>6.8270399999999995E-2</v>
      </c>
      <c r="I80" s="149">
        <f>I247</f>
        <v>5.1202799999999993E-2</v>
      </c>
      <c r="J80" s="149">
        <f>J247</f>
        <v>3.4135199999999991E-2</v>
      </c>
      <c r="K80" s="149">
        <f>K247</f>
        <v>1.7067599999999992E-2</v>
      </c>
      <c r="L80" s="149">
        <f>L247</f>
        <v>0</v>
      </c>
      <c r="M80" s="50"/>
    </row>
    <row r="81" spans="1:13" ht="13.5" customHeight="1" outlineLevel="1">
      <c r="C81" s="91" t="s">
        <v>91</v>
      </c>
      <c r="D81" s="95"/>
      <c r="E81" s="95"/>
      <c r="F81" s="96">
        <f>'Financials from CIP'!D66/1000</f>
        <v>9.2447999999999989E-2</v>
      </c>
      <c r="G81" s="96">
        <f>'Financials from CIP'!E66/1000</f>
        <v>1.2666999999999999E-2</v>
      </c>
      <c r="H81" s="149">
        <f>H253</f>
        <v>1.203365E-2</v>
      </c>
      <c r="I81" s="149">
        <f>I253</f>
        <v>1.14003E-2</v>
      </c>
      <c r="J81" s="149">
        <f>J253</f>
        <v>1.0766950000000001E-2</v>
      </c>
      <c r="K81" s="149">
        <f>K253</f>
        <v>1.0133600000000001E-2</v>
      </c>
      <c r="L81" s="149">
        <f>L253</f>
        <v>0</v>
      </c>
      <c r="M81" s="50"/>
    </row>
    <row r="82" spans="1:13" ht="13.5" customHeight="1" outlineLevel="1">
      <c r="A82" s="82"/>
      <c r="C82" s="76" t="s">
        <v>92</v>
      </c>
      <c r="D82" s="77"/>
      <c r="E82" s="77"/>
      <c r="F82" s="93">
        <f>SUM(F78:F81)</f>
        <v>20.226886000000004</v>
      </c>
      <c r="G82" s="93">
        <f>SUM(G78:G81)</f>
        <v>13.388756000000001</v>
      </c>
      <c r="H82" s="93">
        <f t="shared" ref="H82:L82" si="24">SUM(H78:H81)</f>
        <v>10.970764849999998</v>
      </c>
      <c r="I82" s="93">
        <f t="shared" si="24"/>
        <v>8.5527736999999995</v>
      </c>
      <c r="J82" s="93">
        <f t="shared" si="24"/>
        <v>6.1347825499999971</v>
      </c>
      <c r="K82" s="93">
        <f t="shared" si="24"/>
        <v>3.7167913999999973</v>
      </c>
      <c r="L82" s="93">
        <f t="shared" si="24"/>
        <v>1.2892999999999999</v>
      </c>
    </row>
    <row r="83" spans="1:13" ht="13.5" customHeight="1" outlineLevel="1">
      <c r="A83" s="82"/>
      <c r="C83" s="68" t="s">
        <v>93</v>
      </c>
      <c r="F83" s="96">
        <f>'Financials from CIP'!D67/1000</f>
        <v>0.41787400000000002</v>
      </c>
      <c r="G83" s="96">
        <f>'Financials from CIP'!E67/1000</f>
        <v>0.42988799999999999</v>
      </c>
      <c r="H83" s="149">
        <f>G83</f>
        <v>0.42988799999999999</v>
      </c>
      <c r="I83" s="149">
        <f>H83</f>
        <v>0.42988799999999999</v>
      </c>
      <c r="J83" s="149">
        <f>I83</f>
        <v>0.42988799999999999</v>
      </c>
      <c r="K83" s="149">
        <f>J83</f>
        <v>0.42988799999999999</v>
      </c>
      <c r="L83" s="149">
        <f>K83</f>
        <v>0.42988799999999999</v>
      </c>
      <c r="M83" s="50"/>
    </row>
    <row r="84" spans="1:13" ht="13.5" customHeight="1" outlineLevel="1">
      <c r="A84" s="82"/>
      <c r="C84" s="76" t="s">
        <v>94</v>
      </c>
      <c r="D84" s="77"/>
      <c r="E84" s="77"/>
      <c r="F84" s="93">
        <f>SUM(F77,F82:F83)</f>
        <v>27.892418000000003</v>
      </c>
      <c r="G84" s="93">
        <f>SUM(G77,G82:G83)</f>
        <v>22.169422999999998</v>
      </c>
      <c r="H84" s="93">
        <f t="shared" ref="H84:L84" si="25">SUM(H77,H82:H83)</f>
        <v>21.066632250270935</v>
      </c>
      <c r="I84" s="93">
        <f t="shared" si="25"/>
        <v>20.130954177035211</v>
      </c>
      <c r="J84" s="93">
        <f t="shared" si="25"/>
        <v>19.088145428002559</v>
      </c>
      <c r="K84" s="93">
        <f t="shared" si="25"/>
        <v>17.839266180562618</v>
      </c>
      <c r="L84" s="93">
        <f t="shared" si="25"/>
        <v>16.27924992551916</v>
      </c>
      <c r="M84" s="82"/>
    </row>
    <row r="85" spans="1:13" ht="13.5" customHeight="1" outlineLevel="1">
      <c r="A85" s="82"/>
      <c r="C85" s="98" t="s">
        <v>47</v>
      </c>
      <c r="F85" s="96">
        <f>'Financials from CIP'!D71/1000</f>
        <v>7.7836338279007267</v>
      </c>
      <c r="G85" s="96">
        <f>'Financials from CIP'!E71/1000</f>
        <v>8.9161157153081838</v>
      </c>
      <c r="H85" s="149">
        <f>G85</f>
        <v>8.9161157153081838</v>
      </c>
      <c r="I85" s="149">
        <f>H85</f>
        <v>8.9161157153081838</v>
      </c>
      <c r="J85" s="149">
        <f>I85</f>
        <v>8.9161157153081838</v>
      </c>
      <c r="K85" s="149">
        <f>J85</f>
        <v>8.9161157153081838</v>
      </c>
      <c r="L85" s="149">
        <f>K85</f>
        <v>8.9161157153081838</v>
      </c>
      <c r="M85" s="50"/>
    </row>
    <row r="86" spans="1:13" ht="13.5" customHeight="1" outlineLevel="1">
      <c r="A86" s="82"/>
      <c r="C86" s="98" t="s">
        <v>48</v>
      </c>
      <c r="F86" s="96">
        <f>'Financials from CIP'!D72/1000</f>
        <v>48.248887000000003</v>
      </c>
      <c r="G86" s="96">
        <f>'Financials from CIP'!E72/1000</f>
        <v>55.852504780500006</v>
      </c>
      <c r="H86" s="149">
        <f>G86+H33</f>
        <v>62.930877268329802</v>
      </c>
      <c r="I86" s="149">
        <f>H86+I33</f>
        <v>71.528192076037556</v>
      </c>
      <c r="J86" s="149">
        <f ca="1">I86+J33</f>
        <v>81.494142444464075</v>
      </c>
      <c r="K86" s="149">
        <f ca="1">J86+K33</f>
        <v>92.567038155451343</v>
      </c>
      <c r="L86" s="149">
        <f ca="1">K86+L33</f>
        <v>104.37950992102668</v>
      </c>
      <c r="M86" s="50"/>
    </row>
    <row r="87" spans="1:13" ht="13.5" customHeight="1" outlineLevel="1">
      <c r="A87" s="82"/>
      <c r="C87" s="100" t="s">
        <v>95</v>
      </c>
      <c r="D87" s="101"/>
      <c r="E87" s="101"/>
      <c r="F87" s="105">
        <f>SUM(F84:F86)</f>
        <v>83.924938827900732</v>
      </c>
      <c r="G87" s="105">
        <f>SUM(G84:G86)</f>
        <v>86.938043495808188</v>
      </c>
      <c r="H87" s="105">
        <f t="shared" ref="H87:L87" si="26">SUM(H84:H86)</f>
        <v>92.913625233908917</v>
      </c>
      <c r="I87" s="105">
        <f t="shared" si="26"/>
        <v>100.57526196838094</v>
      </c>
      <c r="J87" s="105">
        <f t="shared" ca="1" si="26"/>
        <v>109.49840358777482</v>
      </c>
      <c r="K87" s="105">
        <f t="shared" ca="1" si="26"/>
        <v>119.32242005132214</v>
      </c>
      <c r="L87" s="105">
        <f t="shared" ca="1" si="26"/>
        <v>129.57487556185401</v>
      </c>
      <c r="M87" s="82"/>
    </row>
    <row r="88" spans="1:13" s="106" customFormat="1" ht="13.5" customHeight="1" outlineLevel="1">
      <c r="A88" s="82"/>
      <c r="C88" s="107"/>
      <c r="D88" s="108"/>
      <c r="E88" s="108"/>
      <c r="F88" s="109"/>
      <c r="G88" s="109"/>
      <c r="H88" s="109"/>
      <c r="I88" s="109"/>
      <c r="J88" s="109"/>
      <c r="K88" s="109"/>
      <c r="L88" s="109"/>
      <c r="M88" s="82"/>
    </row>
    <row r="89" spans="1:13" s="114" customFormat="1" ht="13.5" customHeight="1" outlineLevel="1">
      <c r="A89" s="82"/>
      <c r="B89" s="110"/>
      <c r="C89" s="167" t="s">
        <v>142</v>
      </c>
      <c r="D89" s="111"/>
      <c r="E89" s="111"/>
      <c r="F89" s="178">
        <f t="shared" ref="F89:L89" si="27">F87-F70</f>
        <v>8.2790072042371321E-7</v>
      </c>
      <c r="G89" s="178">
        <f t="shared" si="27"/>
        <v>-5.0419180297467392E-7</v>
      </c>
      <c r="H89" s="178">
        <f t="shared" si="27"/>
        <v>-2.4179916541918089</v>
      </c>
      <c r="I89" s="178">
        <f t="shared" si="27"/>
        <v>-4.8359828041918291</v>
      </c>
      <c r="J89" s="178">
        <f t="shared" ca="1" si="27"/>
        <v>-7.2539739541918209</v>
      </c>
      <c r="K89" s="178">
        <f t="shared" ca="1" si="27"/>
        <v>-9.6719651041918127</v>
      </c>
      <c r="L89" s="178">
        <f t="shared" ca="1" si="27"/>
        <v>-12.099456504191835</v>
      </c>
      <c r="M89" s="50"/>
    </row>
    <row r="90" spans="1:13" ht="5.0999999999999996" customHeight="1" outlineLevel="1" thickBot="1">
      <c r="A90" s="82"/>
      <c r="C90" s="115"/>
      <c r="D90" s="115"/>
      <c r="E90" s="115"/>
      <c r="F90" s="116"/>
      <c r="G90" s="116"/>
      <c r="H90" s="116"/>
      <c r="I90" s="116"/>
      <c r="J90" s="116"/>
      <c r="K90" s="116"/>
      <c r="L90" s="116"/>
    </row>
    <row r="91" spans="1:13" ht="13.5" customHeight="1" outlineLevel="1">
      <c r="A91" s="82"/>
      <c r="C91" s="118"/>
      <c r="D91" s="118"/>
      <c r="E91" s="118"/>
    </row>
    <row r="92" spans="1:13" ht="13.5" customHeight="1" outlineLevel="1" thickBot="1">
      <c r="C92" s="118"/>
      <c r="D92" s="118"/>
      <c r="E92" s="118"/>
      <c r="M92" s="50"/>
    </row>
    <row r="93" spans="1:13" ht="21.75" thickTop="1">
      <c r="B93" s="46" t="s">
        <v>61</v>
      </c>
      <c r="C93" s="47" t="s">
        <v>178</v>
      </c>
      <c r="D93" s="48"/>
      <c r="E93" s="49"/>
      <c r="F93" s="49"/>
      <c r="G93" s="49"/>
      <c r="H93" s="49"/>
      <c r="I93" s="49"/>
      <c r="J93" s="49"/>
      <c r="K93" s="49"/>
      <c r="L93" s="49"/>
    </row>
    <row r="94" spans="1:13" ht="5.0999999999999996" customHeight="1" outlineLevel="1">
      <c r="C94" s="51"/>
      <c r="D94" s="52"/>
    </row>
    <row r="95" spans="1:13" ht="13.5" customHeight="1" outlineLevel="1">
      <c r="C95" s="53"/>
      <c r="D95" s="53"/>
      <c r="E95" s="53"/>
      <c r="F95" s="54" t="s">
        <v>63</v>
      </c>
      <c r="G95" s="54" t="s">
        <v>63</v>
      </c>
      <c r="H95" s="55" t="s">
        <v>64</v>
      </c>
      <c r="I95" s="55"/>
      <c r="J95" s="55"/>
      <c r="K95" s="55"/>
      <c r="L95" s="55"/>
    </row>
    <row r="96" spans="1:13" ht="13.5" customHeight="1" outlineLevel="1" thickBot="1">
      <c r="C96" s="56" t="s">
        <v>65</v>
      </c>
      <c r="D96" s="57"/>
      <c r="E96" s="57"/>
      <c r="F96" s="58">
        <f>F$11</f>
        <v>45291</v>
      </c>
      <c r="G96" s="58">
        <f>G$11</f>
        <v>45657</v>
      </c>
      <c r="H96" s="58">
        <f t="shared" ref="H96:L96" si="28">H$11</f>
        <v>46022</v>
      </c>
      <c r="I96" s="58">
        <f t="shared" si="28"/>
        <v>46387</v>
      </c>
      <c r="J96" s="58">
        <f t="shared" si="28"/>
        <v>46752</v>
      </c>
      <c r="K96" s="58">
        <f t="shared" si="28"/>
        <v>47118</v>
      </c>
      <c r="L96" s="58">
        <f t="shared" si="28"/>
        <v>47483</v>
      </c>
    </row>
    <row r="97" spans="1:13" ht="5.0999999999999996" customHeight="1" outlineLevel="1">
      <c r="C97" s="59"/>
      <c r="D97" s="59"/>
      <c r="E97" s="59"/>
      <c r="F97" s="60"/>
      <c r="G97" s="60"/>
      <c r="H97" s="60"/>
      <c r="I97" s="60"/>
      <c r="J97" s="60"/>
      <c r="K97" s="60"/>
    </row>
    <row r="98" spans="1:13" ht="13.5" customHeight="1" outlineLevel="1">
      <c r="C98" s="84" t="s">
        <v>179</v>
      </c>
      <c r="D98" s="85"/>
      <c r="E98" s="86"/>
      <c r="F98" s="86"/>
      <c r="G98" s="86"/>
      <c r="H98" s="86"/>
      <c r="I98" s="86"/>
      <c r="J98" s="86"/>
      <c r="K98" s="86"/>
      <c r="L98" s="87"/>
      <c r="M98" s="50"/>
    </row>
    <row r="99" spans="1:13" ht="13.5" customHeight="1" outlineLevel="1">
      <c r="C99" s="118"/>
      <c r="D99" s="118"/>
      <c r="E99" s="118"/>
    </row>
    <row r="100" spans="1:13" ht="13.5" customHeight="1" outlineLevel="1">
      <c r="C100" s="68" t="s">
        <v>22</v>
      </c>
      <c r="D100" s="68"/>
      <c r="E100" s="68"/>
      <c r="F100" s="68"/>
      <c r="G100" s="147"/>
      <c r="H100" s="149">
        <f>H33</f>
        <v>7.078372487829796</v>
      </c>
      <c r="I100" s="149">
        <f>I33</f>
        <v>8.5973148077077592</v>
      </c>
      <c r="J100" s="149">
        <f ca="1">J33</f>
        <v>9.965950368426526</v>
      </c>
      <c r="K100" s="149">
        <f ca="1">K33</f>
        <v>11.072895710987275</v>
      </c>
      <c r="L100" s="149">
        <f ca="1">L33</f>
        <v>11.812471765575342</v>
      </c>
      <c r="M100" s="50"/>
    </row>
    <row r="101" spans="1:13" ht="13.5" customHeight="1" outlineLevel="1">
      <c r="C101" s="91" t="s">
        <v>15</v>
      </c>
      <c r="D101" s="68"/>
      <c r="E101" s="68"/>
      <c r="F101" s="68"/>
      <c r="G101" s="154"/>
      <c r="H101" s="149">
        <f>H20</f>
        <v>5.829392560625954</v>
      </c>
      <c r="I101" s="149">
        <f>I20</f>
        <v>6.1302957891314076</v>
      </c>
      <c r="J101" s="149">
        <f ca="1">J20</f>
        <v>6.4683165246530567</v>
      </c>
      <c r="K101" s="149">
        <f ca="1">K20</f>
        <v>6.8378927245374452</v>
      </c>
      <c r="L101" s="149">
        <f ca="1">L20</f>
        <v>7.2308829200900817</v>
      </c>
      <c r="M101" s="50"/>
    </row>
    <row r="102" spans="1:13" ht="13.5" customHeight="1" outlineLevel="1">
      <c r="C102" s="91" t="s">
        <v>183</v>
      </c>
      <c r="D102" s="68"/>
      <c r="E102" s="68"/>
      <c r="F102" s="68"/>
      <c r="G102" s="154"/>
      <c r="H102" s="149">
        <f>H21</f>
        <v>0.237952</v>
      </c>
      <c r="I102" s="149">
        <f t="shared" ref="I102:L102" si="29">I21</f>
        <v>0.237952</v>
      </c>
      <c r="J102" s="149">
        <f t="shared" si="29"/>
        <v>0.237952</v>
      </c>
      <c r="K102" s="149">
        <f t="shared" si="29"/>
        <v>0.237952</v>
      </c>
      <c r="L102" s="149">
        <f t="shared" si="29"/>
        <v>0.237952</v>
      </c>
      <c r="M102" s="50"/>
    </row>
    <row r="103" spans="1:13" ht="13.5" customHeight="1" outlineLevel="1">
      <c r="C103" s="65" t="s">
        <v>185</v>
      </c>
      <c r="D103" s="65"/>
      <c r="E103" s="65"/>
      <c r="F103" s="65"/>
      <c r="G103" s="197"/>
      <c r="H103" s="198">
        <f>SUM(H100:H102)</f>
        <v>13.145717048455751</v>
      </c>
      <c r="I103" s="198">
        <f t="shared" ref="I103:L103" si="30">SUM(I100:I102)</f>
        <v>14.965562596839167</v>
      </c>
      <c r="J103" s="198">
        <f t="shared" ca="1" si="30"/>
        <v>16.672218893079581</v>
      </c>
      <c r="K103" s="198">
        <f t="shared" ca="1" si="30"/>
        <v>18.148740435524722</v>
      </c>
      <c r="L103" s="198">
        <f t="shared" ca="1" si="30"/>
        <v>19.281306685665424</v>
      </c>
      <c r="M103" s="50"/>
    </row>
    <row r="104" spans="1:13" ht="13.5" customHeight="1" outlineLevel="1">
      <c r="C104" s="91" t="s">
        <v>187</v>
      </c>
      <c r="D104" s="68"/>
      <c r="E104" s="68"/>
      <c r="F104" s="68"/>
      <c r="G104" s="154"/>
      <c r="H104" s="149">
        <f>-(H141)</f>
        <v>-0.48883509995862262</v>
      </c>
      <c r="I104" s="149">
        <f>-(I141)</f>
        <v>-2.442732342081074</v>
      </c>
      <c r="J104" s="149">
        <f>-(J141)</f>
        <v>-2.2661896327842008</v>
      </c>
      <c r="K104" s="149">
        <f>-(K141)</f>
        <v>-1.9266020793187231</v>
      </c>
      <c r="L104" s="149">
        <f>-(L141)</f>
        <v>-1.4295290419769913</v>
      </c>
      <c r="M104" s="50"/>
    </row>
    <row r="105" spans="1:13" ht="13.5" customHeight="1" outlineLevel="1">
      <c r="C105" s="180" t="s">
        <v>189</v>
      </c>
      <c r="D105" s="180"/>
      <c r="E105" s="180"/>
      <c r="F105" s="180"/>
      <c r="G105" s="199"/>
      <c r="H105" s="200">
        <f>+SUM(H103:H104)</f>
        <v>12.656881948497128</v>
      </c>
      <c r="I105" s="200">
        <f t="shared" ref="I105:L105" si="31">+SUM(I103:I104)</f>
        <v>12.522830254758093</v>
      </c>
      <c r="J105" s="200">
        <f t="shared" ca="1" si="31"/>
        <v>14.40602926029538</v>
      </c>
      <c r="K105" s="200">
        <f t="shared" ca="1" si="31"/>
        <v>16.222138356205999</v>
      </c>
      <c r="L105" s="200">
        <f t="shared" ca="1" si="31"/>
        <v>17.851777643688433</v>
      </c>
      <c r="M105" s="50"/>
    </row>
    <row r="106" spans="1:13" ht="13.5" customHeight="1" outlineLevel="1">
      <c r="C106" s="68"/>
      <c r="D106" s="68"/>
      <c r="E106" s="68"/>
      <c r="F106" s="68"/>
      <c r="G106" s="154"/>
      <c r="H106" s="154"/>
      <c r="I106" s="154"/>
      <c r="J106" s="154"/>
      <c r="K106" s="154"/>
      <c r="L106" s="154"/>
    </row>
    <row r="107" spans="1:13" ht="13.5" customHeight="1" outlineLevel="1">
      <c r="C107" s="84" t="s">
        <v>190</v>
      </c>
      <c r="D107" s="85"/>
      <c r="E107" s="86"/>
      <c r="F107" s="86"/>
      <c r="G107" s="86"/>
      <c r="H107" s="201"/>
      <c r="I107" s="201"/>
      <c r="J107" s="201"/>
      <c r="K107" s="201"/>
      <c r="L107" s="202"/>
    </row>
    <row r="108" spans="1:13" ht="13.5" customHeight="1" outlineLevel="1">
      <c r="C108" s="118"/>
      <c r="D108" s="118"/>
      <c r="E108" s="118"/>
      <c r="H108" s="68"/>
      <c r="I108" s="68"/>
      <c r="J108" s="68"/>
      <c r="K108" s="68"/>
      <c r="L108" s="68"/>
    </row>
    <row r="109" spans="1:13" ht="13.5" customHeight="1" outlineLevel="1">
      <c r="C109" s="39" t="s">
        <v>191</v>
      </c>
      <c r="D109" s="68"/>
      <c r="E109" s="68"/>
      <c r="F109" s="68"/>
      <c r="G109" s="147"/>
      <c r="H109" s="215">
        <f>-H36</f>
        <v>-2.6089416062595356</v>
      </c>
      <c r="I109" s="215">
        <f>-I36</f>
        <v>-3.0090322850545372</v>
      </c>
      <c r="J109" s="215">
        <f>-J36</f>
        <v>-3.3802073552164953</v>
      </c>
      <c r="K109" s="215">
        <f>-K36</f>
        <v>-3.6957619988438841</v>
      </c>
      <c r="L109" s="215">
        <f>-L36</f>
        <v>-3.9299019555263603</v>
      </c>
      <c r="M109" s="50"/>
    </row>
    <row r="110" spans="1:13" ht="13.5" customHeight="1" outlineLevel="1">
      <c r="C110" s="68"/>
      <c r="D110" s="68"/>
      <c r="E110" s="68"/>
      <c r="F110" s="68"/>
      <c r="G110" s="154"/>
      <c r="H110" s="154"/>
      <c r="I110" s="154"/>
      <c r="J110" s="154"/>
      <c r="K110" s="154"/>
      <c r="L110" s="154"/>
    </row>
    <row r="111" spans="1:13" ht="13.5" customHeight="1" outlineLevel="1">
      <c r="A111" s="125"/>
      <c r="C111" s="84" t="s">
        <v>193</v>
      </c>
      <c r="D111" s="85"/>
      <c r="E111" s="86"/>
      <c r="F111" s="86"/>
      <c r="G111" s="86"/>
      <c r="H111" s="201"/>
      <c r="I111" s="201"/>
      <c r="J111" s="201"/>
      <c r="K111" s="201"/>
      <c r="L111" s="202"/>
    </row>
    <row r="112" spans="1:13" ht="13.5" customHeight="1" outlineLevel="1">
      <c r="A112" s="125"/>
      <c r="C112" s="118"/>
      <c r="D112" s="118"/>
      <c r="E112" s="118"/>
      <c r="H112" s="68"/>
      <c r="I112" s="68"/>
      <c r="J112" s="68"/>
      <c r="K112" s="68"/>
      <c r="L112" s="68"/>
    </row>
    <row r="113" spans="1:13" s="205" customFormat="1" ht="13.5" customHeight="1" outlineLevel="1">
      <c r="A113" s="204"/>
      <c r="C113" s="68" t="s">
        <v>41</v>
      </c>
      <c r="D113" s="118"/>
      <c r="E113" s="118"/>
      <c r="F113" s="29"/>
      <c r="G113" s="132"/>
      <c r="H113" s="129"/>
      <c r="I113" s="129"/>
      <c r="J113" s="129"/>
      <c r="K113" s="129"/>
      <c r="L113" s="129"/>
      <c r="M113" s="50" t="s">
        <v>244</v>
      </c>
    </row>
    <row r="114" spans="1:13" s="205" customFormat="1" ht="13.5" customHeight="1" outlineLevel="1">
      <c r="A114" s="204"/>
      <c r="C114" s="68" t="str">
        <f>+C79</f>
        <v>Term Loan A</v>
      </c>
      <c r="D114" s="118"/>
      <c r="E114" s="118"/>
      <c r="F114" s="29"/>
      <c r="G114" s="207"/>
      <c r="H114" s="129"/>
      <c r="I114" s="129"/>
      <c r="J114" s="129"/>
      <c r="K114" s="129"/>
      <c r="L114" s="129"/>
      <c r="M114" s="50" t="s">
        <v>245</v>
      </c>
    </row>
    <row r="115" spans="1:13" s="205" customFormat="1" ht="13.5" customHeight="1" outlineLevel="1">
      <c r="A115" s="204"/>
      <c r="C115" s="68" t="str">
        <f>+C80</f>
        <v>Subordinated - Note 1</v>
      </c>
      <c r="D115" s="118"/>
      <c r="E115" s="118"/>
      <c r="F115" s="29"/>
      <c r="G115" s="207"/>
      <c r="H115" s="129"/>
      <c r="I115" s="129"/>
      <c r="J115" s="129"/>
      <c r="K115" s="129"/>
      <c r="L115" s="129"/>
      <c r="M115" s="50" t="s">
        <v>246</v>
      </c>
    </row>
    <row r="116" spans="1:13" s="205" customFormat="1" ht="13.5" customHeight="1" outlineLevel="1">
      <c r="A116" s="204"/>
      <c r="C116" s="68" t="str">
        <f t="shared" ref="C116" si="32">+C81</f>
        <v>Subordinated - Note 2</v>
      </c>
      <c r="D116" s="118"/>
      <c r="E116" s="118"/>
      <c r="F116" s="29"/>
      <c r="G116" s="207"/>
      <c r="H116" s="129"/>
      <c r="I116" s="129"/>
      <c r="J116" s="129"/>
      <c r="K116" s="129"/>
      <c r="L116" s="129"/>
      <c r="M116" s="50" t="s">
        <v>246</v>
      </c>
    </row>
    <row r="117" spans="1:13" s="205" customFormat="1" ht="13.5" customHeight="1" outlineLevel="1">
      <c r="A117" s="204"/>
      <c r="C117" s="180" t="s">
        <v>194</v>
      </c>
      <c r="D117" s="180"/>
      <c r="E117" s="180"/>
      <c r="F117" s="180"/>
      <c r="G117" s="199"/>
      <c r="H117" s="200">
        <f>SUM(H113:H116)</f>
        <v>0</v>
      </c>
      <c r="I117" s="200">
        <f t="shared" ref="I117:L117" si="33">SUM(I113:I116)</f>
        <v>0</v>
      </c>
      <c r="J117" s="200">
        <f t="shared" si="33"/>
        <v>0</v>
      </c>
      <c r="K117" s="200">
        <f t="shared" si="33"/>
        <v>0</v>
      </c>
      <c r="L117" s="200">
        <f t="shared" si="33"/>
        <v>0</v>
      </c>
    </row>
    <row r="118" spans="1:13" s="205" customFormat="1" ht="13.5" customHeight="1" outlineLevel="1">
      <c r="C118" s="118"/>
      <c r="D118" s="118"/>
      <c r="E118" s="118"/>
      <c r="F118" s="29"/>
      <c r="G118" s="29"/>
      <c r="H118" s="68"/>
      <c r="I118" s="68"/>
      <c r="J118" s="68"/>
      <c r="K118" s="68"/>
      <c r="L118" s="68"/>
    </row>
    <row r="119" spans="1:13" s="205" customFormat="1" ht="13.5" customHeight="1" outlineLevel="1">
      <c r="C119" s="39" t="s">
        <v>195</v>
      </c>
      <c r="D119" s="118"/>
      <c r="E119" s="118"/>
      <c r="F119" s="30"/>
      <c r="G119" s="208"/>
      <c r="H119" s="215">
        <f>H117+H109+H105</f>
        <v>10.047940342237592</v>
      </c>
      <c r="I119" s="215">
        <f>I117+I109+I105</f>
        <v>9.5137979697035551</v>
      </c>
      <c r="J119" s="215">
        <f ca="1">J117+J109+J105</f>
        <v>11.025821905078885</v>
      </c>
      <c r="K119" s="215">
        <f ca="1">K117+K109+K105</f>
        <v>12.526376357362114</v>
      </c>
      <c r="L119" s="215">
        <f ca="1">L117+L109+L105</f>
        <v>13.921875688162071</v>
      </c>
      <c r="M119" s="50"/>
    </row>
    <row r="120" spans="1:13" s="205" customFormat="1" ht="5.0999999999999996" customHeight="1" outlineLevel="1" thickBot="1">
      <c r="C120" s="157"/>
      <c r="D120" s="157"/>
      <c r="E120" s="157"/>
      <c r="F120" s="83"/>
      <c r="G120" s="83"/>
      <c r="H120" s="83"/>
      <c r="I120" s="83"/>
      <c r="J120" s="83"/>
      <c r="K120" s="83"/>
      <c r="L120" s="83"/>
    </row>
    <row r="121" spans="1:13" s="205" customFormat="1" ht="13.5" customHeight="1" outlineLevel="1">
      <c r="C121" s="29"/>
      <c r="D121" s="29"/>
      <c r="E121" s="29"/>
      <c r="F121" s="29"/>
      <c r="G121" s="29"/>
      <c r="H121" s="29"/>
      <c r="I121" s="29"/>
      <c r="J121" s="29"/>
      <c r="K121" s="29"/>
      <c r="L121" s="29"/>
    </row>
    <row r="122" spans="1:13" ht="13.5" customHeight="1" outlineLevel="1" thickBot="1"/>
    <row r="123" spans="1:13" ht="21.75" thickTop="1">
      <c r="B123" s="46" t="s">
        <v>61</v>
      </c>
      <c r="C123" s="47" t="s">
        <v>148</v>
      </c>
      <c r="D123" s="48"/>
      <c r="E123" s="49"/>
      <c r="F123" s="49"/>
      <c r="G123" s="49"/>
      <c r="H123" s="49"/>
      <c r="I123" s="49"/>
      <c r="J123" s="49"/>
      <c r="K123" s="49"/>
      <c r="L123" s="49"/>
    </row>
    <row r="124" spans="1:13" ht="5.0999999999999996" customHeight="1" outlineLevel="1">
      <c r="C124" s="51"/>
      <c r="D124" s="52"/>
    </row>
    <row r="125" spans="1:13" ht="13.5" customHeight="1" outlineLevel="1">
      <c r="C125" s="53"/>
      <c r="D125" s="53"/>
      <c r="E125" s="53"/>
      <c r="F125" s="54" t="s">
        <v>63</v>
      </c>
      <c r="G125" s="54" t="s">
        <v>63</v>
      </c>
      <c r="H125" s="55" t="s">
        <v>64</v>
      </c>
      <c r="I125" s="55"/>
      <c r="J125" s="55"/>
      <c r="K125" s="55"/>
      <c r="L125" s="55"/>
    </row>
    <row r="126" spans="1:13" ht="13.5" customHeight="1" outlineLevel="1" thickBot="1">
      <c r="C126" s="56" t="s">
        <v>65</v>
      </c>
      <c r="D126" s="57"/>
      <c r="E126" s="57"/>
      <c r="F126" s="58">
        <f>F$11</f>
        <v>45291</v>
      </c>
      <c r="G126" s="58">
        <f>G$11</f>
        <v>45657</v>
      </c>
      <c r="H126" s="58">
        <f t="shared" ref="H126:L126" si="34">H$11</f>
        <v>46022</v>
      </c>
      <c r="I126" s="58">
        <f t="shared" si="34"/>
        <v>46387</v>
      </c>
      <c r="J126" s="58">
        <f t="shared" si="34"/>
        <v>46752</v>
      </c>
      <c r="K126" s="58">
        <f t="shared" si="34"/>
        <v>47118</v>
      </c>
      <c r="L126" s="58">
        <f t="shared" si="34"/>
        <v>47483</v>
      </c>
    </row>
    <row r="127" spans="1:13" ht="5.0999999999999996" customHeight="1" outlineLevel="1">
      <c r="C127" s="59"/>
      <c r="D127" s="59"/>
      <c r="E127" s="59"/>
      <c r="F127" s="60"/>
      <c r="G127" s="60"/>
      <c r="H127" s="60"/>
      <c r="I127" s="60"/>
      <c r="J127" s="60"/>
      <c r="K127" s="60"/>
    </row>
    <row r="128" spans="1:13" ht="13.5" customHeight="1" outlineLevel="1">
      <c r="C128" s="84" t="s">
        <v>51</v>
      </c>
      <c r="D128" s="85"/>
      <c r="E128" s="86"/>
      <c r="F128" s="86"/>
      <c r="G128" s="86"/>
      <c r="H128" s="86"/>
      <c r="I128" s="86"/>
      <c r="J128" s="86"/>
      <c r="K128" s="86"/>
      <c r="L128" s="87"/>
    </row>
    <row r="129" spans="3:13" ht="13.5" customHeight="1" outlineLevel="1">
      <c r="C129" s="118"/>
      <c r="D129" s="118"/>
      <c r="E129" s="118"/>
    </row>
    <row r="130" spans="3:13" ht="13.5" customHeight="1" outlineLevel="1">
      <c r="C130" s="91" t="str">
        <f>C61</f>
        <v>Accounts Receivable, Net</v>
      </c>
      <c r="D130" s="68"/>
      <c r="E130" s="68"/>
      <c r="F130" s="177">
        <f t="shared" ref="F130:G132" si="35">F61</f>
        <v>16.781419000000003</v>
      </c>
      <c r="G130" s="177">
        <f t="shared" si="35"/>
        <v>22.284721999999999</v>
      </c>
      <c r="H130" s="177">
        <f>(H145/365)*H149</f>
        <v>24.012610811683217</v>
      </c>
      <c r="I130" s="177">
        <f>(I145/365)*I149</f>
        <v>27.695031965240773</v>
      </c>
      <c r="J130" s="177">
        <f>(J145/365)*J149</f>
        <v>31.111314829301037</v>
      </c>
      <c r="K130" s="177">
        <f>(K145/365)*K149</f>
        <v>34.015669157916122</v>
      </c>
      <c r="L130" s="177">
        <f>(L145/365)*L149</f>
        <v>36.170685445667161</v>
      </c>
      <c r="M130" s="50"/>
    </row>
    <row r="131" spans="3:13" ht="13.5" customHeight="1" outlineLevel="1">
      <c r="C131" s="91" t="str">
        <f>C62</f>
        <v>Inventory</v>
      </c>
      <c r="D131" s="68"/>
      <c r="E131" s="68"/>
      <c r="F131" s="177">
        <f t="shared" si="35"/>
        <v>0.80490099999999998</v>
      </c>
      <c r="G131" s="177">
        <f t="shared" si="35"/>
        <v>1.161057</v>
      </c>
      <c r="H131" s="177">
        <f>(H146/365)*H150</f>
        <v>1.2029011201180084</v>
      </c>
      <c r="I131" s="177">
        <f t="shared" ref="I131:L131" si="36">(I146/365)*I150</f>
        <v>1.3873703794209342</v>
      </c>
      <c r="J131" s="177">
        <f t="shared" si="36"/>
        <v>1.558507558799139</v>
      </c>
      <c r="K131" s="177">
        <f t="shared" si="36"/>
        <v>1.7039999045715051</v>
      </c>
      <c r="L131" s="177">
        <f t="shared" si="36"/>
        <v>1.8119544925477122</v>
      </c>
      <c r="M131" s="50"/>
    </row>
    <row r="132" spans="3:13" ht="13.5" customHeight="1" outlineLevel="1">
      <c r="C132" s="91" t="str">
        <f>C63</f>
        <v>Prepaids and Other Current Assets</v>
      </c>
      <c r="D132" s="68"/>
      <c r="E132" s="68"/>
      <c r="F132" s="177">
        <f t="shared" si="35"/>
        <v>0.26978399999999997</v>
      </c>
      <c r="G132" s="177">
        <f t="shared" si="35"/>
        <v>0.34491899999999998</v>
      </c>
      <c r="H132" s="177">
        <f>H151*H147</f>
        <v>0.3792215684283346</v>
      </c>
      <c r="I132" s="177">
        <f t="shared" ref="I132:L132" si="37">I151*I147</f>
        <v>0.43737657441320382</v>
      </c>
      <c r="J132" s="177">
        <f t="shared" si="37"/>
        <v>0.49132856472628733</v>
      </c>
      <c r="K132" s="177">
        <f t="shared" si="37"/>
        <v>0.53719587221761422</v>
      </c>
      <c r="L132" s="177">
        <f t="shared" si="37"/>
        <v>0.57122918342390505</v>
      </c>
      <c r="M132" s="50"/>
    </row>
    <row r="133" spans="3:13" ht="13.5" customHeight="1" outlineLevel="1">
      <c r="C133" s="65" t="s">
        <v>152</v>
      </c>
      <c r="D133" s="65"/>
      <c r="E133" s="65"/>
      <c r="F133" s="179">
        <f t="shared" ref="F133:L133" si="38">SUM(F130:F132)</f>
        <v>17.856104000000006</v>
      </c>
      <c r="G133" s="179">
        <f t="shared" si="38"/>
        <v>23.790697999999999</v>
      </c>
      <c r="H133" s="179">
        <f t="shared" si="38"/>
        <v>25.594733500229559</v>
      </c>
      <c r="I133" s="179">
        <f t="shared" si="38"/>
        <v>29.519778919074909</v>
      </c>
      <c r="J133" s="179">
        <f t="shared" si="38"/>
        <v>33.161150952826461</v>
      </c>
      <c r="K133" s="179">
        <f t="shared" si="38"/>
        <v>36.256864934705241</v>
      </c>
      <c r="L133" s="179">
        <f t="shared" si="38"/>
        <v>38.553869121638776</v>
      </c>
    </row>
    <row r="134" spans="3:13" ht="6" customHeight="1" outlineLevel="1">
      <c r="C134" s="68"/>
      <c r="D134" s="68"/>
      <c r="E134" s="68"/>
      <c r="F134" s="154"/>
      <c r="G134" s="154"/>
      <c r="H134" s="154"/>
      <c r="I134" s="154"/>
      <c r="J134" s="154"/>
      <c r="K134" s="154"/>
      <c r="L134" s="154"/>
    </row>
    <row r="135" spans="3:13" ht="13.5" customHeight="1" outlineLevel="1">
      <c r="C135" s="91" t="str">
        <f>C74</f>
        <v>Accounts Payable</v>
      </c>
      <c r="D135" s="68"/>
      <c r="E135" s="68"/>
      <c r="F135" s="177">
        <f t="shared" ref="F135:G137" si="39">F74</f>
        <v>2.8058170000000002</v>
      </c>
      <c r="G135" s="177">
        <f t="shared" si="39"/>
        <v>2.3607100000000001</v>
      </c>
      <c r="H135" s="177">
        <f>(H146/365)*H153</f>
        <v>3.2375302691281114</v>
      </c>
      <c r="I135" s="177">
        <f>(I146/365)*I153</f>
        <v>3.7340173042871405</v>
      </c>
      <c r="J135" s="177">
        <f>(J146/365)*J153</f>
        <v>4.1946219118843056</v>
      </c>
      <c r="K135" s="177">
        <f>(K146/365)*K153</f>
        <v>4.5862051147649199</v>
      </c>
      <c r="L135" s="177">
        <f>(L146/365)*L153</f>
        <v>4.8767578795922875</v>
      </c>
      <c r="M135" s="50"/>
    </row>
    <row r="136" spans="3:13" ht="13.5" customHeight="1" outlineLevel="1">
      <c r="C136" s="91" t="str">
        <f>C75</f>
        <v>Wages Payable</v>
      </c>
      <c r="D136" s="68"/>
      <c r="E136" s="68"/>
      <c r="F136" s="177">
        <f t="shared" si="39"/>
        <v>2.3839329999999999</v>
      </c>
      <c r="G136" s="177">
        <f t="shared" si="39"/>
        <v>2.7880379999999998</v>
      </c>
      <c r="H136" s="177">
        <f>H154*H147</f>
        <v>3.1966854452582232</v>
      </c>
      <c r="I136" s="177">
        <f t="shared" ref="I136:L136" si="40">I154*I147</f>
        <v>3.6869087782063024</v>
      </c>
      <c r="J136" s="177">
        <f t="shared" si="40"/>
        <v>4.1417023778724023</v>
      </c>
      <c r="K136" s="177">
        <f t="shared" si="40"/>
        <v>4.5283453498910609</v>
      </c>
      <c r="L136" s="177">
        <f t="shared" si="40"/>
        <v>4.8152324882940372</v>
      </c>
      <c r="M136" s="50"/>
    </row>
    <row r="137" spans="3:13" ht="13.5" customHeight="1" outlineLevel="1">
      <c r="C137" s="91" t="str">
        <f>C76</f>
        <v>Accrued Expenses &amp; Other</v>
      </c>
      <c r="D137" s="68"/>
      <c r="E137" s="68"/>
      <c r="F137" s="177">
        <f t="shared" si="39"/>
        <v>2.0579079999999998</v>
      </c>
      <c r="G137" s="177">
        <f t="shared" si="39"/>
        <v>3.2020309999999998</v>
      </c>
      <c r="H137" s="177">
        <f>H155*H147</f>
        <v>3.2317636858846019</v>
      </c>
      <c r="I137" s="177">
        <f t="shared" ref="I137:L137" si="41">I155*I147</f>
        <v>3.727366394541769</v>
      </c>
      <c r="J137" s="177">
        <f t="shared" si="41"/>
        <v>4.1871505882458564</v>
      </c>
      <c r="K137" s="177">
        <f t="shared" si="41"/>
        <v>4.5780363159066395</v>
      </c>
      <c r="L137" s="177">
        <f t="shared" si="41"/>
        <v>4.8680715576328382</v>
      </c>
      <c r="M137" s="50"/>
    </row>
    <row r="138" spans="3:13" ht="13.5" customHeight="1" outlineLevel="1">
      <c r="C138" s="65" t="s">
        <v>156</v>
      </c>
      <c r="D138" s="65"/>
      <c r="E138" s="65"/>
      <c r="F138" s="179">
        <f t="shared" ref="F138:L138" si="42">SUM(F135:F137)</f>
        <v>7.2476579999999995</v>
      </c>
      <c r="G138" s="179">
        <f t="shared" si="42"/>
        <v>8.3507789999999993</v>
      </c>
      <c r="H138" s="179">
        <f t="shared" si="42"/>
        <v>9.6659794002709365</v>
      </c>
      <c r="I138" s="179">
        <f t="shared" si="42"/>
        <v>11.148292477035213</v>
      </c>
      <c r="J138" s="179">
        <f t="shared" si="42"/>
        <v>12.523474878002563</v>
      </c>
      <c r="K138" s="179">
        <f t="shared" si="42"/>
        <v>13.692586780562621</v>
      </c>
      <c r="L138" s="179">
        <f t="shared" si="42"/>
        <v>14.560061925519163</v>
      </c>
    </row>
    <row r="139" spans="3:13" ht="13.5" customHeight="1" outlineLevel="1">
      <c r="C139" s="180" t="s">
        <v>157</v>
      </c>
      <c r="D139" s="180"/>
      <c r="E139" s="180"/>
      <c r="F139" s="181">
        <f t="shared" ref="F139:L139" si="43">F133-F138</f>
        <v>10.608446000000006</v>
      </c>
      <c r="G139" s="181">
        <f t="shared" si="43"/>
        <v>15.439919</v>
      </c>
      <c r="H139" s="181">
        <f t="shared" si="43"/>
        <v>15.928754099958622</v>
      </c>
      <c r="I139" s="181">
        <f t="shared" si="43"/>
        <v>18.371486442039696</v>
      </c>
      <c r="J139" s="181">
        <f t="shared" si="43"/>
        <v>20.637676074823897</v>
      </c>
      <c r="K139" s="181">
        <f t="shared" si="43"/>
        <v>22.56427815414262</v>
      </c>
      <c r="L139" s="181">
        <f t="shared" si="43"/>
        <v>23.993807196119612</v>
      </c>
    </row>
    <row r="140" spans="3:13" ht="13.5" customHeight="1" outlineLevel="1">
      <c r="C140" s="39"/>
      <c r="D140" s="39"/>
      <c r="E140" s="39"/>
      <c r="F140" s="182"/>
      <c r="G140" s="182"/>
      <c r="H140" s="182"/>
      <c r="I140" s="182"/>
      <c r="J140" s="182"/>
      <c r="K140" s="182"/>
      <c r="L140" s="182"/>
    </row>
    <row r="141" spans="3:13" ht="13.5" customHeight="1" outlineLevel="1">
      <c r="C141" s="39" t="s">
        <v>158</v>
      </c>
      <c r="D141" s="39"/>
      <c r="E141" s="39"/>
      <c r="F141" s="182"/>
      <c r="G141" s="182">
        <f t="shared" ref="G141:L141" si="44">G139-F139</f>
        <v>4.8314729999999937</v>
      </c>
      <c r="H141" s="182">
        <f t="shared" si="44"/>
        <v>0.48883509995862262</v>
      </c>
      <c r="I141" s="182">
        <f t="shared" si="44"/>
        <v>2.442732342081074</v>
      </c>
      <c r="J141" s="182">
        <f t="shared" si="44"/>
        <v>2.2661896327842008</v>
      </c>
      <c r="K141" s="182">
        <f t="shared" si="44"/>
        <v>1.9266020793187231</v>
      </c>
      <c r="L141" s="182">
        <f t="shared" si="44"/>
        <v>1.4295290419769913</v>
      </c>
      <c r="M141" s="50"/>
    </row>
    <row r="142" spans="3:13" ht="13.5" customHeight="1" outlineLevel="1"/>
    <row r="143" spans="3:13" ht="13.5" customHeight="1" outlineLevel="1">
      <c r="C143" s="84" t="s">
        <v>160</v>
      </c>
      <c r="D143" s="85"/>
      <c r="E143" s="86"/>
      <c r="F143" s="86"/>
      <c r="G143" s="86"/>
      <c r="H143" s="86"/>
      <c r="I143" s="86"/>
      <c r="J143" s="86"/>
      <c r="K143" s="86"/>
      <c r="L143" s="87"/>
    </row>
    <row r="144" spans="3:13" ht="13.5" customHeight="1" outlineLevel="1">
      <c r="C144" s="68"/>
      <c r="D144" s="68"/>
      <c r="E144" s="68"/>
      <c r="F144" s="68"/>
    </row>
    <row r="145" spans="1:19" ht="13.5" customHeight="1" outlineLevel="1">
      <c r="C145" s="68" t="s">
        <v>161</v>
      </c>
      <c r="D145" s="68"/>
      <c r="E145" s="68"/>
      <c r="F145" s="209">
        <f t="shared" ref="F145:L146" si="45">F13</f>
        <v>78.565675999999996</v>
      </c>
      <c r="G145" s="209">
        <f t="shared" si="45"/>
        <v>90.614007999999998</v>
      </c>
      <c r="H145" s="209">
        <f t="shared" si="45"/>
        <v>104.5099955077592</v>
      </c>
      <c r="I145" s="209">
        <f t="shared" si="45"/>
        <v>120.53698321160066</v>
      </c>
      <c r="J145" s="209">
        <f t="shared" si="45"/>
        <v>135.4056582414087</v>
      </c>
      <c r="K145" s="209">
        <f t="shared" si="45"/>
        <v>148.04626863637753</v>
      </c>
      <c r="L145" s="209">
        <f t="shared" si="45"/>
        <v>157.42553790111026</v>
      </c>
      <c r="M145" s="50"/>
    </row>
    <row r="146" spans="1:19" ht="13.5" customHeight="1" outlineLevel="1">
      <c r="C146" s="68" t="s">
        <v>66</v>
      </c>
      <c r="D146" s="68"/>
      <c r="E146" s="68"/>
      <c r="F146" s="177">
        <f t="shared" si="45"/>
        <v>51.562188999999996</v>
      </c>
      <c r="G146" s="177">
        <f t="shared" si="45"/>
        <v>61.618676000000001</v>
      </c>
      <c r="H146" s="177">
        <f t="shared" si="45"/>
        <v>69.828708282059708</v>
      </c>
      <c r="I146" s="177">
        <f t="shared" si="45"/>
        <v>80.537194523728473</v>
      </c>
      <c r="J146" s="177">
        <f t="shared" si="45"/>
        <v>90.471750220079329</v>
      </c>
      <c r="K146" s="177">
        <f t="shared" si="45"/>
        <v>98.917616966977391</v>
      </c>
      <c r="L146" s="177">
        <f t="shared" si="45"/>
        <v>105.18440756632523</v>
      </c>
      <c r="M146" s="50"/>
    </row>
    <row r="147" spans="1:19" ht="13.5" customHeight="1" outlineLevel="1">
      <c r="C147" s="68" t="s">
        <v>69</v>
      </c>
      <c r="D147" s="68"/>
      <c r="E147" s="68"/>
      <c r="F147" s="177">
        <f t="shared" ref="F147:L147" si="46">F17</f>
        <v>14.179914999999999</v>
      </c>
      <c r="G147" s="177">
        <f t="shared" si="46"/>
        <v>15.4366889395</v>
      </c>
      <c r="H147" s="177">
        <f t="shared" si="46"/>
        <v>18.333216581804578</v>
      </c>
      <c r="I147" s="177">
        <f t="shared" si="46"/>
        <v>21.144681985672378</v>
      </c>
      <c r="J147" s="177">
        <f t="shared" si="46"/>
        <v>23.752955369300096</v>
      </c>
      <c r="K147" s="177">
        <f t="shared" si="46"/>
        <v>25.970380094765407</v>
      </c>
      <c r="L147" s="177">
        <f t="shared" si="46"/>
        <v>27.615698075825332</v>
      </c>
      <c r="M147" s="50"/>
    </row>
    <row r="148" spans="1:19" ht="13.5" customHeight="1" outlineLevel="1">
      <c r="F148" s="82"/>
    </row>
    <row r="149" spans="1:19" ht="13.5" customHeight="1" outlineLevel="1">
      <c r="C149" s="98" t="s">
        <v>163</v>
      </c>
      <c r="D149" s="68"/>
      <c r="F149" s="210">
        <f>F130/(F145/365)</f>
        <v>77.963027200326025</v>
      </c>
      <c r="G149" s="210">
        <f>G130/(G145/365)</f>
        <v>89.764526584013367</v>
      </c>
      <c r="H149" s="211">
        <f>AVERAGE(F149:G149)</f>
        <v>83.863776892169696</v>
      </c>
      <c r="I149" s="211">
        <f>H149</f>
        <v>83.863776892169696</v>
      </c>
      <c r="J149" s="211">
        <f t="shared" ref="J149:L149" si="47">I149</f>
        <v>83.863776892169696</v>
      </c>
      <c r="K149" s="211">
        <f t="shared" si="47"/>
        <v>83.863776892169696</v>
      </c>
      <c r="L149" s="211">
        <f t="shared" si="47"/>
        <v>83.863776892169696</v>
      </c>
      <c r="M149" s="50"/>
    </row>
    <row r="150" spans="1:19" ht="13.5" customHeight="1" outlineLevel="1">
      <c r="C150" s="98" t="s">
        <v>165</v>
      </c>
      <c r="D150" s="68"/>
      <c r="F150" s="210">
        <f>F131/(F146/365)</f>
        <v>5.697757808536795</v>
      </c>
      <c r="G150" s="210">
        <f>G131/(G146/365)</f>
        <v>6.877554542067732</v>
      </c>
      <c r="H150" s="211">
        <f>AVERAGE(F150:G150)</f>
        <v>6.2876561753022635</v>
      </c>
      <c r="I150" s="211">
        <f>H150</f>
        <v>6.2876561753022635</v>
      </c>
      <c r="J150" s="211">
        <f>I150</f>
        <v>6.2876561753022635</v>
      </c>
      <c r="K150" s="211">
        <f>J150</f>
        <v>6.2876561753022635</v>
      </c>
      <c r="L150" s="211">
        <f>K150</f>
        <v>6.2876561753022635</v>
      </c>
      <c r="M150" s="50"/>
    </row>
    <row r="151" spans="1:19" ht="13.5" customHeight="1" outlineLevel="1">
      <c r="C151" s="98" t="s">
        <v>167</v>
      </c>
      <c r="D151" s="68"/>
      <c r="F151" s="212">
        <f>F132/F147</f>
        <v>1.9025784005052216E-2</v>
      </c>
      <c r="G151" s="212">
        <f>G132/G147</f>
        <v>2.2344105096100488E-2</v>
      </c>
      <c r="H151" s="139">
        <f>AVERAGE(F151:G151)</f>
        <v>2.0684944550576352E-2</v>
      </c>
      <c r="I151" s="139">
        <f>H151</f>
        <v>2.0684944550576352E-2</v>
      </c>
      <c r="J151" s="139">
        <f t="shared" ref="J151:L151" si="48">I151</f>
        <v>2.0684944550576352E-2</v>
      </c>
      <c r="K151" s="139">
        <f t="shared" si="48"/>
        <v>2.0684944550576352E-2</v>
      </c>
      <c r="L151" s="139">
        <f t="shared" si="48"/>
        <v>2.0684944550576352E-2</v>
      </c>
      <c r="M151" s="50"/>
    </row>
    <row r="152" spans="1:19" ht="13.5" customHeight="1" outlineLevel="1">
      <c r="C152" s="98"/>
      <c r="D152" s="68"/>
      <c r="F152" s="94"/>
      <c r="G152" s="94"/>
      <c r="H152" s="213"/>
      <c r="I152" s="213"/>
      <c r="J152" s="213"/>
      <c r="K152" s="213"/>
      <c r="L152" s="213"/>
      <c r="Q152" s="190"/>
    </row>
    <row r="153" spans="1:19" ht="13.5" customHeight="1" outlineLevel="1">
      <c r="C153" s="98" t="s">
        <v>169</v>
      </c>
      <c r="D153" s="68"/>
      <c r="F153" s="210">
        <f>F135/(F146/365)</f>
        <v>19.861903167066863</v>
      </c>
      <c r="G153" s="210">
        <f>G135/(G146/365)</f>
        <v>13.983733600507742</v>
      </c>
      <c r="H153" s="211">
        <f>AVERAGE(F153:G153)</f>
        <v>16.922818383787302</v>
      </c>
      <c r="I153" s="211">
        <f t="shared" ref="I153:L155" si="49">H153</f>
        <v>16.922818383787302</v>
      </c>
      <c r="J153" s="211">
        <f t="shared" si="49"/>
        <v>16.922818383787302</v>
      </c>
      <c r="K153" s="211">
        <f t="shared" si="49"/>
        <v>16.922818383787302</v>
      </c>
      <c r="L153" s="211">
        <f t="shared" si="49"/>
        <v>16.922818383787302</v>
      </c>
      <c r="M153" s="50"/>
    </row>
    <row r="154" spans="1:19" ht="13.5" customHeight="1" outlineLevel="1">
      <c r="C154" s="98" t="s">
        <v>171</v>
      </c>
      <c r="D154" s="68"/>
      <c r="F154" s="212">
        <f>F136/F147</f>
        <v>0.16812040128590333</v>
      </c>
      <c r="G154" s="212">
        <f>G136/G147</f>
        <v>0.18061114082993923</v>
      </c>
      <c r="H154" s="139">
        <f>AVERAGE(F154:G154)</f>
        <v>0.17436577105792128</v>
      </c>
      <c r="I154" s="139">
        <f>H154</f>
        <v>0.17436577105792128</v>
      </c>
      <c r="J154" s="139">
        <f t="shared" si="49"/>
        <v>0.17436577105792128</v>
      </c>
      <c r="K154" s="139">
        <f t="shared" si="49"/>
        <v>0.17436577105792128</v>
      </c>
      <c r="L154" s="139">
        <f t="shared" si="49"/>
        <v>0.17436577105792128</v>
      </c>
      <c r="M154" s="50"/>
    </row>
    <row r="155" spans="1:19" ht="13.5" customHeight="1" outlineLevel="1">
      <c r="C155" s="98" t="s">
        <v>173</v>
      </c>
      <c r="D155" s="68"/>
      <c r="F155" s="212">
        <f>F137/F147</f>
        <v>0.14512837347755611</v>
      </c>
      <c r="G155" s="212">
        <f>G137/G147</f>
        <v>0.20742991016723272</v>
      </c>
      <c r="H155" s="139">
        <f>AVERAGE(F155:G155)</f>
        <v>0.1762791418223944</v>
      </c>
      <c r="I155" s="139">
        <f>H155</f>
        <v>0.1762791418223944</v>
      </c>
      <c r="J155" s="139">
        <f t="shared" si="49"/>
        <v>0.1762791418223944</v>
      </c>
      <c r="K155" s="139">
        <f t="shared" si="49"/>
        <v>0.1762791418223944</v>
      </c>
      <c r="L155" s="139">
        <f t="shared" si="49"/>
        <v>0.1762791418223944</v>
      </c>
      <c r="M155" s="50"/>
    </row>
    <row r="156" spans="1:19" ht="13.5" customHeight="1" outlineLevel="1">
      <c r="C156" s="98"/>
      <c r="D156" s="68"/>
      <c r="F156" s="191"/>
      <c r="G156" s="191"/>
      <c r="H156" s="192"/>
      <c r="I156" s="192"/>
      <c r="J156" s="192"/>
      <c r="K156" s="192"/>
      <c r="L156" s="192"/>
    </row>
    <row r="157" spans="1:19" ht="5.0999999999999996" customHeight="1" outlineLevel="1" thickBot="1">
      <c r="C157" s="157"/>
      <c r="D157" s="157"/>
      <c r="E157" s="157"/>
      <c r="F157" s="83"/>
      <c r="G157" s="83"/>
      <c r="H157" s="83"/>
      <c r="I157" s="83"/>
      <c r="J157" s="83"/>
      <c r="K157" s="83"/>
      <c r="L157" s="83"/>
    </row>
    <row r="158" spans="1:19" ht="13.5" customHeight="1" outlineLevel="1"/>
    <row r="159" spans="1:19" ht="13.5" customHeight="1" outlineLevel="1" thickBot="1"/>
    <row r="160" spans="1:19" ht="16.5" collapsed="1" thickTop="1" thickBot="1">
      <c r="A160" s="82"/>
      <c r="B160" s="46" t="s">
        <v>61</v>
      </c>
      <c r="C160" s="119" t="s">
        <v>96</v>
      </c>
      <c r="D160" s="82"/>
      <c r="E160" s="82"/>
      <c r="F160" s="82"/>
      <c r="G160" s="82"/>
      <c r="H160" s="82"/>
      <c r="I160" s="82"/>
      <c r="J160" s="82"/>
      <c r="K160" s="82"/>
      <c r="L160" s="82"/>
      <c r="M160" s="82"/>
      <c r="N160" s="82"/>
      <c r="O160" s="82"/>
      <c r="P160" s="82"/>
      <c r="Q160" s="82"/>
      <c r="R160" s="82"/>
      <c r="S160" s="82"/>
    </row>
    <row r="161" spans="1:19" ht="15.75" hidden="1" outlineLevel="1" thickBot="1">
      <c r="A161" s="82"/>
      <c r="B161" s="82"/>
      <c r="C161" s="120" t="s">
        <v>3</v>
      </c>
      <c r="D161" s="82"/>
      <c r="E161" s="82"/>
      <c r="F161" s="82"/>
      <c r="G161" s="82"/>
      <c r="H161" s="82"/>
      <c r="I161" s="82"/>
      <c r="J161" s="82"/>
      <c r="K161" s="82"/>
      <c r="L161" s="82"/>
      <c r="M161" s="82"/>
      <c r="N161" s="82"/>
      <c r="O161" s="82"/>
      <c r="P161" s="82"/>
      <c r="Q161" s="82"/>
      <c r="R161" s="82"/>
      <c r="S161" s="82"/>
    </row>
    <row r="162" spans="1:19" ht="15.75" hidden="1" outlineLevel="1" thickBot="1">
      <c r="A162" s="82"/>
      <c r="B162" s="82"/>
      <c r="C162" s="121" t="s">
        <v>97</v>
      </c>
      <c r="D162" s="82"/>
      <c r="E162" s="82"/>
      <c r="F162" s="122">
        <f>'Financials from CIP'!D13/1000-'Step 7'!F13</f>
        <v>0</v>
      </c>
      <c r="G162" s="122">
        <f>'Financials from CIP'!E13/1000-'Step 7'!G13</f>
        <v>0</v>
      </c>
      <c r="H162" s="82"/>
      <c r="I162" s="82"/>
      <c r="J162" s="82"/>
      <c r="K162" s="82"/>
      <c r="L162" s="82"/>
      <c r="M162" s="82"/>
      <c r="N162" s="82"/>
      <c r="O162" s="82"/>
      <c r="P162" s="82"/>
      <c r="Q162" s="82"/>
      <c r="R162" s="82"/>
      <c r="S162" s="82"/>
    </row>
    <row r="163" spans="1:19" ht="15.75" hidden="1" outlineLevel="1" thickBot="1">
      <c r="A163" s="82"/>
      <c r="B163" s="82"/>
      <c r="C163" s="121" t="s">
        <v>67</v>
      </c>
      <c r="D163" s="82"/>
      <c r="E163" s="82"/>
      <c r="F163" s="122">
        <f>'Financials from CIP'!D19/1000-'Step 7'!F15</f>
        <v>0</v>
      </c>
      <c r="G163" s="122">
        <f>'Financials from CIP'!E19/1000-'Step 7'!G15</f>
        <v>0</v>
      </c>
      <c r="H163" s="82"/>
      <c r="I163" s="82"/>
      <c r="J163" s="82"/>
      <c r="K163" s="82"/>
      <c r="L163" s="82"/>
      <c r="M163" s="82"/>
      <c r="N163" s="82"/>
      <c r="O163" s="82"/>
      <c r="P163" s="82"/>
      <c r="Q163" s="82"/>
      <c r="R163" s="82"/>
      <c r="S163" s="82"/>
    </row>
    <row r="164" spans="1:19" ht="15.75" hidden="1" outlineLevel="1" thickBot="1">
      <c r="A164" s="82"/>
      <c r="B164" s="82"/>
      <c r="C164" s="121" t="s">
        <v>70</v>
      </c>
      <c r="D164" s="82"/>
      <c r="E164" s="82"/>
      <c r="F164" s="122">
        <f>'Financials from CIP'!D36/1000-'Step 7'!F18</f>
        <v>0</v>
      </c>
      <c r="G164" s="122">
        <f>'Financials from CIP'!E36/1000-'Step 7'!G18</f>
        <v>0</v>
      </c>
      <c r="H164" s="82"/>
      <c r="I164" s="82"/>
      <c r="J164" s="82"/>
      <c r="K164" s="82"/>
      <c r="L164" s="82"/>
      <c r="M164" s="82"/>
      <c r="N164" s="82"/>
      <c r="O164" s="82"/>
      <c r="P164" s="82"/>
      <c r="Q164" s="82"/>
      <c r="R164" s="82"/>
      <c r="S164" s="82"/>
    </row>
    <row r="165" spans="1:19" ht="15.75" hidden="1" outlineLevel="1" thickBot="1">
      <c r="A165" s="82"/>
      <c r="B165" s="82"/>
      <c r="C165" s="121" t="s">
        <v>22</v>
      </c>
      <c r="D165" s="82"/>
      <c r="E165" s="82"/>
      <c r="F165" s="122">
        <f>'Financials from CIP'!D34/1000-'Step 7'!F33</f>
        <v>0</v>
      </c>
      <c r="G165" s="122">
        <f>'Financials from CIP'!E34/1000-'Step 7'!G33</f>
        <v>0</v>
      </c>
      <c r="H165" s="82"/>
      <c r="I165" s="82"/>
      <c r="J165" s="82"/>
      <c r="K165" s="82"/>
      <c r="L165" s="82"/>
      <c r="M165" s="82"/>
      <c r="N165" s="82"/>
      <c r="O165" s="82"/>
      <c r="P165" s="82"/>
      <c r="Q165" s="82"/>
      <c r="R165" s="82"/>
      <c r="S165" s="82"/>
    </row>
    <row r="166" spans="1:19" ht="15.75" hidden="1" outlineLevel="1" thickBot="1">
      <c r="A166" s="82"/>
      <c r="B166" s="82"/>
      <c r="C166" s="121"/>
      <c r="D166" s="82"/>
      <c r="E166" s="82"/>
      <c r="F166" s="122"/>
      <c r="G166" s="122"/>
      <c r="H166" s="82"/>
      <c r="I166" s="82"/>
      <c r="J166" s="82"/>
      <c r="K166" s="82"/>
      <c r="L166" s="82"/>
      <c r="M166" s="82"/>
      <c r="N166" s="82"/>
      <c r="O166" s="82"/>
      <c r="P166" s="82"/>
      <c r="Q166" s="82"/>
      <c r="R166" s="82"/>
      <c r="S166" s="82"/>
    </row>
    <row r="167" spans="1:19" ht="15.75" hidden="1" outlineLevel="1" thickBot="1">
      <c r="A167" s="82"/>
      <c r="B167" s="82"/>
      <c r="C167" s="120" t="s">
        <v>26</v>
      </c>
      <c r="D167" s="82"/>
      <c r="E167" s="82"/>
      <c r="F167" s="122"/>
      <c r="G167" s="122"/>
      <c r="H167" s="82"/>
      <c r="I167" s="82"/>
      <c r="J167" s="82"/>
      <c r="K167" s="82"/>
      <c r="L167" s="82"/>
      <c r="M167" s="82"/>
      <c r="N167" s="82"/>
      <c r="O167" s="82"/>
      <c r="P167" s="82"/>
      <c r="Q167" s="82"/>
      <c r="R167" s="82"/>
      <c r="S167" s="82"/>
    </row>
    <row r="168" spans="1:19" ht="15.75" hidden="1" outlineLevel="1" thickBot="1">
      <c r="A168" s="82"/>
      <c r="B168" s="82"/>
      <c r="C168" s="121" t="s">
        <v>98</v>
      </c>
      <c r="D168" s="82"/>
      <c r="E168" s="82"/>
      <c r="F168" s="122">
        <f>'Financials from CIP'!D46/1000-'Step 7'!F60</f>
        <v>0</v>
      </c>
      <c r="G168" s="122">
        <f>'Financials from CIP'!E46/1000-'Step 7'!G60</f>
        <v>0</v>
      </c>
      <c r="H168" s="82"/>
      <c r="I168" s="82"/>
      <c r="J168" s="82"/>
      <c r="K168" s="82"/>
      <c r="L168" s="82"/>
      <c r="M168" s="82"/>
      <c r="N168" s="82"/>
      <c r="O168" s="82"/>
      <c r="P168" s="82"/>
      <c r="Q168" s="82"/>
      <c r="R168" s="82"/>
      <c r="S168" s="82"/>
    </row>
    <row r="169" spans="1:19" ht="15.75" hidden="1" outlineLevel="1" thickBot="1">
      <c r="A169" s="82"/>
      <c r="B169" s="82"/>
      <c r="C169" s="121" t="s">
        <v>99</v>
      </c>
      <c r="D169" s="82"/>
      <c r="E169" s="82"/>
      <c r="F169" s="122">
        <f>'Financials from CIP'!D51/1000-'Step 7'!F64</f>
        <v>0</v>
      </c>
      <c r="G169" s="122">
        <f>'Financials from CIP'!E51/1000-'Step 7'!G64</f>
        <v>0</v>
      </c>
      <c r="H169" s="82"/>
      <c r="I169" s="82"/>
      <c r="J169" s="82"/>
      <c r="K169" s="82"/>
      <c r="L169" s="82"/>
      <c r="M169" s="82"/>
      <c r="N169" s="82"/>
      <c r="O169" s="82"/>
      <c r="P169" s="82"/>
      <c r="Q169" s="82"/>
      <c r="R169" s="82"/>
      <c r="S169" s="82"/>
    </row>
    <row r="170" spans="1:19" ht="15.75" hidden="1" outlineLevel="1" thickBot="1">
      <c r="A170" s="82"/>
      <c r="B170" s="82"/>
      <c r="C170" s="121" t="s">
        <v>36</v>
      </c>
      <c r="D170" s="82"/>
      <c r="E170" s="82"/>
      <c r="F170" s="122">
        <f>'Financials from CIP'!D56/1000-'Step 7'!F70</f>
        <v>0</v>
      </c>
      <c r="G170" s="122">
        <f>'Financials from CIP'!E56/1000-'Step 7'!G70</f>
        <v>0</v>
      </c>
      <c r="H170" s="82"/>
      <c r="I170" s="82"/>
      <c r="J170" s="82"/>
      <c r="K170" s="82"/>
      <c r="L170" s="82"/>
      <c r="M170" s="82"/>
      <c r="N170" s="82"/>
      <c r="O170" s="82"/>
      <c r="P170" s="82"/>
      <c r="Q170" s="82"/>
      <c r="R170" s="82"/>
      <c r="S170" s="82"/>
    </row>
    <row r="171" spans="1:19" ht="15.75" hidden="1" outlineLevel="1" thickBot="1">
      <c r="A171" s="82"/>
      <c r="B171" s="82"/>
      <c r="C171" s="121" t="s">
        <v>100</v>
      </c>
      <c r="D171" s="82"/>
      <c r="E171" s="82"/>
      <c r="F171" s="122">
        <f>'Financials from CIP'!D61/1000-'Step 7'!F77</f>
        <v>0</v>
      </c>
      <c r="G171" s="122">
        <f>'Financials from CIP'!E61/1000-'Step 7'!G77</f>
        <v>0</v>
      </c>
      <c r="H171" s="82"/>
      <c r="I171" s="82"/>
      <c r="J171" s="82"/>
      <c r="K171" s="82"/>
      <c r="L171" s="82"/>
      <c r="M171" s="82"/>
      <c r="N171" s="82"/>
      <c r="O171" s="82"/>
      <c r="P171" s="82"/>
      <c r="Q171" s="82"/>
      <c r="R171" s="82"/>
      <c r="S171" s="82"/>
    </row>
    <row r="172" spans="1:19" ht="15.75" hidden="1" outlineLevel="1" thickBot="1">
      <c r="A172" s="82"/>
      <c r="B172" s="82"/>
      <c r="C172" s="121" t="s">
        <v>101</v>
      </c>
      <c r="D172" s="82"/>
      <c r="E172" s="82"/>
      <c r="F172" s="122">
        <f>'Financials from CIP'!D69/1000-'Step 7'!F84</f>
        <v>0</v>
      </c>
      <c r="G172" s="122">
        <f>'Financials from CIP'!E69/1000-'Step 7'!G84</f>
        <v>0</v>
      </c>
      <c r="H172" s="82"/>
      <c r="I172" s="82"/>
      <c r="J172" s="82"/>
      <c r="K172" s="82"/>
      <c r="L172" s="82"/>
      <c r="M172" s="82"/>
      <c r="N172" s="82"/>
      <c r="O172" s="82"/>
      <c r="P172" s="82"/>
      <c r="Q172" s="82"/>
      <c r="R172" s="82"/>
      <c r="S172" s="82"/>
    </row>
    <row r="173" spans="1:19" ht="15.75" hidden="1" outlineLevel="1" thickBot="1">
      <c r="A173" s="82"/>
      <c r="B173" s="82"/>
      <c r="C173" s="121" t="s">
        <v>49</v>
      </c>
      <c r="D173" s="82"/>
      <c r="E173" s="82"/>
      <c r="F173" s="122">
        <f>'Financials from CIP'!D73/1000-SUM('Step 7'!F85:F86)</f>
        <v>0</v>
      </c>
      <c r="G173" s="122">
        <f>'Financials from CIP'!E73/1000-SUM('Step 7'!G85:G86)</f>
        <v>0</v>
      </c>
      <c r="H173" s="82"/>
      <c r="I173" s="82"/>
      <c r="J173" s="82"/>
      <c r="K173" s="82"/>
      <c r="L173" s="82"/>
      <c r="M173" s="82"/>
      <c r="N173" s="82"/>
      <c r="O173" s="82"/>
      <c r="P173" s="82"/>
      <c r="Q173" s="82"/>
      <c r="R173" s="82"/>
      <c r="S173" s="82"/>
    </row>
    <row r="174" spans="1:19" ht="15.75" hidden="1" outlineLevel="1" thickBot="1">
      <c r="A174" s="82"/>
      <c r="B174" s="82"/>
      <c r="C174" s="121"/>
      <c r="D174" s="82"/>
      <c r="E174" s="82"/>
      <c r="F174" s="122"/>
      <c r="G174" s="122"/>
      <c r="H174" s="82"/>
      <c r="I174" s="82"/>
      <c r="J174" s="82"/>
      <c r="K174" s="82"/>
      <c r="L174" s="82"/>
      <c r="M174" s="82"/>
      <c r="N174" s="82"/>
      <c r="O174" s="82"/>
      <c r="P174" s="82"/>
      <c r="Q174" s="82"/>
      <c r="R174" s="82"/>
      <c r="S174" s="82"/>
    </row>
    <row r="175" spans="1:19" ht="15.75" hidden="1" outlineLevel="1" thickBot="1">
      <c r="A175" s="82"/>
      <c r="B175" s="82"/>
      <c r="C175" s="119" t="s">
        <v>102</v>
      </c>
      <c r="D175" s="82"/>
      <c r="E175" s="82"/>
      <c r="F175" s="122"/>
      <c r="G175" s="122"/>
      <c r="H175" s="82"/>
      <c r="I175" s="82"/>
      <c r="J175" s="82"/>
      <c r="K175" s="82"/>
      <c r="L175" s="82"/>
      <c r="M175" s="82"/>
      <c r="N175" s="82"/>
      <c r="O175" s="82"/>
      <c r="P175" s="82"/>
      <c r="Q175" s="82"/>
      <c r="R175" s="82"/>
      <c r="S175" s="82"/>
    </row>
    <row r="176" spans="1:19" ht="15.75" hidden="1" outlineLevel="1" thickBot="1">
      <c r="A176" s="82"/>
      <c r="B176" s="82"/>
      <c r="C176" s="121" t="s">
        <v>103</v>
      </c>
      <c r="D176" s="82"/>
      <c r="E176" s="82"/>
      <c r="F176" s="122">
        <f>F70-F87</f>
        <v>-8.2790072042371321E-7</v>
      </c>
      <c r="G176" s="122">
        <f>G70-G87</f>
        <v>5.0419180297467392E-7</v>
      </c>
      <c r="H176" s="82"/>
      <c r="I176" s="82"/>
      <c r="J176" s="82"/>
      <c r="K176" s="82"/>
      <c r="L176" s="82"/>
      <c r="M176" s="82"/>
      <c r="N176" s="82"/>
      <c r="O176" s="82"/>
      <c r="P176" s="82"/>
      <c r="Q176" s="82"/>
      <c r="R176" s="82"/>
      <c r="S176" s="82"/>
    </row>
    <row r="177" spans="1:19" ht="19.5" hidden="1" customHeight="1" outlineLevel="1">
      <c r="A177" s="82"/>
      <c r="B177" s="82"/>
      <c r="C177" s="121"/>
      <c r="D177" s="82"/>
      <c r="E177" s="82"/>
      <c r="F177" s="122"/>
      <c r="G177" s="122"/>
      <c r="H177" s="82"/>
      <c r="I177" s="82"/>
      <c r="J177" s="82"/>
      <c r="K177" s="82"/>
      <c r="L177" s="82"/>
      <c r="M177" s="82"/>
      <c r="N177" s="82"/>
      <c r="O177" s="82"/>
      <c r="P177" s="82"/>
      <c r="Q177" s="82"/>
      <c r="R177" s="82"/>
      <c r="S177" s="82"/>
    </row>
    <row r="178" spans="1:19" s="114" customFormat="1" ht="13.5" hidden="1" customHeight="1" outlineLevel="1">
      <c r="A178" s="82"/>
      <c r="B178" s="110"/>
      <c r="C178" s="111"/>
      <c r="D178" s="111"/>
      <c r="E178" s="111"/>
      <c r="F178" s="112"/>
      <c r="G178" s="113"/>
      <c r="H178" s="113"/>
      <c r="I178" s="113"/>
      <c r="J178" s="113"/>
      <c r="K178" s="113"/>
      <c r="L178" s="113"/>
      <c r="M178" s="142"/>
    </row>
    <row r="179" spans="1:19" ht="5.0999999999999996" hidden="1" customHeight="1" outlineLevel="1" thickBot="1">
      <c r="A179" s="82"/>
      <c r="C179" s="115"/>
      <c r="D179" s="115"/>
      <c r="E179" s="115"/>
      <c r="F179" s="116"/>
      <c r="G179" s="116"/>
      <c r="H179" s="116"/>
      <c r="I179" s="116"/>
      <c r="J179" s="116"/>
      <c r="K179" s="116"/>
      <c r="L179" s="116"/>
      <c r="M179" s="50"/>
    </row>
    <row r="180" spans="1:19" ht="13.5" hidden="1" customHeight="1" outlineLevel="1">
      <c r="A180" s="82"/>
      <c r="C180" s="118"/>
      <c r="D180" s="118"/>
      <c r="E180" s="118"/>
      <c r="M180" s="50"/>
    </row>
    <row r="181" spans="1:19" ht="13.5" hidden="1" customHeight="1" outlineLevel="1" thickBot="1">
      <c r="A181" s="82"/>
      <c r="C181" s="118"/>
      <c r="D181" s="118"/>
      <c r="E181" s="118"/>
      <c r="M181" s="50"/>
    </row>
    <row r="182" spans="1:19" ht="19.5" customHeight="1" thickTop="1">
      <c r="B182" s="46" t="s">
        <v>61</v>
      </c>
      <c r="C182" s="47" t="s">
        <v>124</v>
      </c>
      <c r="D182" s="48"/>
      <c r="E182" s="49"/>
      <c r="F182" s="49"/>
      <c r="G182" s="49"/>
      <c r="H182" s="49"/>
      <c r="I182" s="49"/>
      <c r="J182" s="49"/>
      <c r="K182" s="49"/>
      <c r="L182" s="49"/>
      <c r="M182" s="50"/>
    </row>
    <row r="183" spans="1:19" ht="5.0999999999999996" customHeight="1" outlineLevel="1">
      <c r="M183" s="50"/>
    </row>
    <row r="184" spans="1:19" ht="13.5" customHeight="1" outlineLevel="1">
      <c r="C184" s="53"/>
      <c r="D184" s="53"/>
      <c r="E184" s="53"/>
      <c r="F184" s="143"/>
      <c r="G184" s="54"/>
      <c r="H184" s="55" t="s">
        <v>64</v>
      </c>
      <c r="I184" s="55"/>
      <c r="J184" s="55"/>
      <c r="K184" s="55"/>
      <c r="L184" s="55"/>
      <c r="M184" s="50"/>
    </row>
    <row r="185" spans="1:19" ht="13.5" customHeight="1" outlineLevel="1" thickBot="1">
      <c r="C185" s="56" t="s">
        <v>65</v>
      </c>
      <c r="D185" s="144" t="s">
        <v>126</v>
      </c>
      <c r="E185" s="57" t="s">
        <v>127</v>
      </c>
      <c r="F185" s="145" t="s">
        <v>128</v>
      </c>
      <c r="G185" s="58" t="s">
        <v>129</v>
      </c>
      <c r="H185" s="58">
        <f t="shared" ref="H185:L185" si="50">H$11</f>
        <v>46022</v>
      </c>
      <c r="I185" s="58">
        <f t="shared" si="50"/>
        <v>46387</v>
      </c>
      <c r="J185" s="58">
        <f t="shared" si="50"/>
        <v>46752</v>
      </c>
      <c r="K185" s="58">
        <f t="shared" si="50"/>
        <v>47118</v>
      </c>
      <c r="L185" s="58">
        <f t="shared" si="50"/>
        <v>47483</v>
      </c>
      <c r="M185" s="50"/>
    </row>
    <row r="186" spans="1:19" ht="13.5" customHeight="1" outlineLevel="1">
      <c r="M186" s="50"/>
    </row>
    <row r="187" spans="1:19" ht="13.5" customHeight="1" outlineLevel="1">
      <c r="C187" s="146">
        <f>G11</f>
        <v>45657</v>
      </c>
      <c r="D187" s="169">
        <f>G67</f>
        <v>55.684984</v>
      </c>
      <c r="E187" s="170">
        <v>10</v>
      </c>
      <c r="F187" s="149">
        <f>-G20</f>
        <v>-1.1617642799999999</v>
      </c>
      <c r="G187" s="150">
        <f t="shared" ref="G187:G192" si="51">IFERROR(-D187/E187,"N/M")</f>
        <v>-5.5684984000000002</v>
      </c>
      <c r="H187" s="154">
        <f>-MIN(-$G187,$D187)</f>
        <v>-5.5684984000000002</v>
      </c>
      <c r="I187" s="154">
        <f>-MIN(-$H187,SUM($H187:H187,$D187))</f>
        <v>-5.5684984000000002</v>
      </c>
      <c r="J187" s="154">
        <f>-MIN(-$H187,SUM($H187:I187,$D187))</f>
        <v>-5.5684984000000002</v>
      </c>
      <c r="K187" s="154">
        <f>-MIN(-$H187,SUM($H187:J187,$D187))</f>
        <v>-5.5684984000000002</v>
      </c>
      <c r="L187" s="154">
        <f>-MIN(-$H187,SUM($H187:K187,$D187))</f>
        <v>-5.5684984000000002</v>
      </c>
      <c r="M187" s="50"/>
    </row>
    <row r="188" spans="1:19" ht="13.5" customHeight="1" outlineLevel="1">
      <c r="C188" s="146">
        <f>H185</f>
        <v>46022</v>
      </c>
      <c r="D188" s="169">
        <f>H36</f>
        <v>2.6089416062595356</v>
      </c>
      <c r="E188" s="170">
        <v>10</v>
      </c>
      <c r="F188" s="68"/>
      <c r="G188" s="150">
        <f t="shared" si="51"/>
        <v>-0.26089416062595355</v>
      </c>
      <c r="H188" s="154">
        <f>-MIN(-$G188,$D188)</f>
        <v>-0.26089416062595355</v>
      </c>
      <c r="I188" s="193">
        <f>-MIN(-$H188,SUM($H188:H188,$D188))</f>
        <v>-0.26089416062595355</v>
      </c>
      <c r="J188" s="193">
        <f>-MIN(-$H188,SUM($H188:I188,$D188))</f>
        <v>-0.26089416062595355</v>
      </c>
      <c r="K188" s="193">
        <f>-MIN(-$H188,SUM($H188:J188,$D188))</f>
        <v>-0.26089416062595355</v>
      </c>
      <c r="L188" s="193">
        <f>-MIN(-$H188,SUM($H188:K188,$D188))</f>
        <v>-0.26089416062595355</v>
      </c>
      <c r="M188" s="50"/>
    </row>
    <row r="189" spans="1:19" ht="13.5" customHeight="1" outlineLevel="1">
      <c r="C189" s="146">
        <f>I185</f>
        <v>46387</v>
      </c>
      <c r="D189" s="169">
        <f>I36</f>
        <v>3.0090322850545372</v>
      </c>
      <c r="E189" s="170">
        <v>10</v>
      </c>
      <c r="F189" s="68"/>
      <c r="G189" s="150">
        <f t="shared" si="51"/>
        <v>-0.3009032285054537</v>
      </c>
      <c r="H189" s="194"/>
      <c r="I189" s="154">
        <f>-MIN(-$G189,$D189)</f>
        <v>-0.3009032285054537</v>
      </c>
      <c r="J189" s="193">
        <f ca="1">-MIN(-$I189,SUM($I189:J189,$D189))</f>
        <v>-0.3009032285054537</v>
      </c>
      <c r="K189" s="193">
        <f ca="1">-MIN(-$I189,SUM($I189:K189,$D189))</f>
        <v>-0.3009032285054537</v>
      </c>
      <c r="L189" s="193">
        <f ca="1">-MIN(-$I189,SUM($I189:L189,$D189))</f>
        <v>-0.3009032285054537</v>
      </c>
      <c r="M189" s="50"/>
    </row>
    <row r="190" spans="1:19" ht="13.5" customHeight="1" outlineLevel="1">
      <c r="C190" s="146">
        <f>J185</f>
        <v>46752</v>
      </c>
      <c r="D190" s="169">
        <f>J36</f>
        <v>3.3802073552164953</v>
      </c>
      <c r="E190" s="170">
        <v>10</v>
      </c>
      <c r="F190" s="68"/>
      <c r="G190" s="150">
        <f t="shared" si="51"/>
        <v>-0.33802073552164952</v>
      </c>
      <c r="H190" s="194"/>
      <c r="I190" s="194"/>
      <c r="J190" s="154">
        <f>-MIN(-$G190,$D190)</f>
        <v>-0.33802073552164952</v>
      </c>
      <c r="K190" s="193">
        <f ca="1">-MIN(-$J190,SUM($J190:L190,$D190))</f>
        <v>-0.33802073552164952</v>
      </c>
      <c r="L190" s="193">
        <f ca="1">-MIN(-$J190,SUM($J190:M190,$D190))</f>
        <v>-0.33802073552164952</v>
      </c>
      <c r="M190" s="50"/>
    </row>
    <row r="191" spans="1:19" ht="13.5" customHeight="1" outlineLevel="1">
      <c r="C191" s="146">
        <f>K185</f>
        <v>47118</v>
      </c>
      <c r="D191" s="169">
        <f>K36</f>
        <v>3.6957619988438841</v>
      </c>
      <c r="E191" s="170">
        <v>10</v>
      </c>
      <c r="F191" s="68"/>
      <c r="G191" s="150">
        <f t="shared" si="51"/>
        <v>-0.36957619988438839</v>
      </c>
      <c r="H191" s="194"/>
      <c r="I191" s="194"/>
      <c r="J191" s="194"/>
      <c r="K191" s="154">
        <f>-MIN(-$G191,$D191)</f>
        <v>-0.36957619988438839</v>
      </c>
      <c r="L191" s="193">
        <f ca="1">-MIN(-$K191,SUM($K191:N191,$D191))</f>
        <v>-0.36957619988438839</v>
      </c>
      <c r="M191" s="50"/>
    </row>
    <row r="192" spans="1:19" ht="13.5" customHeight="1" outlineLevel="1">
      <c r="C192" s="146">
        <f>L185</f>
        <v>47483</v>
      </c>
      <c r="D192" s="169">
        <f>L36</f>
        <v>3.9299019555263603</v>
      </c>
      <c r="E192" s="170">
        <v>10</v>
      </c>
      <c r="F192" s="68"/>
      <c r="G192" s="150">
        <f t="shared" si="51"/>
        <v>-0.39299019555263603</v>
      </c>
      <c r="H192" s="194"/>
      <c r="I192" s="194"/>
      <c r="J192" s="194"/>
      <c r="K192" s="194"/>
      <c r="L192" s="154">
        <f>-MIN(-$G192,$D192)</f>
        <v>-0.39299019555263603</v>
      </c>
      <c r="M192" s="50"/>
    </row>
    <row r="193" spans="1:19" ht="13.5" customHeight="1" outlineLevel="1">
      <c r="C193" s="68"/>
      <c r="D193" s="155"/>
    </row>
    <row r="194" spans="1:19" ht="13.5" customHeight="1" outlineLevel="1">
      <c r="C194" s="39" t="s">
        <v>131</v>
      </c>
      <c r="H194" s="156">
        <f>-SUM(H187:H193)</f>
        <v>5.829392560625954</v>
      </c>
      <c r="I194" s="156">
        <f t="shared" ref="I194:L194" si="52">-SUM(I187:I193)</f>
        <v>6.1302957891314076</v>
      </c>
      <c r="J194" s="156">
        <f t="shared" ca="1" si="52"/>
        <v>6.4683165246530567</v>
      </c>
      <c r="K194" s="156">
        <f t="shared" ca="1" si="52"/>
        <v>6.8378927245374452</v>
      </c>
      <c r="L194" s="156">
        <f t="shared" ca="1" si="52"/>
        <v>7.2308829200900817</v>
      </c>
    </row>
    <row r="195" spans="1:19" ht="5.0999999999999996" customHeight="1" outlineLevel="1" thickBot="1">
      <c r="C195" s="157"/>
      <c r="D195" s="157"/>
      <c r="E195" s="157"/>
      <c r="F195" s="83"/>
      <c r="G195" s="83"/>
      <c r="H195" s="83"/>
      <c r="I195" s="83"/>
      <c r="J195" s="83"/>
      <c r="K195" s="83"/>
      <c r="L195" s="83"/>
    </row>
    <row r="196" spans="1:19" ht="13.5" customHeight="1" outlineLevel="1"/>
    <row r="197" spans="1:19" ht="19.5" customHeight="1" thickBot="1">
      <c r="A197" s="82"/>
      <c r="B197" s="82"/>
      <c r="C197" s="121"/>
      <c r="D197" s="82"/>
      <c r="E197" s="82"/>
      <c r="F197" s="82"/>
      <c r="G197" s="82"/>
      <c r="H197" s="82"/>
      <c r="I197" s="82"/>
      <c r="J197" s="82"/>
      <c r="K197" s="82"/>
      <c r="L197" s="82"/>
      <c r="M197" s="82"/>
      <c r="N197" s="82"/>
      <c r="O197" s="82"/>
      <c r="P197" s="82"/>
      <c r="Q197" s="82"/>
      <c r="R197" s="82"/>
      <c r="S197" s="82"/>
    </row>
    <row r="198" spans="1:19" ht="19.5" customHeight="1" outlineLevel="1" thickTop="1">
      <c r="A198" s="125"/>
      <c r="B198" s="46" t="s">
        <v>61</v>
      </c>
      <c r="C198" s="47" t="s">
        <v>199</v>
      </c>
      <c r="D198" s="48"/>
      <c r="E198" s="49"/>
      <c r="F198" s="49"/>
      <c r="G198" s="49"/>
      <c r="H198" s="49"/>
      <c r="I198" s="49"/>
      <c r="J198" s="49"/>
      <c r="K198" s="49"/>
      <c r="L198" s="49"/>
      <c r="M198" s="50" t="s">
        <v>200</v>
      </c>
    </row>
    <row r="199" spans="1:19" ht="5.0999999999999996" customHeight="1" outlineLevel="1">
      <c r="A199" s="125"/>
      <c r="M199" s="50"/>
    </row>
    <row r="200" spans="1:19" ht="13.5" customHeight="1" outlineLevel="1">
      <c r="A200" s="125"/>
      <c r="C200" s="53"/>
      <c r="D200" s="53"/>
      <c r="E200" s="53"/>
      <c r="F200" s="54" t="s">
        <v>63</v>
      </c>
      <c r="G200" s="54" t="s">
        <v>63</v>
      </c>
      <c r="H200" s="55" t="s">
        <v>64</v>
      </c>
      <c r="I200" s="55"/>
      <c r="J200" s="55"/>
      <c r="K200" s="55"/>
      <c r="L200" s="55"/>
    </row>
    <row r="201" spans="1:19" ht="13.5" customHeight="1" outlineLevel="1" thickBot="1">
      <c r="A201" s="125"/>
      <c r="C201" s="56" t="s">
        <v>65</v>
      </c>
      <c r="D201" s="57"/>
      <c r="E201" s="57"/>
      <c r="F201" s="58">
        <f>F$11</f>
        <v>45291</v>
      </c>
      <c r="G201" s="58">
        <f>G$11</f>
        <v>45657</v>
      </c>
      <c r="H201" s="58">
        <f t="shared" ref="H201:L201" si="53">H$11</f>
        <v>46022</v>
      </c>
      <c r="I201" s="58">
        <f t="shared" si="53"/>
        <v>46387</v>
      </c>
      <c r="J201" s="58">
        <f t="shared" si="53"/>
        <v>46752</v>
      </c>
      <c r="K201" s="58">
        <f t="shared" si="53"/>
        <v>47118</v>
      </c>
      <c r="L201" s="58">
        <f t="shared" si="53"/>
        <v>47483</v>
      </c>
    </row>
    <row r="202" spans="1:19" ht="5.0999999999999996" customHeight="1" outlineLevel="1">
      <c r="A202" s="125"/>
      <c r="M202" s="50"/>
    </row>
    <row r="203" spans="1:19" ht="13.5" customHeight="1" outlineLevel="1">
      <c r="A203" s="125"/>
      <c r="C203" s="68" t="s">
        <v>247</v>
      </c>
      <c r="D203" s="68"/>
      <c r="E203" s="68"/>
      <c r="F203" s="68"/>
      <c r="G203" s="132"/>
      <c r="H203" s="221"/>
      <c r="I203" s="221"/>
      <c r="J203" s="221"/>
      <c r="K203" s="221"/>
      <c r="L203" s="221"/>
      <c r="M203" s="50" t="s">
        <v>248</v>
      </c>
    </row>
    <row r="204" spans="1:19" ht="13.5" customHeight="1" outlineLevel="1">
      <c r="A204" s="125"/>
      <c r="C204" s="68" t="s">
        <v>249</v>
      </c>
      <c r="D204" s="68"/>
      <c r="E204" s="68"/>
      <c r="F204" s="68"/>
      <c r="G204" s="250"/>
      <c r="H204" s="130"/>
      <c r="I204" s="130"/>
      <c r="J204" s="130"/>
      <c r="K204" s="130"/>
      <c r="L204" s="130"/>
      <c r="M204" s="50" t="s">
        <v>250</v>
      </c>
    </row>
    <row r="205" spans="1:19" ht="13.5" customHeight="1" outlineLevel="1">
      <c r="A205" s="125"/>
      <c r="C205" s="65" t="s">
        <v>251</v>
      </c>
      <c r="D205" s="65"/>
      <c r="E205" s="65"/>
      <c r="F205" s="65"/>
      <c r="G205" s="197"/>
      <c r="H205" s="251"/>
      <c r="I205" s="251"/>
      <c r="J205" s="251"/>
      <c r="K205" s="251"/>
      <c r="L205" s="251"/>
      <c r="M205" s="50" t="s">
        <v>252</v>
      </c>
    </row>
    <row r="206" spans="1:19" ht="13.5" customHeight="1" outlineLevel="1">
      <c r="A206" s="125"/>
      <c r="C206" s="68" t="s">
        <v>253</v>
      </c>
      <c r="D206" s="68"/>
      <c r="E206" s="68"/>
      <c r="F206" s="68"/>
      <c r="G206" s="250"/>
      <c r="H206" s="129"/>
      <c r="I206" s="129"/>
      <c r="J206" s="129"/>
      <c r="K206" s="129"/>
      <c r="L206" s="129"/>
      <c r="M206" s="50" t="s">
        <v>254</v>
      </c>
    </row>
    <row r="207" spans="1:19" ht="13.5" customHeight="1" outlineLevel="1">
      <c r="A207" s="125"/>
      <c r="C207" s="70" t="s">
        <v>255</v>
      </c>
      <c r="D207" s="70"/>
      <c r="E207" s="70"/>
      <c r="F207" s="70"/>
      <c r="G207" s="252"/>
      <c r="H207" s="253"/>
      <c r="I207" s="253"/>
      <c r="J207" s="253"/>
      <c r="K207" s="253"/>
      <c r="L207" s="253"/>
      <c r="M207" s="50" t="s">
        <v>256</v>
      </c>
    </row>
    <row r="208" spans="1:19" ht="5.0999999999999996" customHeight="1" outlineLevel="1">
      <c r="A208" s="125"/>
      <c r="C208" s="68"/>
      <c r="D208" s="68"/>
      <c r="E208" s="68"/>
      <c r="F208" s="68"/>
      <c r="G208" s="154"/>
      <c r="H208" s="151"/>
      <c r="I208" s="151"/>
      <c r="J208" s="151"/>
      <c r="K208" s="151"/>
      <c r="L208" s="151"/>
    </row>
    <row r="209" spans="1:13" ht="13.5" customHeight="1" outlineLevel="1">
      <c r="A209" s="125"/>
      <c r="C209" s="72" t="s">
        <v>257</v>
      </c>
      <c r="D209" s="68"/>
      <c r="E209" s="68"/>
      <c r="F209" s="68"/>
      <c r="G209" s="154"/>
      <c r="H209" s="151"/>
      <c r="I209" s="151"/>
      <c r="J209" s="151"/>
      <c r="K209" s="151"/>
      <c r="L209" s="151"/>
    </row>
    <row r="210" spans="1:13" ht="13.5" customHeight="1" outlineLevel="1">
      <c r="A210" s="125"/>
      <c r="C210" s="91" t="str">
        <f>+C237</f>
        <v>Term Loan A</v>
      </c>
      <c r="D210" s="118"/>
      <c r="E210" s="118"/>
      <c r="G210" s="250"/>
      <c r="H210" s="129"/>
      <c r="I210" s="129"/>
      <c r="J210" s="129"/>
      <c r="K210" s="129"/>
      <c r="L210" s="129"/>
      <c r="M210" s="50" t="s">
        <v>258</v>
      </c>
    </row>
    <row r="211" spans="1:13" ht="13.5" customHeight="1" outlineLevel="1">
      <c r="A211" s="125"/>
      <c r="C211" s="91" t="str">
        <f>+C243</f>
        <v>Subordinated - Note 1</v>
      </c>
      <c r="D211" s="118"/>
      <c r="E211" s="118"/>
      <c r="G211" s="250"/>
      <c r="H211" s="129"/>
      <c r="I211" s="129"/>
      <c r="J211" s="129"/>
      <c r="K211" s="129"/>
      <c r="L211" s="129"/>
      <c r="M211" s="50" t="s">
        <v>259</v>
      </c>
    </row>
    <row r="212" spans="1:13" ht="13.5" customHeight="1" outlineLevel="1">
      <c r="A212" s="125"/>
      <c r="C212" s="91" t="str">
        <f>+C249</f>
        <v>Subordinated - Note 2</v>
      </c>
      <c r="D212" s="118"/>
      <c r="E212" s="118"/>
      <c r="G212" s="250"/>
      <c r="H212" s="129"/>
      <c r="I212" s="129"/>
      <c r="J212" s="129"/>
      <c r="K212" s="129"/>
      <c r="L212" s="129"/>
      <c r="M212" s="50" t="s">
        <v>260</v>
      </c>
    </row>
    <row r="213" spans="1:13" ht="13.5" customHeight="1" outlineLevel="1">
      <c r="A213" s="125"/>
      <c r="C213" s="65" t="s">
        <v>261</v>
      </c>
      <c r="D213" s="65"/>
      <c r="E213" s="65"/>
      <c r="F213" s="65"/>
      <c r="G213" s="197"/>
      <c r="H213" s="251"/>
      <c r="I213" s="251"/>
      <c r="J213" s="251"/>
      <c r="K213" s="251"/>
      <c r="L213" s="251"/>
      <c r="M213" s="50" t="s">
        <v>262</v>
      </c>
    </row>
    <row r="214" spans="1:13" ht="13.5" customHeight="1" outlineLevel="1">
      <c r="A214" s="125"/>
      <c r="C214" s="180" t="s">
        <v>263</v>
      </c>
      <c r="D214" s="180"/>
      <c r="E214" s="180"/>
      <c r="F214" s="180"/>
      <c r="G214" s="199"/>
      <c r="H214" s="254"/>
      <c r="I214" s="254"/>
      <c r="J214" s="254"/>
      <c r="K214" s="254"/>
      <c r="L214" s="254"/>
      <c r="M214" s="50" t="s">
        <v>264</v>
      </c>
    </row>
    <row r="215" spans="1:13" ht="13.5" customHeight="1" outlineLevel="1">
      <c r="A215" s="125"/>
      <c r="C215" s="59"/>
      <c r="D215" s="59"/>
      <c r="E215" s="59"/>
      <c r="F215" s="60"/>
      <c r="G215" s="60"/>
      <c r="H215" s="255"/>
      <c r="I215" s="255"/>
      <c r="J215" s="255"/>
      <c r="K215" s="255"/>
      <c r="L215" s="256"/>
    </row>
    <row r="216" spans="1:13" ht="13.5" customHeight="1" outlineLevel="1">
      <c r="A216" s="125"/>
      <c r="C216" s="68" t="s">
        <v>265</v>
      </c>
      <c r="D216" s="59"/>
      <c r="E216" s="59"/>
      <c r="F216" s="60"/>
      <c r="G216" s="60"/>
      <c r="H216" s="129"/>
      <c r="I216" s="129"/>
      <c r="J216" s="129"/>
      <c r="K216" s="129"/>
      <c r="L216" s="129"/>
      <c r="M216" s="50" t="s">
        <v>266</v>
      </c>
    </row>
    <row r="217" spans="1:13" ht="13.5" customHeight="1" outlineLevel="1">
      <c r="A217" s="125"/>
      <c r="C217" s="59"/>
      <c r="D217" s="59"/>
      <c r="E217" s="59"/>
      <c r="F217" s="60"/>
      <c r="G217" s="60"/>
      <c r="H217" s="129"/>
      <c r="I217" s="129"/>
      <c r="J217" s="129"/>
      <c r="K217" s="129"/>
      <c r="L217" s="129"/>
    </row>
    <row r="218" spans="1:13" ht="13.5" customHeight="1" outlineLevel="1">
      <c r="A218" s="125"/>
      <c r="C218" s="72" t="s">
        <v>267</v>
      </c>
      <c r="D218" s="68"/>
      <c r="E218" s="68"/>
      <c r="F218" s="68"/>
      <c r="G218" s="147"/>
      <c r="H218" s="129"/>
      <c r="I218" s="129"/>
      <c r="J218" s="129"/>
      <c r="K218" s="129"/>
      <c r="L218" s="129"/>
    </row>
    <row r="219" spans="1:13" ht="13.5" customHeight="1" outlineLevel="1">
      <c r="A219" s="125"/>
      <c r="C219" s="68" t="s">
        <v>268</v>
      </c>
      <c r="D219" s="68"/>
      <c r="E219" s="68"/>
      <c r="F219" s="68"/>
      <c r="G219" s="132"/>
      <c r="H219" s="129"/>
      <c r="I219" s="129"/>
      <c r="J219" s="129"/>
      <c r="K219" s="129"/>
      <c r="L219" s="129"/>
      <c r="M219" s="50" t="s">
        <v>269</v>
      </c>
    </row>
    <row r="220" spans="1:13" ht="13.5" customHeight="1" outlineLevel="1">
      <c r="A220" s="125"/>
      <c r="C220" s="68" t="str">
        <f>+C210</f>
        <v>Term Loan A</v>
      </c>
      <c r="D220" s="68"/>
      <c r="E220" s="68"/>
      <c r="F220" s="68"/>
      <c r="G220" s="154"/>
      <c r="H220" s="129"/>
      <c r="I220" s="129"/>
      <c r="J220" s="129"/>
      <c r="K220" s="129"/>
      <c r="L220" s="129"/>
      <c r="M220" s="50" t="s">
        <v>270</v>
      </c>
    </row>
    <row r="221" spans="1:13" ht="13.5" customHeight="1" outlineLevel="1">
      <c r="A221" s="125"/>
      <c r="C221" s="68" t="str">
        <f>+C211</f>
        <v>Subordinated - Note 1</v>
      </c>
      <c r="D221" s="68"/>
      <c r="E221" s="68"/>
      <c r="F221" s="68"/>
      <c r="G221" s="154"/>
      <c r="H221" s="129"/>
      <c r="I221" s="129"/>
      <c r="J221" s="129"/>
      <c r="K221" s="129"/>
      <c r="L221" s="129"/>
      <c r="M221" s="50" t="s">
        <v>271</v>
      </c>
    </row>
    <row r="222" spans="1:13" ht="13.5" customHeight="1" outlineLevel="1">
      <c r="A222" s="125"/>
      <c r="C222" s="68" t="str">
        <f>+C212</f>
        <v>Subordinated - Note 2</v>
      </c>
      <c r="D222" s="68"/>
      <c r="E222" s="68"/>
      <c r="F222" s="68"/>
      <c r="G222" s="154"/>
      <c r="H222" s="129"/>
      <c r="I222" s="129"/>
      <c r="J222" s="129"/>
      <c r="K222" s="129"/>
      <c r="L222" s="129"/>
      <c r="M222" s="50" t="s">
        <v>272</v>
      </c>
    </row>
    <row r="223" spans="1:13" ht="13.5" customHeight="1" outlineLevel="1">
      <c r="A223" s="125"/>
      <c r="C223" s="65" t="s">
        <v>273</v>
      </c>
      <c r="D223" s="65"/>
      <c r="E223" s="65"/>
      <c r="F223" s="65"/>
      <c r="G223" s="257"/>
      <c r="H223" s="251"/>
      <c r="I223" s="251"/>
      <c r="J223" s="251"/>
      <c r="K223" s="251"/>
      <c r="L223" s="251"/>
      <c r="M223" s="50" t="s">
        <v>274</v>
      </c>
    </row>
    <row r="224" spans="1:13" ht="13.5" customHeight="1" outlineLevel="1">
      <c r="A224" s="125"/>
      <c r="C224" s="258"/>
      <c r="D224" s="53"/>
      <c r="E224" s="53"/>
      <c r="F224" s="259"/>
      <c r="G224" s="259"/>
      <c r="H224" s="259"/>
      <c r="I224" s="259"/>
      <c r="J224" s="259"/>
      <c r="K224" s="259"/>
      <c r="L224" s="259"/>
    </row>
    <row r="225" spans="1:13" ht="5.0999999999999996" customHeight="1" outlineLevel="1">
      <c r="A225" s="125"/>
      <c r="C225" s="59"/>
      <c r="D225" s="59"/>
      <c r="E225" s="59"/>
      <c r="F225" s="60"/>
      <c r="G225" s="60"/>
      <c r="H225" s="60"/>
      <c r="I225" s="60"/>
      <c r="J225" s="60"/>
      <c r="K225" s="60"/>
    </row>
    <row r="226" spans="1:13" ht="13.5" customHeight="1" outlineLevel="1">
      <c r="A226" s="125"/>
      <c r="C226" s="84" t="s">
        <v>201</v>
      </c>
      <c r="D226" s="85"/>
      <c r="E226" s="86"/>
      <c r="F226" s="86"/>
      <c r="G226" s="86"/>
      <c r="H226" s="86"/>
      <c r="I226" s="86"/>
      <c r="J226" s="86"/>
      <c r="K226" s="86"/>
      <c r="L226" s="87"/>
    </row>
    <row r="227" spans="1:13" ht="13.5" customHeight="1" outlineLevel="1">
      <c r="A227" s="125"/>
      <c r="M227" s="30"/>
    </row>
    <row r="228" spans="1:13" ht="13.5" customHeight="1" outlineLevel="1">
      <c r="A228" s="125"/>
      <c r="C228" s="216" t="str">
        <f>+C113</f>
        <v>Revolver</v>
      </c>
      <c r="D228" s="217"/>
      <c r="E228" s="217"/>
      <c r="F228" s="218"/>
      <c r="G228" s="219"/>
      <c r="H228" s="220"/>
      <c r="I228" s="220"/>
      <c r="J228" s="220"/>
      <c r="K228" s="220"/>
      <c r="L228" s="220"/>
    </row>
    <row r="229" spans="1:13" ht="13.5" customHeight="1" outlineLevel="1">
      <c r="A229" s="125"/>
      <c r="C229" s="98" t="s">
        <v>202</v>
      </c>
      <c r="D229" s="118"/>
      <c r="E229" s="118"/>
      <c r="G229" s="149"/>
      <c r="H229" s="152">
        <f>G232</f>
        <v>1.2892999999999999</v>
      </c>
      <c r="I229" s="152">
        <f>H232</f>
        <v>1.2892999999999999</v>
      </c>
      <c r="J229" s="152">
        <f>I232</f>
        <v>1.2892999999999999</v>
      </c>
      <c r="K229" s="152">
        <f>J232</f>
        <v>1.2892999999999999</v>
      </c>
      <c r="L229" s="152">
        <f>K232</f>
        <v>1.2892999999999999</v>
      </c>
      <c r="M229" s="50"/>
    </row>
    <row r="230" spans="1:13" ht="13.5" customHeight="1" outlineLevel="1">
      <c r="A230" s="125"/>
      <c r="C230" s="91" t="s">
        <v>204</v>
      </c>
      <c r="D230" s="118"/>
      <c r="E230" s="118"/>
      <c r="G230" s="149"/>
      <c r="H230" s="129"/>
      <c r="I230" s="129"/>
      <c r="J230" s="129"/>
      <c r="K230" s="129"/>
      <c r="L230" s="129"/>
      <c r="M230" s="50" t="s">
        <v>275</v>
      </c>
    </row>
    <row r="231" spans="1:13" ht="13.5" customHeight="1" outlineLevel="1">
      <c r="A231" s="125"/>
      <c r="C231" s="91" t="s">
        <v>206</v>
      </c>
      <c r="D231" s="118"/>
      <c r="E231" s="118"/>
      <c r="G231" s="149"/>
      <c r="H231" s="129"/>
      <c r="I231" s="129"/>
      <c r="J231" s="129"/>
      <c r="K231" s="129"/>
      <c r="L231" s="129"/>
      <c r="M231" s="50" t="s">
        <v>276</v>
      </c>
    </row>
    <row r="232" spans="1:13" ht="13.5" customHeight="1" outlineLevel="1">
      <c r="A232" s="125"/>
      <c r="C232" s="65" t="s">
        <v>207</v>
      </c>
      <c r="D232" s="65"/>
      <c r="E232" s="65"/>
      <c r="F232" s="65"/>
      <c r="G232" s="260">
        <f>G78</f>
        <v>1.2892999999999999</v>
      </c>
      <c r="H232" s="260">
        <f>SUM(H229:H231)</f>
        <v>1.2892999999999999</v>
      </c>
      <c r="I232" s="260">
        <f>SUM(I229:I231)</f>
        <v>1.2892999999999999</v>
      </c>
      <c r="J232" s="260">
        <f>SUM(J229:J231)</f>
        <v>1.2892999999999999</v>
      </c>
      <c r="K232" s="260">
        <f>SUM(K229:K231)</f>
        <v>1.2892999999999999</v>
      </c>
      <c r="L232" s="260">
        <f>SUM(L229:L231)</f>
        <v>1.2892999999999999</v>
      </c>
      <c r="M232" s="50"/>
    </row>
    <row r="233" spans="1:13" ht="13.5" customHeight="1" outlineLevel="1">
      <c r="A233" s="125"/>
      <c r="C233" s="68"/>
      <c r="D233" s="68"/>
      <c r="E233" s="68"/>
      <c r="F233" s="68"/>
      <c r="G233" s="147"/>
      <c r="H233" s="154"/>
      <c r="I233" s="68"/>
      <c r="J233" s="68"/>
      <c r="K233" s="68"/>
      <c r="L233" s="68"/>
    </row>
    <row r="234" spans="1:13" ht="13.5" customHeight="1" outlineLevel="1">
      <c r="A234" s="125"/>
      <c r="C234" s="68" t="s">
        <v>209</v>
      </c>
      <c r="D234" s="68"/>
      <c r="E234" s="68"/>
      <c r="F234" s="68"/>
      <c r="G234" s="159">
        <v>30</v>
      </c>
      <c r="H234" s="159">
        <v>30</v>
      </c>
      <c r="I234" s="159">
        <v>30</v>
      </c>
      <c r="J234" s="159">
        <v>30</v>
      </c>
      <c r="K234" s="159">
        <v>30</v>
      </c>
      <c r="L234" s="159">
        <v>30</v>
      </c>
      <c r="M234" s="50"/>
    </row>
    <row r="235" spans="1:13" ht="13.5" customHeight="1" outlineLevel="1">
      <c r="A235" s="125"/>
      <c r="C235" s="98" t="s">
        <v>211</v>
      </c>
      <c r="D235" s="223"/>
      <c r="E235" s="223"/>
      <c r="F235" s="223"/>
      <c r="G235" s="177">
        <f t="shared" ref="G235:L235" si="54">G234-G232</f>
        <v>28.710699999999999</v>
      </c>
      <c r="H235" s="177">
        <f t="shared" si="54"/>
        <v>28.710699999999999</v>
      </c>
      <c r="I235" s="177">
        <f t="shared" si="54"/>
        <v>28.710699999999999</v>
      </c>
      <c r="J235" s="177">
        <f t="shared" si="54"/>
        <v>28.710699999999999</v>
      </c>
      <c r="K235" s="177">
        <f t="shared" si="54"/>
        <v>28.710699999999999</v>
      </c>
      <c r="L235" s="177">
        <f t="shared" si="54"/>
        <v>28.710699999999999</v>
      </c>
      <c r="M235" s="50"/>
    </row>
    <row r="236" spans="1:13" ht="13.5" customHeight="1" outlineLevel="1">
      <c r="A236" s="125"/>
      <c r="C236" s="68"/>
      <c r="G236" s="68"/>
      <c r="H236" s="68"/>
      <c r="I236" s="68"/>
      <c r="J236" s="68"/>
      <c r="K236" s="68"/>
      <c r="L236" s="68"/>
    </row>
    <row r="237" spans="1:13" ht="13.5" customHeight="1" outlineLevel="1">
      <c r="A237" s="125"/>
      <c r="C237" s="216" t="str">
        <f>+C114</f>
        <v>Term Loan A</v>
      </c>
      <c r="D237" s="217"/>
      <c r="E237" s="217"/>
      <c r="F237" s="218"/>
      <c r="G237" s="219"/>
      <c r="H237" s="224"/>
      <c r="I237" s="224"/>
      <c r="J237" s="225"/>
      <c r="K237" s="225"/>
      <c r="L237" s="225"/>
    </row>
    <row r="238" spans="1:13" ht="13.5" customHeight="1" outlineLevel="1">
      <c r="A238" s="125"/>
      <c r="C238" s="98" t="s">
        <v>202</v>
      </c>
      <c r="D238" s="118"/>
      <c r="E238" s="118"/>
      <c r="G238" s="149"/>
      <c r="H238" s="152">
        <f>G241</f>
        <v>12.001450999999999</v>
      </c>
      <c r="I238" s="152">
        <f>H241</f>
        <v>9.6011607999999988</v>
      </c>
      <c r="J238" s="152">
        <f>I241</f>
        <v>7.2008705999999982</v>
      </c>
      <c r="K238" s="152">
        <f>J241</f>
        <v>4.8005803999999976</v>
      </c>
      <c r="L238" s="152">
        <f>K241</f>
        <v>2.4002901999999975</v>
      </c>
      <c r="M238" s="50"/>
    </row>
    <row r="239" spans="1:13" ht="13.5" customHeight="1" outlineLevel="1">
      <c r="A239" s="125"/>
      <c r="C239" s="91" t="s">
        <v>214</v>
      </c>
      <c r="D239" s="118"/>
      <c r="E239" s="118"/>
      <c r="G239" s="149"/>
      <c r="H239" s="177">
        <f>-MIN(($G241*H258),H238)</f>
        <v>-2.4002902000000002</v>
      </c>
      <c r="I239" s="177">
        <f>-MIN(($G241*I258),I238)</f>
        <v>-2.4002902000000002</v>
      </c>
      <c r="J239" s="177">
        <f>-MIN(($G241*J258),J238)</f>
        <v>-2.4002902000000002</v>
      </c>
      <c r="K239" s="177">
        <f>-MIN(($G241*K258),K238)</f>
        <v>-2.4002902000000002</v>
      </c>
      <c r="L239" s="177">
        <f>-MIN(($G241*L258),L238)</f>
        <v>-2.4002901999999975</v>
      </c>
      <c r="M239" s="50"/>
    </row>
    <row r="240" spans="1:13" ht="13.5" customHeight="1" outlineLevel="1">
      <c r="A240" s="125"/>
      <c r="C240" s="91" t="s">
        <v>216</v>
      </c>
      <c r="D240" s="118"/>
      <c r="E240" s="118"/>
      <c r="G240" s="149"/>
      <c r="H240" s="165"/>
      <c r="I240" s="165"/>
      <c r="J240" s="165"/>
      <c r="K240" s="165"/>
      <c r="L240" s="165"/>
      <c r="M240" s="50" t="s">
        <v>277</v>
      </c>
    </row>
    <row r="241" spans="1:13" ht="13.5" customHeight="1" outlineLevel="1">
      <c r="A241" s="125"/>
      <c r="C241" s="65" t="s">
        <v>207</v>
      </c>
      <c r="D241" s="65"/>
      <c r="E241" s="65"/>
      <c r="F241" s="65"/>
      <c r="G241" s="260">
        <f>G79</f>
        <v>12.001450999999999</v>
      </c>
      <c r="H241" s="261">
        <f>SUM(H238:H240)</f>
        <v>9.6011607999999988</v>
      </c>
      <c r="I241" s="261">
        <f>SUM(I238:I240)</f>
        <v>7.2008705999999982</v>
      </c>
      <c r="J241" s="261">
        <f>SUM(J238:J240)</f>
        <v>4.8005803999999976</v>
      </c>
      <c r="K241" s="261">
        <f>SUM(K238:K240)</f>
        <v>2.4002901999999975</v>
      </c>
      <c r="L241" s="261">
        <f>SUM(L238:L240)</f>
        <v>0</v>
      </c>
      <c r="M241" s="50"/>
    </row>
    <row r="242" spans="1:13" ht="13.5" customHeight="1" outlineLevel="1">
      <c r="A242" s="125"/>
      <c r="C242" s="68"/>
      <c r="G242" s="68"/>
      <c r="H242" s="68"/>
      <c r="I242" s="68"/>
      <c r="J242" s="68"/>
      <c r="K242" s="68"/>
      <c r="L242" s="68"/>
    </row>
    <row r="243" spans="1:13" ht="13.5" customHeight="1" outlineLevel="1">
      <c r="A243" s="125"/>
      <c r="C243" s="216" t="str">
        <f>+C115</f>
        <v>Subordinated - Note 1</v>
      </c>
      <c r="D243" s="217"/>
      <c r="E243" s="217"/>
      <c r="F243" s="218"/>
      <c r="G243" s="219"/>
      <c r="H243" s="224"/>
      <c r="I243" s="224"/>
      <c r="J243" s="225"/>
      <c r="K243" s="225"/>
      <c r="L243" s="225"/>
    </row>
    <row r="244" spans="1:13" ht="13.5" customHeight="1" outlineLevel="1">
      <c r="A244" s="125"/>
      <c r="C244" s="98" t="s">
        <v>202</v>
      </c>
      <c r="D244" s="118"/>
      <c r="E244" s="118"/>
      <c r="G244" s="228"/>
      <c r="H244" s="228">
        <f>G247</f>
        <v>8.5337999999999997E-2</v>
      </c>
      <c r="I244" s="228">
        <f>H247</f>
        <v>6.8270399999999995E-2</v>
      </c>
      <c r="J244" s="228">
        <f>I247</f>
        <v>5.1202799999999993E-2</v>
      </c>
      <c r="K244" s="228">
        <f>J247</f>
        <v>3.4135199999999991E-2</v>
      </c>
      <c r="L244" s="228">
        <f>K247</f>
        <v>1.7067599999999992E-2</v>
      </c>
      <c r="M244" s="50"/>
    </row>
    <row r="245" spans="1:13" ht="13.5" customHeight="1" outlineLevel="1">
      <c r="A245" s="125"/>
      <c r="C245" s="91" t="s">
        <v>214</v>
      </c>
      <c r="D245" s="118"/>
      <c r="E245" s="118"/>
      <c r="G245" s="154"/>
      <c r="H245" s="177">
        <f>-MIN(H244,(H259*$G247))</f>
        <v>-1.7067599999999999E-2</v>
      </c>
      <c r="I245" s="177">
        <f>-MIN(I244,(I259*$G247))</f>
        <v>-1.7067599999999999E-2</v>
      </c>
      <c r="J245" s="177">
        <f>-MIN(J244,(J259*$G247))</f>
        <v>-1.7067599999999999E-2</v>
      </c>
      <c r="K245" s="177">
        <f>-MIN(K244,(K259*$G247))</f>
        <v>-1.7067599999999999E-2</v>
      </c>
      <c r="L245" s="177">
        <f>-MIN(L244,(L259*$G247))</f>
        <v>-1.7067599999999992E-2</v>
      </c>
      <c r="M245" s="50"/>
    </row>
    <row r="246" spans="1:13" ht="13.5" customHeight="1" outlineLevel="1">
      <c r="A246" s="125"/>
      <c r="C246" s="91" t="s">
        <v>216</v>
      </c>
      <c r="D246" s="118"/>
      <c r="E246" s="118"/>
      <c r="G246" s="154"/>
      <c r="H246" s="165"/>
      <c r="I246" s="165"/>
      <c r="J246" s="165"/>
      <c r="K246" s="165"/>
      <c r="L246" s="165"/>
      <c r="M246" s="50" t="s">
        <v>278</v>
      </c>
    </row>
    <row r="247" spans="1:13" ht="13.5" customHeight="1" outlineLevel="1">
      <c r="A247" s="125"/>
      <c r="C247" s="65" t="s">
        <v>207</v>
      </c>
      <c r="D247" s="65"/>
      <c r="E247" s="65"/>
      <c r="F247" s="65"/>
      <c r="G247" s="257">
        <f>G80</f>
        <v>8.5337999999999997E-2</v>
      </c>
      <c r="H247" s="262">
        <f>SUM(H244:H246)</f>
        <v>6.8270399999999995E-2</v>
      </c>
      <c r="I247" s="262">
        <f>SUM(I244:I246)</f>
        <v>5.1202799999999993E-2</v>
      </c>
      <c r="J247" s="262">
        <f>SUM(J244:J246)</f>
        <v>3.4135199999999991E-2</v>
      </c>
      <c r="K247" s="262">
        <f>SUM(K244:K246)</f>
        <v>1.7067599999999992E-2</v>
      </c>
      <c r="L247" s="262">
        <f>SUM(L244:L246)</f>
        <v>0</v>
      </c>
      <c r="M247" s="50"/>
    </row>
    <row r="248" spans="1:13" ht="13.5" customHeight="1" outlineLevel="1">
      <c r="A248" s="125"/>
      <c r="C248" s="68"/>
      <c r="G248" s="68"/>
      <c r="H248" s="68"/>
      <c r="I248" s="68"/>
      <c r="J248" s="68"/>
      <c r="K248" s="68"/>
      <c r="L248" s="68"/>
    </row>
    <row r="249" spans="1:13" ht="13.5" customHeight="1" outlineLevel="1">
      <c r="A249" s="125"/>
      <c r="C249" s="216" t="str">
        <f>+C116</f>
        <v>Subordinated - Note 2</v>
      </c>
      <c r="D249" s="217"/>
      <c r="E249" s="217"/>
      <c r="F249" s="218"/>
      <c r="G249" s="219"/>
      <c r="H249" s="224"/>
      <c r="I249" s="224"/>
      <c r="J249" s="225"/>
      <c r="K249" s="225"/>
      <c r="L249" s="225"/>
    </row>
    <row r="250" spans="1:13" ht="13.5" customHeight="1" outlineLevel="1">
      <c r="A250" s="125"/>
      <c r="C250" s="98" t="s">
        <v>202</v>
      </c>
      <c r="D250" s="118"/>
      <c r="E250" s="118"/>
      <c r="G250" s="228"/>
      <c r="H250" s="228">
        <f>G253</f>
        <v>1.2666999999999999E-2</v>
      </c>
      <c r="I250" s="228">
        <f>H253</f>
        <v>1.203365E-2</v>
      </c>
      <c r="J250" s="228">
        <f>I253</f>
        <v>1.14003E-2</v>
      </c>
      <c r="K250" s="228">
        <f>J253</f>
        <v>1.0766950000000001E-2</v>
      </c>
      <c r="L250" s="228">
        <f>K253</f>
        <v>1.0133600000000001E-2</v>
      </c>
      <c r="M250" s="50"/>
    </row>
    <row r="251" spans="1:13" ht="13.5" customHeight="1" outlineLevel="1">
      <c r="A251" s="125"/>
      <c r="C251" s="91" t="s">
        <v>214</v>
      </c>
      <c r="D251" s="118"/>
      <c r="E251" s="118"/>
      <c r="G251" s="154"/>
      <c r="H251" s="177">
        <f>-MIN(H250,H260*$G253)</f>
        <v>-6.3334999999999997E-4</v>
      </c>
      <c r="I251" s="177">
        <f>-MIN(I250,I260*$G253)</f>
        <v>-6.3334999999999997E-4</v>
      </c>
      <c r="J251" s="177">
        <f>-MIN(J250,J260*$G253)</f>
        <v>-6.3334999999999997E-4</v>
      </c>
      <c r="K251" s="177">
        <f>-MIN(K250,K260*$G253)</f>
        <v>-6.3334999999999997E-4</v>
      </c>
      <c r="L251" s="177">
        <f>-MIN(L250,L260*$G253)</f>
        <v>-1.01336E-2</v>
      </c>
      <c r="M251" s="50"/>
    </row>
    <row r="252" spans="1:13" ht="13.5" customHeight="1" outlineLevel="1">
      <c r="A252" s="125"/>
      <c r="C252" s="91" t="s">
        <v>216</v>
      </c>
      <c r="D252" s="118"/>
      <c r="E252" s="118"/>
      <c r="G252" s="154"/>
      <c r="H252" s="165"/>
      <c r="I252" s="165"/>
      <c r="J252" s="165"/>
      <c r="K252" s="165"/>
      <c r="L252" s="165"/>
      <c r="M252" s="50" t="s">
        <v>279</v>
      </c>
    </row>
    <row r="253" spans="1:13" ht="13.5" customHeight="1" outlineLevel="1">
      <c r="A253" s="125"/>
      <c r="C253" s="65" t="s">
        <v>207</v>
      </c>
      <c r="D253" s="65"/>
      <c r="E253" s="65"/>
      <c r="F253" s="65"/>
      <c r="G253" s="257">
        <f>G81</f>
        <v>1.2666999999999999E-2</v>
      </c>
      <c r="H253" s="262">
        <f>SUM(H250:H252)</f>
        <v>1.203365E-2</v>
      </c>
      <c r="I253" s="262">
        <f>SUM(I250:I252)</f>
        <v>1.14003E-2</v>
      </c>
      <c r="J253" s="262">
        <f>SUM(J250:J252)</f>
        <v>1.0766950000000001E-2</v>
      </c>
      <c r="K253" s="262">
        <f>SUM(K250:K252)</f>
        <v>1.0133600000000001E-2</v>
      </c>
      <c r="L253" s="262">
        <f>SUM(L250:L252)</f>
        <v>0</v>
      </c>
      <c r="M253" s="50"/>
    </row>
    <row r="254" spans="1:13" ht="13.5" customHeight="1" outlineLevel="1">
      <c r="A254" s="125"/>
      <c r="C254" s="68"/>
      <c r="G254" s="68"/>
      <c r="H254" s="68"/>
      <c r="I254" s="68"/>
      <c r="J254" s="68"/>
      <c r="K254" s="68"/>
      <c r="L254" s="68"/>
    </row>
    <row r="255" spans="1:13" ht="13.5" customHeight="1" outlineLevel="1">
      <c r="A255" s="125"/>
      <c r="C255" s="84" t="s">
        <v>221</v>
      </c>
      <c r="D255" s="85"/>
      <c r="E255" s="86"/>
      <c r="F255" s="86"/>
      <c r="G255" s="234" t="s">
        <v>222</v>
      </c>
      <c r="H255" s="86"/>
      <c r="I255" s="86"/>
      <c r="J255" s="86"/>
      <c r="K255" s="86"/>
      <c r="L255" s="87"/>
    </row>
    <row r="256" spans="1:13" ht="13.5" customHeight="1" outlineLevel="1">
      <c r="A256" s="125"/>
      <c r="C256" s="68"/>
    </row>
    <row r="257" spans="1:13" ht="13.5" customHeight="1" outlineLevel="1">
      <c r="A257" s="125"/>
      <c r="C257" s="68"/>
      <c r="G257" s="235" t="s">
        <v>222</v>
      </c>
      <c r="H257" s="236" t="s">
        <v>223</v>
      </c>
      <c r="I257" s="237"/>
      <c r="J257" s="237"/>
      <c r="K257" s="237"/>
      <c r="L257" s="237"/>
    </row>
    <row r="258" spans="1:13" ht="13.5" customHeight="1" outlineLevel="1">
      <c r="A258" s="125"/>
      <c r="C258" s="68" t="str">
        <f>+C237</f>
        <v>Term Loan A</v>
      </c>
      <c r="G258" s="152">
        <f>G241</f>
        <v>12.001450999999999</v>
      </c>
      <c r="H258" s="263">
        <v>0.2</v>
      </c>
      <c r="I258" s="263">
        <v>0.2</v>
      </c>
      <c r="J258" s="263">
        <v>0.2</v>
      </c>
      <c r="K258" s="263">
        <v>0.2</v>
      </c>
      <c r="L258" s="263">
        <v>0.2</v>
      </c>
      <c r="M258" s="50"/>
    </row>
    <row r="259" spans="1:13" ht="13.5" customHeight="1" outlineLevel="1">
      <c r="A259" s="125"/>
      <c r="C259" s="68" t="str">
        <f>+C243</f>
        <v>Subordinated - Note 1</v>
      </c>
      <c r="G259" s="152">
        <f>G247</f>
        <v>8.5337999999999997E-2</v>
      </c>
      <c r="H259" s="263">
        <v>0.2</v>
      </c>
      <c r="I259" s="263">
        <v>0.2</v>
      </c>
      <c r="J259" s="263">
        <v>0.2</v>
      </c>
      <c r="K259" s="263">
        <v>0.2</v>
      </c>
      <c r="L259" s="263">
        <v>0.2</v>
      </c>
      <c r="M259" s="50"/>
    </row>
    <row r="260" spans="1:13" ht="13.5" customHeight="1" outlineLevel="1">
      <c r="A260" s="125"/>
      <c r="C260" s="68" t="str">
        <f>+C249</f>
        <v>Subordinated - Note 2</v>
      </c>
      <c r="G260" s="152">
        <f>G253</f>
        <v>1.2666999999999999E-2</v>
      </c>
      <c r="H260" s="263">
        <v>0.05</v>
      </c>
      <c r="I260" s="263">
        <v>0.05</v>
      </c>
      <c r="J260" s="263">
        <v>0.05</v>
      </c>
      <c r="K260" s="263">
        <v>0.05</v>
      </c>
      <c r="L260" s="263">
        <v>0.8</v>
      </c>
      <c r="M260" s="50"/>
    </row>
    <row r="261" spans="1:13" ht="13.5" customHeight="1" outlineLevel="1">
      <c r="A261" s="125"/>
      <c r="C261" s="68"/>
    </row>
    <row r="262" spans="1:13" ht="13.5" customHeight="1" outlineLevel="1">
      <c r="A262" s="125"/>
      <c r="C262" s="84" t="s">
        <v>227</v>
      </c>
      <c r="D262" s="85"/>
      <c r="E262" s="86"/>
      <c r="F262" s="86"/>
      <c r="G262" s="86"/>
      <c r="H262" s="86"/>
      <c r="I262" s="86"/>
      <c r="J262" s="86"/>
      <c r="K262" s="86"/>
      <c r="L262" s="87"/>
    </row>
    <row r="263" spans="1:13" ht="13.5" customHeight="1" outlineLevel="1">
      <c r="A263" s="125"/>
      <c r="C263" s="68"/>
    </row>
    <row r="264" spans="1:13" ht="13.5" customHeight="1" outlineLevel="1">
      <c r="A264" s="125"/>
      <c r="C264" s="239"/>
      <c r="D264" s="240"/>
      <c r="E264" s="240"/>
      <c r="H264" s="54"/>
      <c r="I264" s="54" t="s">
        <v>228</v>
      </c>
      <c r="J264" s="54" t="s">
        <v>229</v>
      </c>
      <c r="K264" s="54" t="s">
        <v>230</v>
      </c>
      <c r="L264" s="54" t="s">
        <v>98</v>
      </c>
    </row>
    <row r="265" spans="1:13" ht="13.5" customHeight="1" outlineLevel="1" thickBot="1">
      <c r="A265" s="125"/>
      <c r="C265" s="241"/>
      <c r="D265" s="242"/>
      <c r="E265" s="242"/>
      <c r="F265" s="243"/>
      <c r="G265" s="244" t="s">
        <v>231</v>
      </c>
      <c r="H265" s="243" t="s">
        <v>232</v>
      </c>
      <c r="I265" s="243" t="s">
        <v>232</v>
      </c>
      <c r="J265" s="243" t="s">
        <v>232</v>
      </c>
      <c r="K265" s="243" t="s">
        <v>233</v>
      </c>
      <c r="L265" s="243" t="s">
        <v>234</v>
      </c>
      <c r="M265" s="50"/>
    </row>
    <row r="266" spans="1:13" ht="5.0999999999999996" customHeight="1" outlineLevel="1">
      <c r="A266" s="125"/>
      <c r="C266" s="98"/>
      <c r="D266" s="118"/>
      <c r="E266" s="118"/>
      <c r="F266" s="245"/>
      <c r="G266" s="245"/>
      <c r="H266" s="245"/>
      <c r="I266" s="245"/>
      <c r="J266" s="245"/>
      <c r="K266" s="118"/>
    </row>
    <row r="267" spans="1:13" ht="13.5" customHeight="1" outlineLevel="1">
      <c r="A267" s="125"/>
      <c r="C267" s="98" t="str">
        <f>+C228</f>
        <v>Revolver</v>
      </c>
      <c r="D267" s="118"/>
      <c r="E267" s="118"/>
      <c r="F267" s="264"/>
      <c r="G267" s="265" t="s">
        <v>240</v>
      </c>
      <c r="H267" s="265">
        <v>3.7100000000000001E-2</v>
      </c>
      <c r="I267" s="265">
        <v>4.2500000000000003E-2</v>
      </c>
      <c r="J267" s="266">
        <f>I267+H267</f>
        <v>7.9600000000000004E-2</v>
      </c>
      <c r="K267" s="265" t="s">
        <v>241</v>
      </c>
      <c r="L267" s="267">
        <v>1</v>
      </c>
      <c r="M267" s="50"/>
    </row>
    <row r="268" spans="1:13" ht="13.5" customHeight="1" outlineLevel="1">
      <c r="A268" s="125"/>
      <c r="C268" s="98" t="str">
        <f>+C237</f>
        <v>Term Loan A</v>
      </c>
      <c r="D268" s="118"/>
      <c r="E268" s="118"/>
      <c r="F268" s="264"/>
      <c r="G268" s="265" t="s">
        <v>240</v>
      </c>
      <c r="H268" s="265">
        <v>3.7100000000000001E-2</v>
      </c>
      <c r="I268" s="265">
        <v>4.7500000000000001E-2</v>
      </c>
      <c r="J268" s="266">
        <f>I268+H268</f>
        <v>8.4600000000000009E-2</v>
      </c>
      <c r="K268" s="265" t="s">
        <v>241</v>
      </c>
      <c r="L268" s="267">
        <v>1</v>
      </c>
      <c r="M268" s="50"/>
    </row>
    <row r="269" spans="1:13" ht="13.5" customHeight="1" outlineLevel="1">
      <c r="A269" s="125"/>
      <c r="C269" s="98" t="str">
        <f>+C243</f>
        <v>Subordinated - Note 1</v>
      </c>
      <c r="D269" s="118"/>
      <c r="E269" s="118"/>
      <c r="F269" s="264"/>
      <c r="G269" s="265" t="s">
        <v>242</v>
      </c>
      <c r="H269" s="265" t="s">
        <v>241</v>
      </c>
      <c r="I269" s="265" t="s">
        <v>241</v>
      </c>
      <c r="J269" s="265" t="s">
        <v>241</v>
      </c>
      <c r="K269" s="265">
        <v>0.12</v>
      </c>
      <c r="L269" s="267">
        <v>1</v>
      </c>
      <c r="M269" s="50"/>
    </row>
    <row r="270" spans="1:13" ht="13.5" customHeight="1" outlineLevel="1">
      <c r="A270" s="125"/>
      <c r="C270" s="98" t="str">
        <f>+C249</f>
        <v>Subordinated - Note 2</v>
      </c>
      <c r="D270" s="118"/>
      <c r="E270" s="118"/>
      <c r="F270" s="264"/>
      <c r="G270" s="265" t="s">
        <v>242</v>
      </c>
      <c r="H270" s="265" t="s">
        <v>241</v>
      </c>
      <c r="I270" s="265" t="s">
        <v>241</v>
      </c>
      <c r="J270" s="265" t="s">
        <v>241</v>
      </c>
      <c r="K270" s="265">
        <v>0.14499999999999999</v>
      </c>
      <c r="L270" s="267">
        <v>0.5</v>
      </c>
      <c r="M270" s="50"/>
    </row>
    <row r="271" spans="1:13" ht="5.0999999999999996" customHeight="1" outlineLevel="1" thickBot="1">
      <c r="C271" s="157"/>
      <c r="D271" s="157"/>
      <c r="E271" s="157"/>
      <c r="F271" s="83"/>
      <c r="G271" s="83"/>
      <c r="H271" s="83"/>
      <c r="I271" s="83"/>
      <c r="J271" s="83"/>
      <c r="K271" s="83"/>
      <c r="L271" s="83"/>
    </row>
    <row r="273" spans="1:19" ht="19.5" customHeight="1">
      <c r="A273" s="82"/>
      <c r="B273" s="82"/>
      <c r="C273" s="121"/>
      <c r="D273" s="82"/>
      <c r="E273" s="82"/>
      <c r="F273" s="82"/>
      <c r="G273" s="82"/>
      <c r="H273" s="82"/>
      <c r="I273" s="82"/>
      <c r="J273" s="82"/>
      <c r="K273" s="82"/>
      <c r="L273" s="82"/>
      <c r="M273" s="82"/>
      <c r="N273" s="82"/>
      <c r="O273" s="82"/>
      <c r="P273" s="82"/>
      <c r="Q273" s="82"/>
      <c r="R273" s="82"/>
      <c r="S273" s="82"/>
    </row>
    <row r="274" spans="1:19" ht="5.0999999999999996" customHeight="1">
      <c r="A274" s="82"/>
      <c r="B274" s="82"/>
      <c r="C274" s="82"/>
      <c r="D274" s="82"/>
      <c r="E274" s="82"/>
      <c r="F274" s="82"/>
      <c r="G274" s="82"/>
      <c r="H274" s="82"/>
      <c r="I274" s="82"/>
      <c r="J274" s="82"/>
      <c r="K274" s="82"/>
      <c r="L274" s="82"/>
      <c r="M274" s="82"/>
      <c r="N274" s="82"/>
      <c r="O274" s="82"/>
      <c r="P274" s="82"/>
      <c r="Q274" s="82"/>
      <c r="R274" s="82"/>
      <c r="S274" s="82"/>
    </row>
    <row r="275" spans="1:19" ht="13.5" customHeight="1">
      <c r="A275" s="82"/>
      <c r="B275" s="82"/>
      <c r="C275" s="123"/>
      <c r="D275" s="82"/>
      <c r="E275" s="82"/>
      <c r="F275" s="82"/>
      <c r="G275" s="82"/>
      <c r="H275" s="82"/>
      <c r="I275" s="82"/>
      <c r="J275" s="82"/>
      <c r="K275" s="82"/>
      <c r="L275" s="82"/>
      <c r="M275" s="82"/>
      <c r="N275" s="82"/>
      <c r="O275" s="82"/>
      <c r="P275" s="82"/>
      <c r="Q275" s="82"/>
      <c r="R275" s="82"/>
      <c r="S275" s="82"/>
    </row>
    <row r="276" spans="1:19" ht="13.5" customHeight="1">
      <c r="A276" s="82"/>
      <c r="B276" s="82"/>
      <c r="C276" s="82"/>
      <c r="D276" s="82"/>
      <c r="E276" s="82"/>
      <c r="F276" s="124"/>
      <c r="G276" s="124"/>
      <c r="H276" s="82"/>
      <c r="I276" s="82"/>
      <c r="J276" s="82"/>
      <c r="K276" s="82"/>
      <c r="L276" s="82"/>
      <c r="M276" s="82"/>
      <c r="N276" s="82"/>
      <c r="O276" s="82"/>
      <c r="P276" s="82"/>
      <c r="Q276" s="82"/>
      <c r="R276" s="82"/>
      <c r="S276" s="82"/>
    </row>
    <row r="277" spans="1:19" ht="13.5" customHeight="1">
      <c r="A277" s="82"/>
      <c r="B277" s="82"/>
      <c r="C277" s="82"/>
      <c r="D277" s="82"/>
      <c r="E277" s="82"/>
      <c r="F277" s="124"/>
      <c r="G277" s="124"/>
      <c r="H277" s="82"/>
      <c r="I277" s="82"/>
      <c r="J277" s="82"/>
      <c r="K277" s="82"/>
      <c r="L277" s="82"/>
      <c r="M277" s="82"/>
      <c r="N277" s="82"/>
      <c r="O277" s="82"/>
      <c r="P277" s="82"/>
      <c r="Q277" s="82"/>
      <c r="R277" s="82"/>
      <c r="S277" s="82"/>
    </row>
    <row r="278" spans="1:19" ht="13.5" customHeight="1">
      <c r="A278" s="82"/>
      <c r="B278" s="82"/>
      <c r="C278" s="82"/>
      <c r="D278" s="82"/>
      <c r="E278" s="82"/>
      <c r="F278" s="124"/>
      <c r="G278" s="124"/>
      <c r="H278" s="82"/>
      <c r="I278" s="82"/>
      <c r="J278" s="82"/>
      <c r="K278" s="82"/>
      <c r="L278" s="82"/>
      <c r="M278" s="82"/>
      <c r="N278" s="82"/>
      <c r="O278" s="82"/>
      <c r="P278" s="82"/>
      <c r="Q278" s="82"/>
      <c r="R278" s="82"/>
      <c r="S278" s="82"/>
    </row>
    <row r="279" spans="1:19" ht="13.5" customHeight="1">
      <c r="A279" s="82"/>
      <c r="B279" s="82"/>
      <c r="C279" s="82"/>
      <c r="D279" s="82"/>
      <c r="E279" s="82"/>
      <c r="F279" s="124"/>
      <c r="G279" s="124"/>
      <c r="H279" s="82"/>
      <c r="I279" s="82"/>
      <c r="J279" s="82"/>
      <c r="K279" s="82"/>
      <c r="L279" s="82"/>
      <c r="M279" s="82"/>
      <c r="N279" s="82"/>
      <c r="O279" s="82"/>
      <c r="P279" s="82"/>
      <c r="Q279" s="82"/>
      <c r="R279" s="82"/>
      <c r="S279" s="82"/>
    </row>
    <row r="280" spans="1:19" ht="13.5" customHeight="1">
      <c r="A280" s="82"/>
      <c r="B280" s="82"/>
      <c r="C280" s="82"/>
      <c r="D280" s="82"/>
      <c r="E280" s="82"/>
      <c r="F280" s="82"/>
      <c r="G280" s="82"/>
      <c r="H280" s="82"/>
      <c r="I280" s="82"/>
      <c r="J280" s="82"/>
      <c r="K280" s="82"/>
      <c r="L280" s="82"/>
      <c r="M280" s="82"/>
      <c r="N280" s="82"/>
      <c r="O280" s="82"/>
      <c r="P280" s="82"/>
      <c r="Q280" s="82"/>
      <c r="R280" s="82"/>
      <c r="S280" s="82"/>
    </row>
    <row r="281" spans="1:19" ht="13.5" customHeight="1">
      <c r="A281" s="82"/>
      <c r="B281" s="82"/>
      <c r="C281" s="123"/>
      <c r="D281" s="82"/>
      <c r="E281" s="82"/>
      <c r="F281" s="82"/>
      <c r="G281" s="82"/>
      <c r="H281" s="82"/>
      <c r="I281" s="82"/>
      <c r="J281" s="82"/>
      <c r="K281" s="82"/>
      <c r="L281" s="82"/>
      <c r="M281" s="82"/>
      <c r="N281" s="82"/>
      <c r="O281" s="82"/>
      <c r="P281" s="82"/>
      <c r="Q281" s="82"/>
      <c r="R281" s="82"/>
      <c r="S281" s="82"/>
    </row>
    <row r="282" spans="1:19" ht="13.5" customHeight="1">
      <c r="A282" s="82"/>
      <c r="B282" s="82"/>
      <c r="C282" s="82"/>
      <c r="D282" s="82"/>
      <c r="E282" s="82"/>
      <c r="F282" s="124"/>
      <c r="G282" s="124"/>
      <c r="H282" s="82"/>
      <c r="I282" s="82"/>
      <c r="J282" s="82"/>
      <c r="K282" s="82"/>
      <c r="L282" s="82"/>
      <c r="M282" s="82"/>
      <c r="N282" s="82"/>
      <c r="O282" s="82"/>
      <c r="P282" s="82"/>
      <c r="Q282" s="82"/>
      <c r="R282" s="82"/>
      <c r="S282" s="82"/>
    </row>
    <row r="283" spans="1:19" ht="13.5" customHeight="1">
      <c r="A283" s="82"/>
      <c r="B283" s="82"/>
      <c r="C283" s="82"/>
      <c r="D283" s="82"/>
      <c r="E283" s="82"/>
      <c r="F283" s="124"/>
      <c r="G283" s="124"/>
      <c r="H283" s="82"/>
      <c r="I283" s="82"/>
      <c r="J283" s="82"/>
      <c r="K283" s="82"/>
      <c r="L283" s="82"/>
      <c r="M283" s="82"/>
      <c r="N283" s="82"/>
      <c r="O283" s="82"/>
      <c r="P283" s="82"/>
      <c r="Q283" s="82"/>
      <c r="R283" s="82"/>
      <c r="S283" s="82"/>
    </row>
    <row r="284" spans="1:19" ht="13.5" customHeight="1">
      <c r="A284" s="82"/>
      <c r="B284" s="82"/>
      <c r="C284" s="82"/>
      <c r="D284" s="82"/>
      <c r="E284" s="82"/>
      <c r="F284" s="124"/>
      <c r="G284" s="124"/>
      <c r="H284" s="82"/>
      <c r="I284" s="82"/>
      <c r="J284" s="82"/>
      <c r="K284" s="82"/>
      <c r="L284" s="82"/>
      <c r="M284" s="82"/>
      <c r="N284" s="82"/>
      <c r="O284" s="82"/>
      <c r="P284" s="82"/>
      <c r="Q284" s="82"/>
      <c r="R284" s="82"/>
      <c r="S284" s="82"/>
    </row>
    <row r="285" spans="1:19" ht="13.5" customHeight="1">
      <c r="A285" s="82"/>
      <c r="B285" s="82"/>
      <c r="C285" s="82"/>
      <c r="D285" s="82"/>
      <c r="E285" s="82"/>
      <c r="F285" s="124"/>
      <c r="G285" s="124"/>
      <c r="H285" s="82"/>
      <c r="I285" s="82"/>
      <c r="J285" s="82"/>
      <c r="K285" s="82"/>
      <c r="L285" s="82"/>
      <c r="M285" s="82"/>
      <c r="N285" s="82"/>
      <c r="O285" s="82"/>
      <c r="P285" s="82"/>
      <c r="Q285" s="82"/>
      <c r="R285" s="82"/>
      <c r="S285" s="82"/>
    </row>
    <row r="286" spans="1:19" ht="5.0999999999999996" customHeight="1">
      <c r="A286" s="82"/>
      <c r="B286" s="82"/>
      <c r="C286" s="82"/>
      <c r="D286" s="82"/>
      <c r="E286" s="82"/>
      <c r="F286" s="82"/>
      <c r="G286" s="82"/>
      <c r="H286" s="82"/>
      <c r="I286" s="82"/>
      <c r="J286" s="82"/>
      <c r="K286" s="82"/>
      <c r="L286" s="82"/>
      <c r="M286" s="82"/>
      <c r="N286" s="82"/>
      <c r="O286" s="82"/>
      <c r="P286" s="82"/>
      <c r="Q286" s="82"/>
      <c r="R286" s="82"/>
      <c r="S286" s="82"/>
    </row>
    <row r="287" spans="1:19" ht="13.5" customHeight="1">
      <c r="A287" s="82"/>
      <c r="B287" s="82"/>
      <c r="C287" s="82"/>
      <c r="D287" s="82"/>
      <c r="E287" s="82"/>
      <c r="F287" s="124"/>
      <c r="G287" s="124"/>
      <c r="H287" s="82"/>
      <c r="I287" s="82"/>
      <c r="J287" s="82"/>
      <c r="K287" s="82"/>
      <c r="L287" s="82"/>
      <c r="M287" s="82"/>
      <c r="N287" s="82"/>
      <c r="O287" s="82"/>
      <c r="P287" s="82"/>
      <c r="Q287" s="82"/>
      <c r="R287" s="82"/>
      <c r="S287" s="82"/>
    </row>
    <row r="288" spans="1:19" ht="13.5" customHeight="1">
      <c r="A288" s="82"/>
      <c r="B288" s="82"/>
      <c r="C288" s="82"/>
      <c r="D288" s="82"/>
      <c r="E288" s="82"/>
      <c r="F288" s="124"/>
      <c r="G288" s="124"/>
      <c r="H288" s="82"/>
      <c r="I288" s="82"/>
      <c r="J288" s="82"/>
      <c r="K288" s="82"/>
      <c r="L288" s="82"/>
      <c r="M288" s="82"/>
      <c r="N288" s="82"/>
      <c r="O288" s="82"/>
      <c r="P288" s="82"/>
      <c r="Q288" s="82"/>
      <c r="R288" s="82"/>
      <c r="S288" s="82"/>
    </row>
    <row r="289" spans="1:19" ht="13.5" customHeight="1">
      <c r="A289" s="82"/>
      <c r="B289" s="82"/>
      <c r="C289" s="82"/>
      <c r="D289" s="82"/>
      <c r="E289" s="82"/>
      <c r="F289" s="82"/>
      <c r="G289" s="82"/>
      <c r="H289" s="82"/>
      <c r="I289" s="82"/>
      <c r="J289" s="82"/>
      <c r="K289" s="82"/>
      <c r="L289" s="82"/>
      <c r="M289" s="82"/>
      <c r="N289" s="82"/>
      <c r="O289" s="82"/>
      <c r="P289" s="82"/>
      <c r="Q289" s="82"/>
      <c r="R289" s="82"/>
      <c r="S289" s="82"/>
    </row>
    <row r="290" spans="1:19" ht="13.5" customHeight="1">
      <c r="F290" s="124"/>
      <c r="G290" s="124"/>
    </row>
  </sheetData>
  <dataValidations count="1">
    <dataValidation type="whole" showInputMessage="1" showErrorMessage="1" errorTitle="Validation Error" error="Enter either 0 or 1." sqref="F267:F270" xr:uid="{4C61EA21-6370-410B-BCFF-9AD05C456AC6}">
      <formula1>0</formula1>
      <formula2>1</formula2>
    </dataValidation>
  </dataValidations>
  <pageMargins left="0.25" right="0.25" top="0.75" bottom="0.75" header="0.3" footer="0.3"/>
  <pageSetup scale="47" orientation="landscape" r:id="rId1"/>
  <headerFooter alignWithMargins="0">
    <oddHeader>&amp;A</oddHeader>
    <oddFoote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DFC72860-24C5-45B1-BB00-D78999A9CB62}"/>
</file>

<file path=customXml/itemProps2.xml><?xml version="1.0" encoding="utf-8"?>
<ds:datastoreItem xmlns:ds="http://schemas.openxmlformats.org/officeDocument/2006/customXml" ds:itemID="{C447AB49-73C8-424D-967C-201CDF547FE1}"/>
</file>

<file path=customXml/itemProps3.xml><?xml version="1.0" encoding="utf-8"?>
<ds:datastoreItem xmlns:ds="http://schemas.openxmlformats.org/officeDocument/2006/customXml" ds:itemID="{8DE73339-984F-4F6D-B3CE-B8AED14AAD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PART I - MODEL BUILD &gt;&gt;&gt;</vt:lpstr>
      <vt:lpstr>Financials from CIP</vt:lpstr>
      <vt:lpstr>Step 1</vt:lpstr>
      <vt:lpstr>Step 1 Answer Key</vt:lpstr>
      <vt:lpstr>Step 2</vt:lpstr>
      <vt:lpstr>Step 2 Answer Key</vt:lpstr>
      <vt:lpstr>Step 3</vt:lpstr>
      <vt:lpstr>Step 3 Answer Key</vt:lpstr>
      <vt:lpstr>Step 4</vt:lpstr>
      <vt:lpstr>Step 4 Answer Key</vt:lpstr>
      <vt:lpstr>Step 5</vt:lpstr>
      <vt:lpstr>Step 5 Answer Key</vt:lpstr>
      <vt:lpstr>Step 6</vt:lpstr>
      <vt:lpstr>Step 6 Answer Key</vt:lpstr>
      <vt:lpstr>Step 7</vt:lpstr>
      <vt:lpstr>'Financials from CIP'!Print_Area</vt:lpstr>
      <vt:lpstr>'Step 1'!Print_Area</vt:lpstr>
      <vt:lpstr>'Step 1 Answer Key'!Print_Area</vt:lpstr>
      <vt:lpstr>'Step 2'!Print_Area</vt:lpstr>
      <vt:lpstr>'Step 2 Answer Key'!Print_Area</vt:lpstr>
      <vt:lpstr>'Step 3'!Print_Area</vt:lpstr>
      <vt:lpstr>'Step 3 Answer Key'!Print_Area</vt:lpstr>
      <vt:lpstr>'Step 4'!Print_Area</vt:lpstr>
      <vt:lpstr>'Step 4 Answer Key'!Print_Area</vt:lpstr>
      <vt:lpstr>'Step 5'!Print_Area</vt:lpstr>
      <vt:lpstr>'Step 5 Answer Key'!Print_Area</vt:lpstr>
      <vt:lpstr>'Step 6'!Print_Area</vt:lpstr>
      <vt:lpstr>'Step 6 Answer Key'!Print_Area</vt:lpstr>
      <vt:lpstr>'Step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0x010100FFC4E61526377E47AF828979A7A771F0</vt:lpwstr>
  </property>
</Properties>
</file>