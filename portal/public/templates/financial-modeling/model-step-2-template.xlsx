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henape.sharepoint.com/sites/AthenaDocuments/Shared Documents/_DOCS/_Teaching Content/_WIP/Module 4 - Model Building Steps/"/>
    </mc:Choice>
  </mc:AlternateContent>
  <xr:revisionPtr revIDLastSave="1" documentId="8_{750A06B3-7612-469E-98FF-972DFDA087B1}" xr6:coauthVersionLast="47" xr6:coauthVersionMax="47" xr10:uidLastSave="{1940F986-8DA2-4F48-BCF6-A8A327C4885F}"/>
  <bookViews>
    <workbookView xWindow="-120" yWindow="-120" windowWidth="29040" windowHeight="17520" activeTab="2" xr2:uid="{A1503B94-E01D-4922-9F16-563AB0DE8626}"/>
  </bookViews>
  <sheets>
    <sheet name="PART I - MODEL BUILD &gt;&gt;&gt;" sheetId="1" r:id="rId1"/>
    <sheet name="Financials from CIP" sheetId="2" r:id="rId2"/>
    <sheet name="Step 1" sheetId="3" r:id="rId3"/>
  </sheets>
  <externalReferences>
    <externalReference r:id="rId4"/>
  </externalReferences>
  <definedNames>
    <definedName name="__123Graph_A" hidden="1">#REF!</definedName>
    <definedName name="__123Graph_AChart1" hidden="1">#REF!</definedName>
    <definedName name="__123Graph_ACurrent" hidden="1">#REF!</definedName>
    <definedName name="__123Graph_B" hidden="1">#REF!</definedName>
    <definedName name="__123Graph_X" hidden="1">#REF!</definedName>
    <definedName name="__Actual_Total_208_209_210_Act_v_Budget_01" hidden="1">#REF!</definedName>
    <definedName name="__FDS_HYPERLINK_TOGGLE_STATE__" hidden="1">"ON"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1__FDSAUDITLINK__" localSheetId="1" hidden="1">{"fdsup://IBCentral/FAT Viewer?action=UPDATE&amp;creator=factset&amp;DOC_NAME=fat:reuters_qtrly_source_window.fat&amp;display_string=Audit&amp;DYN_ARGS=TRUE&amp;VAR:ID1=95082P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qtrly_source_window.fat&amp;display_string=Audit&amp;DYN_ARGS=TRUE&amp;VAR:ID1=95082P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__FDSAUDITLINK__" localSheetId="1" hidden="1">{"fdsup://IBCentral/FAT Viewer?action=UPDATE&amp;creator=factset&amp;DOC_NAME=fat:reuters_qtrly_source_window.fat&amp;display_string=Audit&amp;DYN_ARGS=TRUE&amp;VAR:ID1=00936310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00936310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FDSAUDITLINK__" localSheetId="1" hidden="1">{"fdsup://IBCentral/FAT Viewer?action=UPDATE&amp;creator=factset&amp;DOC_NAME=fat:reuters_qtrly_source_window.fat&amp;display_string=Audit&amp;DYN_ARGS=TRUE&amp;VAR:ID1=30213010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qtrly_source_window.fat&amp;display_string=Audit&amp;DYN_ARGS=TRUE&amp;VAR:ID1=30213010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__FDSAUDITLINK__" localSheetId="1" hidden="1">{"fdsup://IBCentral/FAT Viewer?action=UPDATE&amp;creator=factset&amp;DOC_NAME=fat:reuters_qtrly_source_window.fat&amp;display_string=Audit&amp;DYN_ARGS=TRUE&amp;VAR:ID1=26784F10&amp;VAR:RCODE=STLD&amp;VAR:SDATE=20080199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qtrly_source_window.fat&amp;display_string=Audit&amp;DYN_ARGS=TRUE&amp;VAR:ID1=26784F10&amp;VAR:RCODE=STLD&amp;VAR:SDATE=20080199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__FDSAUDITLINK__" localSheetId="1" hidden="1">{"fdsup://IBCentral/FAT Viewer?action=UPDATE&amp;creator=factset&amp;DOC_NAME=fat:reuters_qtrly_source_window.fat&amp;display_string=Audit&amp;DYN_ARGS=TRUE&amp;VAR:ID1=12541W20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qtrly_source_window.fat&amp;display_string=Audit&amp;DYN_ARGS=TRUE&amp;VAR:ID1=12541W20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__FDSAUDITLINK__" localSheetId="1" hidden="1">{"fdsup://IBCentral/FAT Viewer?action=UPDATE&amp;creator=factset&amp;DOC_NAME=fat:reuters_qtrly_source_window.fat&amp;display_string=Audit&amp;DYN_ARGS=TRUE&amp;VAR:ID1=95082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95082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_FDSAUDITLINK__" localSheetId="1" hidden="1">{"fdsup://IBCentral/FAT Viewer?action=UPDATE&amp;creator=factset&amp;DOC_NAME=fat:reuters_qtrly_source_window.fat&amp;display_string=Audit&amp;DYN_ARGS=TRUE&amp;VAR:ID1=55353010&amp;VAR:RCODE=STLD&amp;VAR:SDATE=20080299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55353010&amp;VAR:RCODE=STLD&amp;VAR:SDATE=20080299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FDSAUDITLINK__" localSheetId="1" hidden="1">{"fdsup://IBCentral/FAT Viewer?action=UPDATE&amp;creator=factset&amp;DOC_NAME=fat:reuters_qtrly_source_window.fat&amp;display_string=Audit&amp;DYN_ARGS=TRUE&amp;VAR:ID1=52077610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52077610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__FDSAUDITLINK__" localSheetId="1" hidden="1">{"fdsup://IBCentral/FAT Viewer?action=UPDATE&amp;creator=factset&amp;DOC_NAME=fat:reuters_qtrly_source_window.fat&amp;display_string=Audit&amp;DYN_ARGS=TRUE&amp;VAR:ID1=48354810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48354810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localSheetId="1" hidden="1">{"fdsup://IBCentral/FAT Viewer?action=UPDATE&amp;creator=factset&amp;DOC_NAME=fat:reuters_qtrly_source_window.fat&amp;display_string=Audit&amp;DYN_ARGS=TRUE&amp;VAR:ID1=44244K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qtrly_source_window.fat&amp;display_string=Audit&amp;DYN_ARGS=TRUE&amp;VAR:ID1=44244K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__123Graph_ACHART_1" hidden="1">#REF!</definedName>
    <definedName name="_19__FDSAUDITLINK__" localSheetId="1" hidden="1">{"fdsup://IBCentral/FAT Viewer?action=UPDATE&amp;creator=factset&amp;DOC_NAME=fat:reuters_qtrly_source_window.fat&amp;display_string=Audit&amp;DYN_ARGS=TRUE&amp;VAR:ID1=38480210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38480210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__123Graph_AChart_1A" hidden="1">#REF!</definedName>
    <definedName name="_2__123Graph_AChart_1A_" hidden="1">#REF!</definedName>
    <definedName name="_2__FDSAUDITLINK__" localSheetId="1" hidden="1">{"fdsup://IBCentral/FAT Viewer?action=UPDATE&amp;creator=factset&amp;DOC_NAME=fat:reuters_qtrly_source_window.fat&amp;display_string=Audit&amp;DYN_ARGS=TRUE&amp;VAR:ID1=66990810&amp;VAR:RCODE=STLD&amp;VAR:SDATE=20080899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66990810&amp;VAR:RCODE=STLD&amp;VAR:SDATE=20080899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_FDSAUDITLINK__" localSheetId="1" hidden="1">{"fdsup://IBCentral/FAT Viewer?action=UPDATE&amp;creator=factset&amp;DOC_NAME=fat:reuters_qtrly_source_window.fat&amp;display_string=Audit&amp;DYN_ARGS=TRUE&amp;VAR:ID1=31190010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qtrly_source_window.fat&amp;display_string=Audit&amp;DYN_ARGS=TRUE&amp;VAR:ID1=31190010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__FDSAUDITLINK__" localSheetId="1" hidden="1">{"fdsup://IBCentral/FAT Viewer?action=UPDATE&amp;creator=factset&amp;DOC_NAME=fat:reuters_qtrly_source_window.fat&amp;display_string=Audit&amp;DYN_ARGS=TRUE&amp;VAR:ID1=23337740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qtrly_source_window.fat&amp;display_string=Audit&amp;DYN_ARGS=TRUE&amp;VAR:ID1=23337740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2__FDSAUDITLINK__" localSheetId="1" hidden="1">{"fdsup://IBCentral/FAT Viewer?action=UPDATE&amp;creator=factset&amp;DOC_NAME=fat:reuters_qtrly_source_window.fat&amp;display_string=Audit&amp;DYN_ARGS=TRUE&amp;VAR:ID1=03529010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qtrly_source_window.fat&amp;display_string=Audit&amp;DYN_ARGS=TRUE&amp;VAR:ID1=03529010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_FDSAUDITLINK__" localSheetId="1" hidden="1">{"fdsup://IBCentral/FAT Viewer?action=UPDATE&amp;creator=factset&amp;DOC_NAME=fat:reuters_qtrly_source_window.fat&amp;display_string=Audit&amp;DYN_ARGS=TRUE&amp;VAR:ID1=00936310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00936310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4__FDSAUDITLINK__" localSheetId="1" hidden="1">{"fdsup://IBCentral/FAT Viewer?action=UPDATE&amp;creator=factset&amp;DOC_NAME=fat:reuters_qtrly_source_window.fat&amp;display_string=Audit&amp;DYN_ARGS=TRUE&amp;VAR:ID1=03820C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qtrly_source_window.fat&amp;display_string=Audit&amp;DYN_ARGS=TRUE&amp;VAR:ID1=03820C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_FDSAUDITLINK__" localSheetId="1" hidden="1">{"fdsup://IBCentral/FAT Viewer?action=UPDATE&amp;creator=factset&amp;DOC_NAME=fat:reuters_qtrly_source_window.fat&amp;display_string=Audit&amp;DYN_ARGS=TRUE&amp;VAR:ID1=38480210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qtrly_source_window.fat&amp;display_string=Audit&amp;DYN_ARGS=TRUE&amp;VAR:ID1=38480210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6__FDSAUDITLINK__" localSheetId="1" hidden="1">{"fdsup://IBCentral/FAT Viewer?action=UPDATE&amp;creator=factset&amp;DOC_NAME=fat:reuters_qtrly_source_window.fat&amp;display_string=Audit&amp;DYN_ARGS=TRUE&amp;VAR:ID1=55353010&amp;VAR:RCODE=STLD&amp;VAR:SDATE=20080299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qtrly_source_window.fat&amp;display_string=Audit&amp;DYN_ARGS=TRUE&amp;VAR:ID1=55353010&amp;VAR:RCODE=STLD&amp;VAR:SDATE=20080299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7__FDSAUDITLINK__" localSheetId="1" hidden="1">{"fdsup://IBCentral/FAT Viewer?action=UPDATE&amp;creator=factset&amp;DOC_NAME=fat:reuters_qtrly_source_window.fat&amp;display_string=Audit&amp;DYN_ARGS=TRUE&amp;VAR:ID1=31190010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qtrly_source_window.fat&amp;display_string=Audit&amp;DYN_ARGS=TRUE&amp;VAR:ID1=31190010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8__FDSAUDITLINK__" localSheetId="1" hidden="1">{"fdsup://IBCentral/FAT Viewer?action=UPDATE&amp;creator=factset&amp;DOC_NAME=fat:reuters_qtrly_source_window.fat&amp;display_string=Audit&amp;DYN_ARGS=TRUE&amp;VAR:ID1=00936310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00936310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__FDSAUDITLINK__" localSheetId="1" hidden="1">{"fdsup://IBCentral/FAT Viewer?action=UPDATE&amp;creator=factset&amp;DOC_NAME=fat:reuters_qtrly_source_window.fat&amp;display_string=Audit&amp;DYN_ARGS=TRUE&amp;VAR:ID1=95082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ource_window.fat&amp;display_string=Audit&amp;DYN_ARGS=TRUE&amp;VAR:ID1=95082P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" localSheetId="1" hidden="1">{"fdsup://IBCentral/FAT Viewer?action=UPDATE&amp;creator=factset&amp;DOC_NAME=fat:reuters_qtrly_source_window.fat&amp;display_string=Audit&amp;DYN_ARGS=TRUE&amp;VAR:ID1=44244K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44244K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0__FDSAUDITLINK__" localSheetId="1" hidden="1">{"fdsup://IBCentral/FAT Viewer?action=UPDATE&amp;creator=factset&amp;DOC_NAME=fat:reuters_qtrly_source_window.fat&amp;display_string=Audit&amp;DYN_ARGS=TRUE&amp;VAR:ID1=44244K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qtrly_source_window.fat&amp;display_string=Audit&amp;DYN_ARGS=TRUE&amp;VAR:ID1=44244K10&amp;VAR:RCODE=STLD&amp;VAR:SDATE=20071299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1__FDSAUDITLINK__" localSheetId="1" hidden="1">{"fdsup://IBCentral/FAT Viewer?action=UPDATE&amp;creator=factset&amp;DOC_NAME=fat:reuters_qtrly_source_window.fat&amp;display_string=Audit&amp;DYN_ARGS=TRUE&amp;VAR:ID1=03529010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qtrly_source_window.fat&amp;display_string=Audit&amp;DYN_ARGS=TRUE&amp;VAR:ID1=03529010&amp;VAR:RCODE=STLD&amp;VAR:SDATE=20080399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__123Graph_BChart_1A" hidden="1">#REF!</definedName>
    <definedName name="_4__123Graph_BCHart_1A_" hidden="1">#REF!</definedName>
    <definedName name="_4__FDSAUDITLINK__" localSheetId="1" hidden="1">{"fdsup://IBCentral/FAT Viewer?action=UPDATE&amp;creator=factset&amp;DOC_NAME=fat:reuters_qtrly_source_window.fat&amp;display_string=Audit&amp;DYN_ARGS=TRUE&amp;VAR:ID1=05380710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qtrly_source_window.fat&amp;display_string=Audit&amp;DYN_ARGS=TRUE&amp;VAR:ID1=05380710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__FDSAUDITLINK__" localSheetId="1" hidden="1">{"fdsup://IBCentral/FAT Viewer?action=UPDATE&amp;creator=factset&amp;DOC_NAME=fat:reuters_qtrly_source_window.fat&amp;display_string=Audit&amp;DYN_ARGS=TRUE&amp;VAR:ID1=04273510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qtrly_source_window.fat&amp;display_string=Audit&amp;DYN_ARGS=TRUE&amp;VAR:ID1=04273510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123Graph_XChart_1A" hidden="1">#REF!</definedName>
    <definedName name="_6__FDSAUDITLINK__" localSheetId="1" hidden="1">{"fdsup://IBCentral/FAT Viewer?action=UPDATE&amp;creator=factset&amp;DOC_NAME=fat:reuters_qtrly_source_window.fat&amp;display_string=Audit&amp;DYN_ARGS=TRUE&amp;VAR:ID1=03529010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FDSAUDITLINK__" hidden="1">{"fdsup://IBCentral/FAT Viewer?action=UPDATE&amp;creator=factset&amp;DOC_NAME=fat:reuters_qtrly_source_window.fat&amp;display_string=Audit&amp;DYN_ARGS=TRUE&amp;VAR:ID1=03529010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__123Graph_ACHART_1" hidden="1">#REF!</definedName>
    <definedName name="_7__FDSAUDITLINK__" localSheetId="1" hidden="1">{"fdsup://IBCentral/FAT Viewer?action=UPDATE&amp;creator=factset&amp;DOC_NAME=fat:reuters_qtrly_source_window.fat&amp;display_string=Audit&amp;DYN_ARGS=TRUE&amp;VAR:ID1=38480210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38480210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__FDSAUDITLINK__" localSheetId="1" hidden="1">{"fdsup://IBCentral/FAT Viewer?action=UPDATE&amp;creator=factset&amp;DOC_NAME=fat:reuters_qtrly_source_window.fat&amp;display_string=Audit&amp;DYN_ARGS=TRUE&amp;VAR:ID1=55353010&amp;VAR:RCODE=STLD&amp;VAR:SDATE=20080899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55353010&amp;VAR:RCODE=STLD&amp;VAR:SDATE=20080899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__123Graph_ACHART_1" hidden="1">#REF!</definedName>
    <definedName name="_9__FDSAUDITLINK__" localSheetId="1" hidden="1">{"fdsup://IBCentral/FAT Viewer?action=UPDATE&amp;creator=factset&amp;DOC_NAME=fat:reuters_qtrly_source_window.fat&amp;display_string=Audit&amp;DYN_ARGS=TRUE&amp;VAR:ID1=31190010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qtrly_source_window.fat&amp;display_string=Audit&amp;DYN_ARGS=TRUE&amp;VAR:ID1=31190010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Actual_Dmaname_00" hidden="1">#REF!</definedName>
    <definedName name="_Actual_Total_208_209_210_Act_v_Budget_00" hidden="1">#REF!</definedName>
    <definedName name="_bdm.027F8800880F434B81A9C2A89DCC8C4A.edm" hidden="1">#REF!</definedName>
    <definedName name="_bdm.05C86319A7A34B6FA1DD54078DB04ADF.edm" hidden="1">#REF!</definedName>
    <definedName name="_bdm.076963F0805044F7A551C15654E4035D.edm" hidden="1">#REF!</definedName>
    <definedName name="_bdm.0B2EC36587664FCAAFAD2A6102D11FF7.edm" hidden="1">#REF!</definedName>
    <definedName name="_bdm.0C4E292BC10E49148B4AD96C7ED759BF.edm" hidden="1">#REF!</definedName>
    <definedName name="_bdm.14E12C44B2244BF4A4C86061C14FF480.edm" hidden="1">#REF!</definedName>
    <definedName name="_bdm.15532E20B1FF46539CE99D4F06003620.edm" hidden="1">#REF!</definedName>
    <definedName name="_bdm.17C6DB35F253421CA37F6DECBB53CB09.edm" hidden="1">#REF!</definedName>
    <definedName name="_bdm.1AF687A1E5ED45509674CBEECB86F11E.edm" hidden="1">#REF!</definedName>
    <definedName name="_bdm.1E81B4231B01419BAB1F7629BF57760E.edm" hidden="1">#REF!</definedName>
    <definedName name="_bdm.2246936292114AFCAC138C7D9D396F97.edm" hidden="1">#REF!</definedName>
    <definedName name="_bdm.22AD675AC94D4AFDB265799534DA88B6.edm" hidden="1">#REF!</definedName>
    <definedName name="_bdm.27BBF0899CDA4B0B8C7F6BB9B96E97B9.edm" hidden="1">#REF!</definedName>
    <definedName name="_bdm.28AD9BC5E3734025886BCB13389E0C5C.edm" hidden="1">#REF!</definedName>
    <definedName name="_bdm.2910D8A914AA47CB9BD32BF0A51EB1D9.edm" hidden="1">#REF!</definedName>
    <definedName name="_bdm.2AB6882CBF0147C7A1E52A575553A68B.edm" hidden="1">#REF!</definedName>
    <definedName name="_bdm.2AC364EC557B4DE9871125A7EA06067E.edm" hidden="1">#REF!</definedName>
    <definedName name="_bdm.2BEA366AF93F49AD8224CA9700F1EB81.edm" hidden="1">#REF!</definedName>
    <definedName name="_bdm.2C72CEEE222D4D34B105F10FCC846016.edm" hidden="1">#REF!</definedName>
    <definedName name="_bdm.2D4F8479E7044B6E9793C47E15E26658.edm" hidden="1">#REF!</definedName>
    <definedName name="_bdm.2D618CBB3A8C4DAA9BE9905DB9511DDC.edm" hidden="1">#REF!</definedName>
    <definedName name="_bdm.3418471FD2B243478AC1C676C4E8C5FC.edm" hidden="1">#REF!</definedName>
    <definedName name="_bdm.35C995F189BC41DAAC3F44625A6E292F.edm" hidden="1">#REF!</definedName>
    <definedName name="_bdm.36037A84D6F14885BD15EF420BC6D13A.edm" hidden="1">#REF!</definedName>
    <definedName name="_bdm.3EF881079894438BA7659EB9FF6E25DD.edm" hidden="1">#REF!</definedName>
    <definedName name="_bdm.413BEB5CE0294B15AC90D7DF8DF74345.edm" hidden="1">#REF!</definedName>
    <definedName name="_bdm.41BFA87685854FE88D3D6EB2C8112366.edm" hidden="1">#REF!</definedName>
    <definedName name="_bdm.4287C95B1398429F816153A26570B2F4.edm" hidden="1">#REF!</definedName>
    <definedName name="_bdm.463865BEA38643A6B5EA19C48E7DD61B.edm" hidden="1">#REF!</definedName>
    <definedName name="_bdm.51A2D8508DAB4D008B17FAAF7FA1EF3C.edm" hidden="1">#REF!</definedName>
    <definedName name="_bdm.53E95D570F0E450199C885D6AB439EDB.edm" hidden="1">#REF!</definedName>
    <definedName name="_bdm.5687C9EBCCE349AE869A299D9958753B.edm" hidden="1">#REF!</definedName>
    <definedName name="_bdm.57E8B17D34C04A829449F6DBC62DB6FF.edm" hidden="1">#REF!</definedName>
    <definedName name="_bdm.5DEC2A588B2D4D22B7B208818CC8FD85.edm" hidden="1">#REF!</definedName>
    <definedName name="_bdm.5F3A07197DF14426A5AF2056E21ABA4A.edm" hidden="1">#REF!</definedName>
    <definedName name="_bdm.6025BA6B51C743E1AD96EEE3105BF3D0.edm" hidden="1">#REF!</definedName>
    <definedName name="_bdm.61C015219123495FB66B0B9458B58C4F.edm" hidden="1">#REF!</definedName>
    <definedName name="_bdm.633EB5F9D13D4B02A76654B7C7AA5FE4.edm" hidden="1">#REF!</definedName>
    <definedName name="_bdm.6A4D64318E7C49E3A309FEAFD3C914ED.edm" hidden="1">#REF!</definedName>
    <definedName name="_bdm.6B764F624FD64FE48689F7B0C3C5105A.edm" hidden="1">#REF!</definedName>
    <definedName name="_bdm.7B582216104D4FC3AD7A52D599B1C43A.edm" hidden="1">#REF!</definedName>
    <definedName name="_bdm.8161120405654232B4CD7904DF34AD10.edm" hidden="1">#REF!</definedName>
    <definedName name="_bdm.82810F34DEC543B0938EAF91531EAF0D.edm" hidden="1">#REF!</definedName>
    <definedName name="_bdm.8649F3B960184A0E9CC5311F749236B9.edm" hidden="1">#REF!</definedName>
    <definedName name="_bdm.8677447478264074BAF1FF345884C57C.edm" hidden="1">#REF!</definedName>
    <definedName name="_bdm.8CCC0F9C648F42E7B681E322CDAABB0B.edm" hidden="1">#REF!</definedName>
    <definedName name="_bdm.9AB08E8B9DD242CD86AB346DB45BC7EA.edm" hidden="1">#REF!</definedName>
    <definedName name="_bdm.A30C0767F84B45589EEE7453C94BCB6E.edm" hidden="1">#REF!</definedName>
    <definedName name="_bdm.A3C74F68435B4A2F946E8A7166EE8A58.edm" hidden="1">#REF!</definedName>
    <definedName name="_bdm.A4DA664F0D8D40439812270DD015A5FC.edm" hidden="1">#REF!</definedName>
    <definedName name="_bdm.AE68C2B6B205464EA6DE0BCF961588FD.edm" hidden="1">#REF!</definedName>
    <definedName name="_bdm.AEB7040D03DE41988DDCA3F5FAF13B03.edm" hidden="1">#REF!</definedName>
    <definedName name="_bdm.B32EECEF008048CB8820362F735767B2.edm" hidden="1">#REF!</definedName>
    <definedName name="_bdm.B5807A90851A4FFD80A55244D63565EC.edm" hidden="1">#REF!</definedName>
    <definedName name="_bdm.BAC8A75873BD47C898F7FA00AB6AF1F7.edm" hidden="1">#REF!</definedName>
    <definedName name="_bdm.BBDFA80AE11F4793AA814D13DE9E8639.edm" hidden="1">#REF!</definedName>
    <definedName name="_bdm.C5DBACA85DED48339A640388347A0422.edm" hidden="1">#REF!</definedName>
    <definedName name="_bdm.CEECD5A4BBD44CA18565D39876649090.edm" hidden="1">#REF!</definedName>
    <definedName name="_bdm.CF8AEAF52A8A4887A0B828A298C40612.edm" hidden="1">#REF!</definedName>
    <definedName name="_bdm.D0617DFC048A4E06B33A16ECE92185C2.edm" hidden="1">#REF!</definedName>
    <definedName name="_bdm.D2356439F5E04D59804E8B79D675D554.edm" hidden="1">#REF!</definedName>
    <definedName name="_bdm.D8485C725B4A4D2ABEF86761D5A0AF79.edm" hidden="1">#REF!</definedName>
    <definedName name="_bdm.D9912FF757C643AF874356426ECCD0C2.edm" hidden="1">#REF!</definedName>
    <definedName name="_bdm.DD366674451544BF93BC8D487636644E.edm" hidden="1">#REF!</definedName>
    <definedName name="_bdm.E29CC2CCE143482595B4593DE68FFC66.edm" hidden="1">#REF!</definedName>
    <definedName name="_bdm.E5BDB6F1C2C945E59CAD61487277009E.edm" hidden="1">#REF!</definedName>
    <definedName name="_bdm.E5E791ED8BD04267A71BD33F4FFBEA2A.edm" hidden="1">#REF!</definedName>
    <definedName name="_bdm.E707CBC911714632A3B5B6760EB38EC2.edm" hidden="1">#REF!</definedName>
    <definedName name="_bdm.E8798BE2C6784495B4B2F5965A63DD45.edm" hidden="1">#REF!</definedName>
    <definedName name="_bdm.ED6FE57296254F039CFA264D6C0DBF2C.edm" hidden="1">#REF!</definedName>
    <definedName name="_bdm.EE29D448DCFC4D9482FD4C4939471795.edm" hidden="1">#REF!</definedName>
    <definedName name="_bdm.F1438972761941AFBBAD0E56AC142EA0.edm" hidden="1">#REF!</definedName>
    <definedName name="_bdm.F289BB85805949C4A2DB02778B66B1FC.edm" hidden="1">#REF!</definedName>
    <definedName name="_bdm.FastTrackBookmark.3_7_2019_11_35_41_AM.edm" hidden="1">#REF!</definedName>
    <definedName name="_bdm.FE163486EC8B4FD68CD11B0B1DCE74BB.edm" hidden="1">#REF!</definedName>
    <definedName name="_Bud210_Level7member_Name_00" hidden="1">#REF!</definedName>
    <definedName name="_Fil1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Sort" hidden="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gs1" localSheetId="2" hidden="1">"&lt;tags&gt;&lt;tag n=""Palette"" v=""-1"" /&gt;&lt;tag n=""ClosestPalette"" v=""1"" /&gt;&lt;/tags&gt;"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#REF!</definedName>
    <definedName name="AccessDatabase" hidden="1">"G:\Finance\Projections\2001 Projections\Pivot 2001.mdb"</definedName>
    <definedName name="AS2DocOpenMode" hidden="1">"AS2DocumentBrowse"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B1" hidden="1">#REF!</definedName>
    <definedName name="BLPB10" hidden="1">#REF!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08" hidden="1">#REF!</definedName>
    <definedName name="BLPB109" hidden="1">#REF!</definedName>
    <definedName name="BLPB11" hidden="1">#REF!</definedName>
    <definedName name="BLPB110" hidden="1">#REF!</definedName>
    <definedName name="BLPB111" hidden="1">#REF!</definedName>
    <definedName name="BLPB112" hidden="1">#REF!</definedName>
    <definedName name="BLPB113" hidden="1">#REF!</definedName>
    <definedName name="BLPB114" hidden="1">#REF!</definedName>
    <definedName name="BLPB115" hidden="1">#REF!</definedName>
    <definedName name="BLPB116" hidden="1">#REF!</definedName>
    <definedName name="BLPB117" hidden="1">#REF!</definedName>
    <definedName name="BLPB118" hidden="1">#REF!</definedName>
    <definedName name="BLPB119" hidden="1">#REF!</definedName>
    <definedName name="BLPB12" hidden="1">#REF!</definedName>
    <definedName name="BLPB120" hidden="1">#REF!</definedName>
    <definedName name="BLPB121" hidden="1">#REF!</definedName>
    <definedName name="BLPB122" hidden="1">#REF!</definedName>
    <definedName name="BLPB123" hidden="1">#REF!</definedName>
    <definedName name="BLPB124" hidden="1">#REF!</definedName>
    <definedName name="BLPB125" hidden="1">#REF!</definedName>
    <definedName name="BLPB126" hidden="1">#REF!</definedName>
    <definedName name="BLPB127" hidden="1">#REF!</definedName>
    <definedName name="BLPB128" hidden="1">#REF!</definedName>
    <definedName name="BLPB129" hidden="1">#REF!</definedName>
    <definedName name="BLPB13" hidden="1">#REF!</definedName>
    <definedName name="BLPB136" hidden="1">#REF!</definedName>
    <definedName name="BLPB137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0" hidden="1">#REF!</definedName>
    <definedName name="BLPH11" hidden="1">#REF!</definedName>
    <definedName name="BLPH14" hidden="1">#REF!</definedName>
    <definedName name="BLPH15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IQWBGuid" localSheetId="1" hidden="1">"540f3042-7976-4467-9d88-72aa3cab8ff7"</definedName>
    <definedName name="CIQWBGuid" hidden="1">"c36e0a5d-d90c-4aad-b751-96208262ef45"</definedName>
    <definedName name="CompanyName1" hidden="1">#REF!</definedName>
    <definedName name="CompanyName2" hidden="1">#REF!</definedName>
    <definedName name="CompanyName3" hidden="1">#REF!</definedName>
    <definedName name="CompRange1" hidden="1">#N/A</definedName>
    <definedName name="CompRange1Main" hidden="1">#REF!</definedName>
    <definedName name="CompRange2" hidden="1">#N/A</definedName>
    <definedName name="CompRange2Main" hidden="1">#REF!</definedName>
    <definedName name="CompRange3" hidden="1">#N/A</definedName>
    <definedName name="CompRange3Main" hidden="1">#REF!</definedName>
    <definedName name="Cwvu.GREY_ALL." hidden="1">#REF!</definedName>
    <definedName name="DateRangeComp" hidden="1">#N/A</definedName>
    <definedName name="DateRangeCompMain" hidden="1">#REF!</definedName>
    <definedName name="DateRangePrice" hidden="1">#N/A</definedName>
    <definedName name="DateRangePriceMain" hidden="1">#REF!</definedName>
    <definedName name="Editable" hidden="1">#REF!,#REF!,#REF!,#REF!</definedName>
    <definedName name="EV__LASTREFTIME__" hidden="1">39104.6256481481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1聄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聄D_172_0" hidden="1">"A30681"</definedName>
    <definedName name="F聄D_179_1" hidden="1">"E36525"</definedName>
    <definedName name="F聄D_82_11" hidden="1">"A34699"</definedName>
    <definedName name="hhhhh" localSheetId="1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hhhhh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HTML_CodePage" hidden="1">1252</definedName>
    <definedName name="HTML_Control" localSheetId="1" hidden="1">{"'xls'!$A$71:$A$78","'xls'!$A$1:$J$77"}</definedName>
    <definedName name="HTML_Control" hidden="1">{"'xls'!$A$71:$A$78","'xls'!$A$1:$J$77"}</definedName>
    <definedName name="HTML_Description" hidden="1">""</definedName>
    <definedName name="HTML_Email" hidden="1">""</definedName>
    <definedName name="HTML_Header" hidden="1">"tab34"</definedName>
    <definedName name="HTML_LastUpdate" hidden="1">"1/5/00"</definedName>
    <definedName name="HTML_LineAfter" hidden="1">FALSE</definedName>
    <definedName name="HTML_LineBefore" hidden="1">FALSE</definedName>
    <definedName name="HTML_Name" hidden="1">"William J. Hussar"</definedName>
    <definedName name="HTML_OBDlg2" hidden="1">TRUE</definedName>
    <definedName name="HTML_OBDlg4" hidden="1">TRUE</definedName>
    <definedName name="HTML_OS" hidden="1">0</definedName>
    <definedName name="HTML_PathFile" hidden="1">"D:\PROJ2009\WP\Test\tabxxxxx.htm"</definedName>
    <definedName name="HTML_Title" hidden="1">"tab35plainerb1y"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rs" hidden="1">39210.6342708333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REUT" hidden="1">"c5463"</definedName>
    <definedName name="IQ_CFPS_DET_EST_REUT_CURRENCY_CURRENCY_REUT" hidden="1">"c12526"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"019773000"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"c1407"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NAMES_REVISION_DATE_" localSheetId="1" hidden="1">41677.725474537</definedName>
    <definedName name="IQ_NAMES_REVISION_DATE_" hidden="1">42912.7543981482</definedName>
    <definedName name="IQ_NAMES_REVISION_DATE__" hidden="1">43558.745474537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TRIKE_PRICE_GRANTED" hidden="1">"c2692"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38971.4766666667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RA10" hidden="1">"$A$11:$A$262"</definedName>
    <definedName name="IQRA14" hidden="1">"$A$15:$A$99"</definedName>
    <definedName name="IQRA8" hidden="1">"$A$9:$A$763"</definedName>
    <definedName name="IQRA9" hidden="1">"$A$10:$A$46"</definedName>
    <definedName name="IQRAF17" hidden="1">"$AF$18:$AF$270"</definedName>
    <definedName name="IQRAP17" hidden="1">"$AP$18"</definedName>
    <definedName name="IQRAP89" hidden="1">"$AP$90"</definedName>
    <definedName name="IQRAQ17" hidden="1">"$AQ$18"</definedName>
    <definedName name="IQRAQ89" hidden="1">"$AQ$90"</definedName>
    <definedName name="IQRAR89" hidden="1">"$AR$90"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"$AT$90"</definedName>
    <definedName name="IQRAU17" hidden="1">"$AU$18"</definedName>
    <definedName name="IQRAV89" hidden="1">"$AV$90"</definedName>
    <definedName name="IQRAX89" hidden="1">"$AX$90"</definedName>
    <definedName name="IQRAZ17" hidden="1">"$AZ$18:$AZ$19"</definedName>
    <definedName name="IQRB11" hidden="1">"$B$12:$B$1616"</definedName>
    <definedName name="IQRB6" hidden="1">"$B$7:$B$258"</definedName>
    <definedName name="IQRB7" hidden="1">"$B$8:$B$103"</definedName>
    <definedName name="IQRB8" hidden="1">"$B$9:$B$262"</definedName>
    <definedName name="IQRBA17" hidden="1">"$BA$18"</definedName>
    <definedName name="IQRC8" hidden="1">"$C$9:$C$260"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8" hidden="1">"$D$39:$D$295"</definedName>
    <definedName name="IQRD39" hidden="1">"$D$40:$D$44"</definedName>
    <definedName name="IQRD40" hidden="1">"$D$41:$D$45"</definedName>
    <definedName name="IQRD41" hidden="1">"$D$42:$D$46"</definedName>
    <definedName name="IQRD42" hidden="1">"$D$43:$D$299"</definedName>
    <definedName name="IQRD43" hidden="1">"$D$44:$D$299"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0" hidden="1">"$D$51:$D$55"</definedName>
    <definedName name="IQRD51" hidden="1">"$D$52:$D$303"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0" hidden="1">"$D$61:$D$65"</definedName>
    <definedName name="IQRD61" hidden="1">"$D$62:$D$66"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7" hidden="1">"$E$8:$E$12"</definedName>
    <definedName name="IQRE8" hidden="1">"$E$9:$E$13"</definedName>
    <definedName name="IQRE9" hidden="1">"$E$10:$E$14"</definedName>
    <definedName name="IQRF12" hidden="1">"$F$13:$F$17"</definedName>
    <definedName name="IQRF13" hidden="1">"$F$14:$F$18"</definedName>
    <definedName name="IQRF14" hidden="1">"$F$15:$F$19"</definedName>
    <definedName name="IQRF15" hidden="1">"$F$16:$F$20"</definedName>
    <definedName name="IQRF16" hidden="1">"$F$17:$F$21"</definedName>
    <definedName name="IQRF17" hidden="1">"$F$18:$F$22"</definedName>
    <definedName name="IQRF18" hidden="1">"$F$19:$F$23"</definedName>
    <definedName name="IQRF19" hidden="1">"$F$20:$F$24"</definedName>
    <definedName name="IQRF20" hidden="1">"$F$21:$F$25"</definedName>
    <definedName name="IQRF21" hidden="1">"$F$22:$F$23"</definedName>
    <definedName name="IQRG26" hidden="1">"$G$27:$G$31"</definedName>
    <definedName name="IQRI2" hidden="1">"$I$3:$I$264"</definedName>
    <definedName name="IQRJ8" hidden="1">"$J$9:$J$260"</definedName>
    <definedName name="IQRK8" hidden="1">"$K$9:$K$261"</definedName>
    <definedName name="IQRM67" hidden="1">"$M$68:$M$320"</definedName>
    <definedName name="IQRM68" hidden="1">"$M$69:$M$321"</definedName>
    <definedName name="IQRM69" hidden="1">"$M$70:$M$322"</definedName>
    <definedName name="IQRM70" hidden="1">"$M$71:$M$323"</definedName>
    <definedName name="IQRO9" hidden="1">"$O$10"</definedName>
    <definedName name="IQRP9" hidden="1">"$P$10:$P$64"</definedName>
    <definedName name="IQRQ35" hidden="1">"$Q$36:$Q$227"</definedName>
    <definedName name="IQRR67" hidden="1">"$R$68:$R$320"</definedName>
    <definedName name="IQRS68" hidden="1">"$S$69:$S$321"</definedName>
    <definedName name="Jeep" localSheetId="1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Jeep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ListOffset" hidden="1">1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_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_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__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PlaceofPath" hidden="1">"F:\MREGAN\win\EXL\CO\HVAC\WLV\WLV_vdf.xls"</definedName>
    <definedName name="MLNK0c9445f2645d4a1093dbe137a2574261" hidden="1">#REF!</definedName>
    <definedName name="MLNK39324e12ea41496aa030b0a5d2cd4844" hidden="1">#REF!</definedName>
    <definedName name="MLNK430769720e454fd2a44b2e97b9b1d09e" hidden="1">#REF!</definedName>
    <definedName name="MLNK7c324a6d604349da9cf8ffb1c22b8c82" hidden="1">#REF!</definedName>
    <definedName name="MLNKc56fd6ce82704d1dae96810cfbcecb05" hidden="1">#REF!</definedName>
    <definedName name="MLNKce70daba1d3c440e94a6e8ebd0809296" hidden="1">#REF!</definedName>
    <definedName name="MLNKd7ea5fc1d5ba4187aae5345e775f20ab" hidden="1">#REF!</definedName>
    <definedName name="MLNKde3e725730d44f498290c34986afa042" hidden="1">#REF!</definedName>
    <definedName name="MLNKe67864e4353e4c1687a89fc2aa54e040" hidden="1">#REF!</definedName>
    <definedName name="MLNKff48372a8aa1404baba3a00b1f000f31" hidden="1">#REF!</definedName>
    <definedName name="oldkey1" hidden="1">#REF!</definedName>
    <definedName name="oldsort" hidden="1">#REF!</definedName>
    <definedName name="P11P12P13" hidden="1">#REF!</definedName>
    <definedName name="PriceRange" hidden="1">#N/A</definedName>
    <definedName name="PriceRangeMain" hidden="1">#REF!</definedName>
    <definedName name="_xlnm.Print_Area" localSheetId="1">'Financials from CIP'!$A$2:$G$82</definedName>
    <definedName name="_xlnm.Print_Area" localSheetId="2">'Step 1'!$A$1:$M$77</definedName>
    <definedName name="REP7P01" hidden="1">#REF!</definedName>
    <definedName name="REP7P02" hidden="1">#REF!</definedName>
    <definedName name="REP7P03" hidden="1">#REF!</definedName>
    <definedName name="ReportGroup" hidden="1">6</definedName>
    <definedName name="SAPBEXdnldView" hidden="1">"48D4APZ6RE52FPA89IW8VMM22"</definedName>
    <definedName name="SAPBEXrevision" hidden="1">1</definedName>
    <definedName name="SAPBEXsysID" hidden="1">"BWP"</definedName>
    <definedName name="SAPBEXwbID" hidden="1">"3MIIGAE7VHTLTPJLQTSR9TQD9"</definedName>
    <definedName name="sencount" hidden="1">2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uppressPressed" hidden="1">FALSE</definedName>
    <definedName name="TextRefCopyRangeCount" hidden="1">13</definedName>
    <definedName name="Val" hidden="1">39273.5911689815</definedName>
    <definedName name="VersionNumber" hidden="1">"4.8.6710"</definedName>
    <definedName name="VI7_AxisOffset" localSheetId="2" hidden="1">_xll.ContributionAxisOffset(#REF!,#REF!,#REF!,0)</definedName>
    <definedName name="VI7_AxisOffset" hidden="1">_xll.ContributionAxisOffset(#REF!,#REF!,#REF!,0)</definedName>
    <definedName name="VI7_BaseColumn" hidden="1">"#NA"</definedName>
    <definedName name="VI7_CategoriesClass1" hidden="1">#REF!</definedName>
    <definedName name="VI7_CategoriesColumn" hidden="1">#REF!</definedName>
    <definedName name="VI7_ComparisonColumn1" hidden="1">#REF!</definedName>
    <definedName name="VI7_Cumulative" localSheetId="2" hidden="1">_xll.ContributionCumulative(#REF!,#REF!,#REF!)</definedName>
    <definedName name="VI7_Cumulative" hidden="1">_xll.ContributionCumulative(#REF!,#REF!,#REF!)</definedName>
    <definedName name="VI7_Difference1CalculatedIndex1" localSheetId="2" hidden="1">_xll.DifferenceCalculatedIndex(#REF!,#REF!,#REF!,#REF!)</definedName>
    <definedName name="VI7_Difference1CalculatedIndex1" hidden="1">_xll.DifferenceCalculatedIndex(#REF!,#REF!,#REF!,#REF!)</definedName>
    <definedName name="VI7_Difference1CalculatedIndex2" localSheetId="2" hidden="1">_xll.DifferenceCalculatedIndex(#REF!,#REF!,#REF!,#REF!)</definedName>
    <definedName name="VI7_Difference1CalculatedIndex2" hidden="1">_xll.DifferenceCalculatedIndex(#REF!,#REF!,#REF!,#REF!)</definedName>
    <definedName name="VI7_Difference1Category1" hidden="1">"FY16"</definedName>
    <definedName name="VI7_Difference1Category2" hidden="1">"FY17"</definedName>
    <definedName name="VI7_Difference1Index1" hidden="1">1</definedName>
    <definedName name="VI7_Difference1Index2" hidden="1">1</definedName>
    <definedName name="VI7_Difference1LabelY1" localSheetId="2" hidden="1">_xll.ContributionDifferenceY(#REF!,#REF!,0,0,0)</definedName>
    <definedName name="VI7_Difference1LabelY1" hidden="1">_xll.ContributionDifferenceY(#REF!,#REF!,0,0,0)</definedName>
    <definedName name="VI7_Difference1LabelY2" localSheetId="2" hidden="1">_xll.ContributionDifferenceY(#REF!,#REF!,0,0,0)</definedName>
    <definedName name="VI7_Difference1LabelY2" hidden="1">_xll.ContributionDifferenceY(#REF!,#REF!,0,0,0)</definedName>
    <definedName name="VI7_LabelOffsetMax" localSheetId="2" hidden="1">_xll.LabelOffset(#REF!,#REF!,204,10,"$#,##0.0",1,0,0)</definedName>
    <definedName name="VI7_LabelOffsetMax" hidden="1">_xll.LabelOffset(#REF!,#REF!,204,10,"$#,##0.0",1,0,0)</definedName>
    <definedName name="VI7_LabelOffsetMin" localSheetId="2" hidden="1">_xll.LabelOffset(#REF!,#REF!,204,10,"$#,##0.0",0,0,0)</definedName>
    <definedName name="VI7_LabelOffsetMin" hidden="1">_xll.LabelOffset(#REF!,#REF!,204,10,"$#,##0.0",0,0,0)</definedName>
    <definedName name="VI7_Max" localSheetId="2" hidden="1">_xll.MaxFromSeriesWithBreak(#REF!,#REF!,0)</definedName>
    <definedName name="VI7_Max" hidden="1">_xll.MaxFromSeriesWithBreak(#REF!,#REF!,0)</definedName>
    <definedName name="VI7_Min" localSheetId="2" hidden="1">_xll.MinFromSeries(#REF!)</definedName>
    <definedName name="VI7_Min" hidden="1">_xll.MinFromSeries(#REF!)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pple." hidden="1">{#N/A,#N/A,FALSE,"Quarterlies";#N/A,#N/A,FALSE,"Annual";#N/A,#N/A,FALSE,"Balance";#N/A,#N/A,FALSE,"Cash Flow";#N/A,#N/A,FALSE,"Store Openings";#N/A,#N/A,FALSE,"Comps"}</definedName>
    <definedName name="wrn.Cracker." hidden="1">{#N/A,#N/A,FALSE,"Quarts";#N/A,#N/A,FALSE,"Annual";#N/A,#N/A,FALSE,"Balance";#N/A,#N/A,FALSE,"Cash Flow";#N/A,#N/A,FALSE,"Comps";#N/A,#N/A,FALSE,"Stores"}</definedName>
    <definedName name="wrn.Darden." hidden="1">{#N/A,#N/A,FALSE,"Annual";#N/A,#N/A,FALSE,"Balance";#N/A,#N/A,FALSE,"Stores"}</definedName>
    <definedName name="wrn.IND." hidden="1">{#N/A,#N/A,FALSE,"Cover 1";#N/A,#N/A,FALSE,"APPB";#N/A,#N/A,FALSE,"BOBE";#N/A,#N/A,FALSE,"EAT";#N/A,#N/A,FALSE,"CBRL";#N/A,#N/A,FALSE,"DRI";#N/A,#N/A,FALSE,"MCD";#N/A,#N/A,FALSE,"RI";#N/A,#N/A,FALSE,"WEN"}</definedName>
    <definedName name="wrn.jeep." localSheetId="1" hidden="1">{"taysum1",#N/A,FALSE,"Taylor";"jeepsum1",#N/A,FALSE,"Finance";"BS",#N/A,FALSE,"Taylor";"Tay",#N/A,FALSE,"Taylor";"ConsolLoan",#N/A,FALSE,"Taylor";"Jeep1",#N/A,FALSE,"Finance";"Jeep2",#N/A,FALSE,"Finance";"jeep3",#N/A,FALSE,"Finance";"jeep4",#N/A,FALSE,"Finance";"Jeepprod",#N/A,FALSE,"Production";"jeepop",#N/A,FALSE,"Operating costs"}</definedName>
    <definedName name="wrn.jeep." hidden="1">{"taysum1",#N/A,FALSE,"Taylor";"jeepsum1",#N/A,FALSE,"Finance";"BS",#N/A,FALSE,"Taylor";"Tay",#N/A,FALSE,"Taylor";"ConsolLoan",#N/A,FALSE,"Taylor";"Jeep1",#N/A,FALSE,"Finance";"Jeep2",#N/A,FALSE,"Finance";"jeep3",#N/A,FALSE,"Finance";"jeep4",#N/A,FALSE,"Finance";"Jeepprod",#N/A,FALSE,"Production";"jeepop",#N/A,FALSE,"Operating costs"}</definedName>
    <definedName name="wrn.jeepJul24." localSheetId="1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wrn.jeepJul24.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wrn.Morrison." hidden="1">{#N/A,#N/A,FALSE,"Quarts";#N/A,#N/A,FALSE,"Annual";#N/A,#N/A,FALSE,"Balance";#N/A,#N/A,FALSE,"Cash Flow";#N/A,#N/A,FALSE,"Store Openings"}</definedName>
    <definedName name="wrn.Wendy." hidden="1">{#N/A,#N/A,FALSE,"Quarts";#N/A,#N/A,FALSE,"Annual";#N/A,#N/A,FALSE,"Cash Flow";#N/A,#N/A,FALSE,"Dividends";#N/A,#N/A,FALSE,"Stats"}</definedName>
    <definedName name="xdif_ActivateOnOpen" hidden="1">TRUE</definedName>
    <definedName name="xdif_AutomationClearCache" hidden="1">TRUE</definedName>
    <definedName name="xdif_AutomationCreateFolderStructure" hidden="1">FALSE</definedName>
    <definedName name="xdif_AutomationDropFormulas" hidden="1">"DropIncludingOtherWorkbookFormulas"</definedName>
    <definedName name="xdif_AutomationEmailSubject" hidden="1">"Automated workbook email from SmartView"</definedName>
    <definedName name="xdif_AutomationIgnoreHiddenRows" hidden="1">TRUE</definedName>
    <definedName name="xdif_AutomationMode" hidden="1">"AutomationSheet"</definedName>
    <definedName name="xdif_AutomationProtection" hidden="1">FALSE</definedName>
    <definedName name="xdif_AutomationRange" hidden="1">#REF!</definedName>
    <definedName name="xdif_AutomationSuppressZeros" hidden="1">TRUE</definedName>
    <definedName name="xdif_AutomationType01" hidden="1">"MultipleSheets"</definedName>
    <definedName name="xdif_AutomationType02" hidden="1">"SingleSheet"</definedName>
    <definedName name="xdif_AutomationUpdateLists" hidden="1">FALSE</definedName>
    <definedName name="xdif_RefreshIncludeLists" hidden="1">FALSE</definedName>
    <definedName name="xdif_RefreshOnOpen" hidden="1">FALSE</definedName>
    <definedName name="xdif_SheetToAutomate01" hidden="1">#REF!</definedName>
    <definedName name="xdif_SheetToAutomate02" hidden="1">#REF!</definedName>
    <definedName name="xdifExcludeHiddenBudgetUpload" hidden="1">TRUE</definedName>
    <definedName name="xdifSelectedSheetsBudgetUpload" localSheetId="1" hidden="1">{"BK Brand Summary"}</definedName>
    <definedName name="xdifSelectedSheetsBudgetUpload" hidden="1">{"BK Brand Summary"}</definedName>
    <definedName name="xjey1" hidden="1">#REF!</definedName>
    <definedName name="XREF_COLUMN_1" hidden="1">#REF!</definedName>
    <definedName name="XREF_COLUMN_12" hidden="1">#REF!</definedName>
    <definedName name="XREF_COLUMN_13" hidden="1">#REF!</definedName>
    <definedName name="XREF_COLUMN_2" hidden="1">#REF!</definedName>
    <definedName name="XREF_COLUMN_2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</definedName>
    <definedName name="XRefPaste1" hidden="1">#REF!</definedName>
    <definedName name="XRefPaste12Row" hidden="1">#REF!</definedName>
    <definedName name="XRefPaste17Row" hidden="1">#REF!</definedName>
    <definedName name="XRefPaste18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11</definedName>
    <definedName name="xsort2" hidden="1">#REF!</definedName>
    <definedName name="xxxxxx" localSheetId="1" hidden="1">{"taysum1",#N/A,FALSE,"Taylor";"jeepsum1",#N/A,FALSE,"Finance";"BS",#N/A,FALSE,"Taylor";"Tay",#N/A,FALSE,"Taylor";"ConsolLoan",#N/A,FALSE,"Taylor";"Jeep1",#N/A,FALSE,"Finance";"Jeep2",#N/A,FALSE,"Finance";"jeep3",#N/A,FALSE,"Finance";"jeep4",#N/A,FALSE,"Finance";"Jeepprod",#N/A,FALSE,"Production";"jeepop",#N/A,FALSE,"Operating costs"}</definedName>
    <definedName name="xxxxxx" hidden="1">{"taysum1",#N/A,FALSE,"Taylor";"jeepsum1",#N/A,FALSE,"Finance";"BS",#N/A,FALSE,"Taylor";"Tay",#N/A,FALSE,"Taylor";"ConsolLoan",#N/A,FALSE,"Taylor";"Jeep1",#N/A,FALSE,"Finance";"Jeep2",#N/A,FALSE,"Finance";"jeep3",#N/A,FALSE,"Finance";"jeep4",#N/A,FALSE,"Finance";"Jeepprod",#N/A,FALSE,"Production";"jeepop",#N/A,FALSE,"Operating costs"}</definedName>
    <definedName name="yyyyyy" localSheetId="1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  <definedName name="yyyyyy" hidden="1">{"overall",#N/A,FALSE,"Taylor";"Jul24Sum",#N/A,FALSE,"Finance";"Jul24COS",#N/A,FALSE,"Finance";"Jul24C3",#N/A,FALSE,"Finance";"jul24tax&amp;debtcalcs",#N/A,FALSE,"Finance";"jeepsum",#N/A,FALSE,"Finance";"taysum1",#N/A,FALSE,"Taylor";"BS",#N/A,FALSE,"Taylor";"backup",#N/A,FALSE,"Taylor";"jeepop",#N/A,FALSE,"Operating costs"}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3" l="1"/>
  <c r="G71" i="3" s="1"/>
  <c r="G74" i="3" s="1"/>
  <c r="F69" i="3"/>
  <c r="G64" i="3"/>
  <c r="F64" i="3"/>
  <c r="F71" i="3" s="1"/>
  <c r="F74" i="3" s="1"/>
  <c r="G51" i="3"/>
  <c r="G57" i="3" s="1"/>
  <c r="F51" i="3"/>
  <c r="F57" i="3" s="1"/>
  <c r="H43" i="3"/>
  <c r="G43" i="3"/>
  <c r="F43" i="3"/>
  <c r="C28" i="3"/>
  <c r="C27" i="3"/>
  <c r="C26" i="3"/>
  <c r="G18" i="3"/>
  <c r="G19" i="3" s="1"/>
  <c r="F18" i="3"/>
  <c r="G16" i="3"/>
  <c r="F16" i="3"/>
  <c r="G15" i="3"/>
  <c r="F15" i="3"/>
  <c r="H11" i="3"/>
  <c r="I11" i="3" s="1"/>
  <c r="F11" i="3"/>
  <c r="E79" i="2"/>
  <c r="E73" i="2"/>
  <c r="D73" i="2"/>
  <c r="E61" i="2"/>
  <c r="D61" i="2"/>
  <c r="E56" i="2"/>
  <c r="D56" i="2"/>
  <c r="E51" i="2"/>
  <c r="D51" i="2"/>
  <c r="D45" i="2"/>
  <c r="E45" i="2" s="1"/>
  <c r="E30" i="2"/>
  <c r="D30" i="2"/>
  <c r="E19" i="2"/>
  <c r="E13" i="2"/>
  <c r="D13" i="2"/>
  <c r="F22" i="3" l="1"/>
  <c r="F31" i="3" s="1"/>
  <c r="F33" i="3" s="1"/>
  <c r="F34" i="3" s="1"/>
  <c r="F19" i="3"/>
  <c r="J11" i="3"/>
  <c r="I43" i="3"/>
  <c r="D19" i="2"/>
  <c r="E34" i="2"/>
  <c r="E21" i="2"/>
  <c r="D79" i="2"/>
  <c r="D69" i="2"/>
  <c r="G22" i="3"/>
  <c r="G31" i="3" s="1"/>
  <c r="G33" i="3" s="1"/>
  <c r="G34" i="3" s="1"/>
  <c r="E69" i="2"/>
  <c r="D78" i="2"/>
  <c r="E78" i="2"/>
  <c r="D76" i="2" l="1"/>
  <c r="D81" i="2" s="1"/>
  <c r="K11" i="3"/>
  <c r="J43" i="3"/>
  <c r="E39" i="2"/>
  <c r="E36" i="2"/>
  <c r="D34" i="2"/>
  <c r="D21" i="2"/>
  <c r="E76" i="2"/>
  <c r="E81" i="2" s="1"/>
  <c r="D39" i="2" l="1"/>
  <c r="D36" i="2"/>
  <c r="K43" i="3"/>
  <c r="L11" i="3"/>
  <c r="L43" i="3" s="1"/>
  <c r="E40" i="2"/>
  <c r="D40" i="2" l="1"/>
</calcChain>
</file>

<file path=xl/sharedStrings.xml><?xml version="1.0" encoding="utf-8"?>
<sst xmlns="http://schemas.openxmlformats.org/spreadsheetml/2006/main" count="139" uniqueCount="104">
  <si>
    <t>Project Athena</t>
  </si>
  <si>
    <t>Quarterly and Annual Financial Statements</t>
  </si>
  <si>
    <t>($s in 000s)</t>
  </si>
  <si>
    <t>Income Statement</t>
  </si>
  <si>
    <t>FY</t>
  </si>
  <si>
    <t>Service Revenues</t>
  </si>
  <si>
    <t>Parts &amp; Other</t>
  </si>
  <si>
    <t>Total Revenue</t>
  </si>
  <si>
    <t>Labor</t>
  </si>
  <si>
    <t>Materials</t>
  </si>
  <si>
    <t>Other CoGS</t>
  </si>
  <si>
    <t>Total Gross Profit</t>
  </si>
  <si>
    <t>Total Gross Margin %</t>
  </si>
  <si>
    <t>Payroll &amp; Related Expenses</t>
  </si>
  <si>
    <t>Rent &amp; Occupancy</t>
  </si>
  <si>
    <t>Depreciation</t>
  </si>
  <si>
    <t>Amortization</t>
  </si>
  <si>
    <t>Interest</t>
  </si>
  <si>
    <t>Other SG&amp;A</t>
  </si>
  <si>
    <t>Income Taxes</t>
  </si>
  <si>
    <t>Total SG&amp;A</t>
  </si>
  <si>
    <t>Other Expense (Income)</t>
  </si>
  <si>
    <t>Net Income</t>
  </si>
  <si>
    <t>EBITDA, Unadjusted</t>
  </si>
  <si>
    <t>Total Profit Margin %</t>
  </si>
  <si>
    <t>Total EBITDA Margin %</t>
  </si>
  <si>
    <t>Balance Sheet</t>
  </si>
  <si>
    <t>YE</t>
  </si>
  <si>
    <t>Cash &amp; Cash Equivalents</t>
  </si>
  <si>
    <t>Accounts Receivable, Gross</t>
  </si>
  <si>
    <t>Allowance for Doubtful Accounts</t>
  </si>
  <si>
    <t>Inventory</t>
  </si>
  <si>
    <t>Prepaids &amp; Other</t>
  </si>
  <si>
    <t>Total Current Assets</t>
  </si>
  <si>
    <t>PP&amp;E, Net</t>
  </si>
  <si>
    <t>Long-Term Intangible Assets</t>
  </si>
  <si>
    <t>Total Assets</t>
  </si>
  <si>
    <t>Accounts Payable</t>
  </si>
  <si>
    <t>Wages Payable</t>
  </si>
  <si>
    <t>Accrued Expenses &amp; Other</t>
  </si>
  <si>
    <t>Total Current Liabilities</t>
  </si>
  <si>
    <t>Revolver</t>
  </si>
  <si>
    <t>Term Loan A</t>
  </si>
  <si>
    <t>Subordinated Debt - Note 1</t>
  </si>
  <si>
    <t>Subordinated Debt - Note 2</t>
  </si>
  <si>
    <t>Other Long-Term Liabilities</t>
  </si>
  <si>
    <t xml:space="preserve">Total Liabilities </t>
  </si>
  <si>
    <t>Common Stock</t>
  </si>
  <si>
    <t>Retained Earnings</t>
  </si>
  <si>
    <t>Total Equity</t>
  </si>
  <si>
    <t>Total Liabilities and Equity</t>
  </si>
  <si>
    <t>Net Working Capital</t>
  </si>
  <si>
    <t>Net Working Capital, less Cash</t>
  </si>
  <si>
    <t>Check</t>
  </si>
  <si>
    <t>Athena Modeling Exercise</t>
  </si>
  <si>
    <t>Step 1 - Historicals</t>
  </si>
  <si>
    <t>Black font = Calculation</t>
  </si>
  <si>
    <t>YELLOWS ARE FILLS</t>
  </si>
  <si>
    <t>SKIP FOR NOW</t>
  </si>
  <si>
    <t>Blue font = Hardcoded Input/Assumption</t>
  </si>
  <si>
    <t>Green font = Pulled from another Sheet</t>
  </si>
  <si>
    <t>x</t>
  </si>
  <si>
    <t>Use the historical financial statements (Income Statement and Balance Sheet) to get started. Copy the financial statements as they appear from your research</t>
  </si>
  <si>
    <t>MRY</t>
  </si>
  <si>
    <t>Fiscal Years Ending December 31,</t>
  </si>
  <si>
    <t>($ in millions)</t>
  </si>
  <si>
    <t>COGS</t>
  </si>
  <si>
    <t>Gross Profit</t>
  </si>
  <si>
    <t>Gross Margin (%)</t>
  </si>
  <si>
    <t>SG&amp;A</t>
  </si>
  <si>
    <t>EBITDA</t>
  </si>
  <si>
    <t>EBITDA Margin (%)</t>
  </si>
  <si>
    <t>EBIT</t>
  </si>
  <si>
    <t>Interest (Income) / Expense</t>
  </si>
  <si>
    <t>Revolver – Interest</t>
  </si>
  <si>
    <t>Revolver – Undrawn Commitment Fee</t>
  </si>
  <si>
    <t>Other (Income) / Expense</t>
  </si>
  <si>
    <t>Income Before Taxes</t>
  </si>
  <si>
    <t>Provision for Tax</t>
  </si>
  <si>
    <t>Profit Margin (%)</t>
  </si>
  <si>
    <t>Capital Expenditures</t>
  </si>
  <si>
    <t>Assets</t>
  </si>
  <si>
    <t>Cash and Equivalents</t>
  </si>
  <si>
    <t>Accounts Receivable, net</t>
  </si>
  <si>
    <t>Prepaids and Other Current Assets</t>
  </si>
  <si>
    <t>PP&amp;E, Gross</t>
  </si>
  <si>
    <t>( – ) Accumulated Depreciation</t>
  </si>
  <si>
    <t>Goodwill</t>
  </si>
  <si>
    <t>Intangible and Long-Term Other Assets</t>
  </si>
  <si>
    <t>Liabilities &amp; Shareholders' Equity</t>
  </si>
  <si>
    <t>Subordinated - Note 1</t>
  </si>
  <si>
    <t>Subordinated - Note 2</t>
  </si>
  <si>
    <t>Total Debt</t>
  </si>
  <si>
    <t>Other Long-term Liabilities</t>
  </si>
  <si>
    <t>Total liabilities</t>
  </si>
  <si>
    <t>Total Liabilities &amp; Shareholders' Equity</t>
  </si>
  <si>
    <t>Checks to Source</t>
  </si>
  <si>
    <t>Revenue</t>
  </si>
  <si>
    <t>Cash</t>
  </si>
  <si>
    <t>Current Assets</t>
  </si>
  <si>
    <t>Current Liabilities</t>
  </si>
  <si>
    <t>Total Liabilities</t>
  </si>
  <si>
    <t>Internal Checks</t>
  </si>
  <si>
    <t>A= L +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</si>
</sst>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3" formatCode="_(* #,##0.00_);_(* \(#,##0.00\);_(* &quot;-&quot;??_);_(@_)"/>
    <numFmt numFmtId="164" formatCode="&quot;ERROR&quot;;&quot;ERROR&quot;;&quot;OK&quot;"/>
    <numFmt numFmtId="165" formatCode="[$-409]mmm\-yy;@"/>
    <numFmt numFmtId="166" formatCode="_(* #,##0.0_);_(* \(#,##0.0\);_(* &quot;-&quot;?_);_(@_)"/>
    <numFmt numFmtId="167" formatCode="0.0%"/>
    <numFmt numFmtId="168" formatCode="0_)_%;_(\(0\)_%;0_)_%;@_(_%"/>
    <numFmt numFmtId="169" formatCode="_(#,##0.00_)_%;_(\(#,##0.00\)_%;_(&quot;–&quot;_)_%;@_(_%"/>
    <numFmt numFmtId="170" formatCode="_(#,##0.0_)_%;_(\(#,##0.0\)_%;_(&quot;–&quot;_)_%;@_(_%"/>
    <numFmt numFmtId="171" formatCode="yyyy"/>
    <numFmt numFmtId="172" formatCode="mm/dd/yy;@"/>
    <numFmt numFmtId="173" formatCode="&quot;$&quot;#,##0.0_);\(&quot;$&quot;#,##0.0\);&quot;$&quot;#,##0.0_);@_)"/>
    <numFmt numFmtId="174" formatCode="&quot;$&quot;#,##0.0"/>
    <numFmt numFmtId="175" formatCode="#,##0.0_);\(#,##0.0\);#,##0.0_);@_)"/>
    <numFmt numFmtId="176" formatCode="_(#,##0_)_%;_(\(#,##0\)_%;_(&quot;–&quot;_)_%;@_(_%"/>
    <numFmt numFmtId="177" formatCode="_(&quot;$&quot;#,##0.0_)_%;_(\(&quot;$&quot;#,##0.0\)_%;_(&quot;–&quot;_)_%;@_(_%"/>
    <numFmt numFmtId="178" formatCode="_([$$]#,##0.0_)_%;\([$$]#,##0.0\)_%;_(&quot;–&quot;_)_%;@_)_%"/>
    <numFmt numFmtId="179" formatCode="&quot;$&quot;#,##0.0_);\(&quot;$&quot;#,##0.0\)"/>
    <numFmt numFmtId="180" formatCode="_(#,##0.000_)_%;_(\(#,##0.000\)_%;_(&quot;–&quot;_)_%;@_(_%"/>
    <numFmt numFmtId="181" formatCode="_(0.0%_);\(0.0%\);_(&quot;–&quot;_)_%;@_(_%"/>
  </numFmts>
  <fonts count="54">
    <font>
      <sz val="10"/>
      <color indexed="16"/>
      <name val="Credit Suisse Type Roman"/>
      <family val="2"/>
    </font>
    <font>
      <sz val="11"/>
      <color theme="1"/>
      <name val="Open Sans"/>
      <family val="2"/>
    </font>
    <font>
      <b/>
      <sz val="11"/>
      <color theme="0"/>
      <name val="Open Sans"/>
      <family val="2"/>
    </font>
    <font>
      <b/>
      <sz val="11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1"/>
      <name val="Open Sans"/>
      <family val="2"/>
    </font>
    <font>
      <sz val="11"/>
      <color theme="1"/>
      <name val="Book Antiqua"/>
      <family val="2"/>
    </font>
    <font>
      <i/>
      <sz val="10"/>
      <color theme="0"/>
      <name val="Open Sans"/>
      <family val="2"/>
    </font>
    <font>
      <b/>
      <sz val="11"/>
      <color rgb="FF535456"/>
      <name val="Open Sans"/>
      <family val="2"/>
    </font>
    <font>
      <sz val="11"/>
      <color rgb="FF535456"/>
      <name val="Open Sans"/>
      <family val="2"/>
    </font>
    <font>
      <b/>
      <u/>
      <sz val="11"/>
      <color theme="1"/>
      <name val="Open Sans"/>
      <family val="2"/>
    </font>
    <font>
      <i/>
      <sz val="10"/>
      <color theme="1"/>
      <name val="Open Sans"/>
      <family val="2"/>
    </font>
    <font>
      <sz val="10"/>
      <color theme="1"/>
      <name val="Open Sans"/>
      <family val="2"/>
    </font>
    <font>
      <i/>
      <sz val="11"/>
      <color theme="1"/>
      <name val="Open Sans"/>
      <family val="2"/>
    </font>
    <font>
      <sz val="10"/>
      <color indexed="16"/>
      <name val="Open Sans"/>
      <family val="2"/>
    </font>
    <font>
      <b/>
      <sz val="10"/>
      <color indexed="16"/>
      <name val="Open Sans"/>
      <family val="2"/>
    </font>
    <font>
      <b/>
      <sz val="10"/>
      <color indexed="9"/>
      <name val="Open Sans"/>
      <family val="2"/>
    </font>
    <font>
      <sz val="12"/>
      <color indexed="16"/>
      <name val="Open Sans"/>
      <family val="2"/>
    </font>
    <font>
      <b/>
      <sz val="14"/>
      <color theme="0"/>
      <name val="Open Sans"/>
      <family val="2"/>
    </font>
    <font>
      <sz val="14"/>
      <color theme="0"/>
      <name val="Open Sans"/>
      <family val="2"/>
    </font>
    <font>
      <b/>
      <sz val="10"/>
      <color theme="0"/>
      <name val="Open Sans"/>
      <family val="2"/>
    </font>
    <font>
      <b/>
      <sz val="10"/>
      <name val="Open Sans"/>
      <family val="2"/>
    </font>
    <font>
      <b/>
      <i/>
      <sz val="10"/>
      <color rgb="FF0000FF"/>
      <name val="Open Sans"/>
      <family val="2"/>
    </font>
    <font>
      <sz val="12"/>
      <color rgb="FF0000FF"/>
      <name val="Open Sans"/>
      <family val="2"/>
    </font>
    <font>
      <sz val="12"/>
      <color indexed="9"/>
      <name val="Open Sans"/>
      <family val="2"/>
    </font>
    <font>
      <b/>
      <sz val="10"/>
      <color rgb="FF000000"/>
      <name val="Open Sans"/>
      <family val="2"/>
    </font>
    <font>
      <b/>
      <sz val="10"/>
      <color rgb="FF0000FF"/>
      <name val="Open Sans"/>
      <family val="2"/>
    </font>
    <font>
      <b/>
      <sz val="10"/>
      <color rgb="FF007E00"/>
      <name val="Open Sans"/>
      <family val="2"/>
    </font>
    <font>
      <b/>
      <sz val="14"/>
      <color rgb="FFFFFFFF"/>
      <name val="Open Sans"/>
      <family val="2"/>
    </font>
    <font>
      <b/>
      <sz val="12"/>
      <color indexed="16"/>
      <name val="Open Sans"/>
      <family val="2"/>
    </font>
    <font>
      <b/>
      <sz val="10"/>
      <color rgb="FF416D89"/>
      <name val="Open Sans"/>
      <family val="2"/>
    </font>
    <font>
      <sz val="8"/>
      <color indexed="16"/>
      <name val="Open Sans"/>
      <family val="2"/>
    </font>
    <font>
      <sz val="7"/>
      <color indexed="16"/>
      <name val="Open Sans"/>
      <family val="2"/>
    </font>
    <font>
      <b/>
      <sz val="10"/>
      <color rgb="FF003868"/>
      <name val="Open Sans"/>
      <family val="2"/>
    </font>
    <font>
      <b/>
      <sz val="10"/>
      <color rgb="FF003769"/>
      <name val="Open Sans"/>
      <family val="2"/>
    </font>
    <font>
      <b/>
      <u val="singleAccounting"/>
      <sz val="10"/>
      <color rgb="FF003769"/>
      <name val="Open Sans"/>
      <family val="2"/>
    </font>
    <font>
      <sz val="8"/>
      <color rgb="FF000000"/>
      <name val="Open Sans"/>
      <family val="2"/>
    </font>
    <font>
      <b/>
      <sz val="10"/>
      <color indexed="53"/>
      <name val="Open Sans"/>
      <family val="2"/>
    </font>
    <font>
      <sz val="10"/>
      <name val="Open Sans"/>
      <family val="2"/>
    </font>
    <font>
      <sz val="10"/>
      <color rgb="FF007E00"/>
      <name val="Open Sans"/>
      <family val="2"/>
    </font>
    <font>
      <sz val="10"/>
      <color rgb="FF000000"/>
      <name val="Open Sans"/>
      <family val="2"/>
    </font>
    <font>
      <i/>
      <sz val="10"/>
      <name val="Open Sans"/>
      <family val="2"/>
    </font>
    <font>
      <i/>
      <sz val="10"/>
      <color rgb="FF000000"/>
      <name val="Open Sans"/>
      <family val="2"/>
    </font>
    <font>
      <i/>
      <u/>
      <sz val="10"/>
      <name val="Open Sans"/>
      <family val="2"/>
    </font>
    <font>
      <i/>
      <sz val="10"/>
      <color rgb="FF007E00"/>
      <name val="Open Sans"/>
      <family val="2"/>
    </font>
    <font>
      <sz val="10"/>
      <color rgb="FF0000FF"/>
      <name val="Open Sans"/>
      <family val="2"/>
    </font>
    <font>
      <i/>
      <sz val="10"/>
      <color indexed="16"/>
      <name val="Open Sans"/>
      <family val="2"/>
    </font>
    <font>
      <i/>
      <sz val="8"/>
      <color indexed="60"/>
      <name val="Open Sans"/>
      <family val="2"/>
    </font>
    <font>
      <i/>
      <sz val="12"/>
      <color rgb="FFC00000"/>
      <name val="Open Sans"/>
      <family val="2"/>
    </font>
    <font>
      <i/>
      <sz val="10"/>
      <color rgb="FFC00000"/>
      <name val="Open Sans"/>
      <family val="2"/>
    </font>
    <font>
      <i/>
      <sz val="10"/>
      <color rgb="FFC23841"/>
      <name val="Open Sans"/>
      <family val="2"/>
    </font>
    <font>
      <b/>
      <u/>
      <sz val="10"/>
      <color indexed="16"/>
      <name val="Open Sans"/>
      <family val="2"/>
    </font>
    <font>
      <i/>
      <u/>
      <sz val="10"/>
      <color indexed="16"/>
      <name val="Open Sans"/>
      <family val="2"/>
    </font>
    <font>
      <u/>
      <sz val="10"/>
      <color indexed="16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416D8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DCDC"/>
        <bgColor indexed="64"/>
      </patternFill>
    </fill>
    <fill>
      <patternFill patternType="solid">
        <fgColor rgb="FF005A9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medium">
        <color rgb="FF235A8C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B4C3D2"/>
      </left>
      <right/>
      <top style="thin">
        <color rgb="FFB4C3D2"/>
      </top>
      <bottom style="thin">
        <color rgb="FFB4C3D2"/>
      </bottom>
      <diagonal/>
    </border>
    <border>
      <left/>
      <right/>
      <top style="thin">
        <color rgb="FFB4C3D2"/>
      </top>
      <bottom style="thin">
        <color rgb="FFB4C3D2"/>
      </bottom>
      <diagonal/>
    </border>
    <border>
      <left/>
      <right style="thin">
        <color rgb="FFB4C3D2"/>
      </right>
      <top style="thin">
        <color rgb="FFB4C3D2"/>
      </top>
      <bottom style="thin">
        <color rgb="FFB4C3D2"/>
      </bottom>
      <diagonal/>
    </border>
    <border>
      <left/>
      <right/>
      <top/>
      <bottom style="thin">
        <color rgb="FFB4C3D2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25">
    <xf numFmtId="0" fontId="0" fillId="0" borderId="0" xfId="0"/>
    <xf numFmtId="164" fontId="5" fillId="0" borderId="0" xfId="1" applyNumberFormat="1" applyFont="1" applyAlignment="1">
      <alignment horizontal="centerContinuous"/>
    </xf>
    <xf numFmtId="0" fontId="1" fillId="0" borderId="0" xfId="2" applyFont="1"/>
    <xf numFmtId="0" fontId="2" fillId="2" borderId="0" xfId="1" applyFont="1" applyFill="1"/>
    <xf numFmtId="0" fontId="7" fillId="2" borderId="0" xfId="1" applyFont="1" applyFill="1"/>
    <xf numFmtId="0" fontId="8" fillId="3" borderId="0" xfId="2" applyFont="1" applyFill="1"/>
    <xf numFmtId="0" fontId="9" fillId="3" borderId="0" xfId="2" applyFont="1" applyFill="1"/>
    <xf numFmtId="165" fontId="1" fillId="0" borderId="0" xfId="2" applyNumberFormat="1" applyFont="1"/>
    <xf numFmtId="0" fontId="10" fillId="0" borderId="0" xfId="2" applyFont="1" applyAlignment="1">
      <alignment horizontal="center"/>
    </xf>
    <xf numFmtId="0" fontId="1" fillId="0" borderId="0" xfId="2" applyFont="1" applyAlignment="1">
      <alignment wrapText="1"/>
    </xf>
    <xf numFmtId="0" fontId="1" fillId="0" borderId="0" xfId="2" applyFont="1" applyAlignment="1">
      <alignment horizontal="left" indent="1"/>
    </xf>
    <xf numFmtId="166" fontId="1" fillId="0" borderId="0" xfId="2" applyNumberFormat="1" applyFont="1"/>
    <xf numFmtId="43" fontId="1" fillId="0" borderId="0" xfId="2" applyNumberFormat="1" applyFont="1"/>
    <xf numFmtId="0" fontId="3" fillId="0" borderId="1" xfId="2" applyFont="1" applyBorder="1"/>
    <xf numFmtId="0" fontId="1" fillId="0" borderId="1" xfId="2" applyFont="1" applyBorder="1"/>
    <xf numFmtId="166" fontId="3" fillId="0" borderId="1" xfId="2" applyNumberFormat="1" applyFont="1" applyBorder="1"/>
    <xf numFmtId="0" fontId="3" fillId="0" borderId="0" xfId="2" applyFont="1"/>
    <xf numFmtId="166" fontId="3" fillId="0" borderId="0" xfId="2" applyNumberFormat="1" applyFont="1"/>
    <xf numFmtId="0" fontId="11" fillId="0" borderId="0" xfId="2" applyFont="1" applyAlignment="1">
      <alignment horizontal="left" indent="2"/>
    </xf>
    <xf numFmtId="0" fontId="12" fillId="0" borderId="0" xfId="2" applyFont="1"/>
    <xf numFmtId="167" fontId="11" fillId="0" borderId="0" xfId="2" applyNumberFormat="1" applyFont="1"/>
    <xf numFmtId="167" fontId="13" fillId="0" borderId="0" xfId="2" applyNumberFormat="1" applyFont="1"/>
    <xf numFmtId="0" fontId="3" fillId="0" borderId="0" xfId="2" applyFont="1" applyAlignment="1">
      <alignment horizontal="left"/>
    </xf>
    <xf numFmtId="0" fontId="10" fillId="0" borderId="0" xfId="2" applyFont="1" applyAlignment="1">
      <alignment horizontal="right" indent="1"/>
    </xf>
    <xf numFmtId="0" fontId="1" fillId="0" borderId="0" xfId="2" applyFont="1" applyAlignment="1">
      <alignment horizontal="left" indent="2"/>
    </xf>
    <xf numFmtId="0" fontId="1" fillId="0" borderId="0" xfId="2" applyFont="1" applyAlignment="1">
      <alignment horizontal="left"/>
    </xf>
    <xf numFmtId="0" fontId="13" fillId="0" borderId="0" xfId="2" applyFont="1"/>
    <xf numFmtId="166" fontId="13" fillId="0" borderId="0" xfId="2" applyNumberFormat="1" applyFont="1"/>
    <xf numFmtId="0" fontId="13" fillId="0" borderId="0" xfId="2" applyFont="1" applyAlignment="1">
      <alignment horizontal="left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8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168" fontId="19" fillId="2" borderId="0" xfId="0" applyNumberFormat="1" applyFont="1" applyFill="1" applyAlignment="1">
      <alignment horizontal="right" vertical="center"/>
    </xf>
    <xf numFmtId="169" fontId="19" fillId="2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vertical="center"/>
    </xf>
    <xf numFmtId="168" fontId="18" fillId="2" borderId="0" xfId="0" applyNumberFormat="1" applyFont="1" applyFill="1" applyAlignment="1">
      <alignment horizontal="right" vertical="center"/>
    </xf>
    <xf numFmtId="0" fontId="21" fillId="0" borderId="0" xfId="0" applyFont="1" applyAlignment="1">
      <alignment vertical="center"/>
    </xf>
    <xf numFmtId="0" fontId="22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168" fontId="24" fillId="0" borderId="0" xfId="0" applyNumberFormat="1" applyFont="1" applyAlignment="1">
      <alignment horizontal="right" vertical="center"/>
    </xf>
    <xf numFmtId="170" fontId="25" fillId="5" borderId="0" xfId="0" applyNumberFormat="1" applyFont="1" applyFill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28" fillId="6" borderId="2" xfId="0" applyFont="1" applyFill="1" applyBorder="1" applyAlignment="1">
      <alignment vertical="center"/>
    </xf>
    <xf numFmtId="0" fontId="29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49" fontId="35" fillId="0" borderId="0" xfId="0" applyNumberFormat="1" applyFont="1" applyAlignment="1">
      <alignment horizontal="centerContinuous" vertical="center"/>
    </xf>
    <xf numFmtId="0" fontId="36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171" fontId="34" fillId="0" borderId="3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172" fontId="37" fillId="0" borderId="0" xfId="0" applyNumberFormat="1" applyFont="1" applyAlignment="1">
      <alignment horizontal="center" vertical="center"/>
    </xf>
    <xf numFmtId="173" fontId="21" fillId="0" borderId="0" xfId="0" applyNumberFormat="1" applyFont="1" applyAlignment="1">
      <alignment vertical="center"/>
    </xf>
    <xf numFmtId="174" fontId="27" fillId="4" borderId="0" xfId="0" applyNumberFormat="1" applyFont="1" applyFill="1" applyAlignment="1">
      <alignment vertical="center"/>
    </xf>
    <xf numFmtId="175" fontId="38" fillId="0" borderId="0" xfId="0" applyNumberFormat="1" applyFont="1" applyAlignment="1">
      <alignment vertical="center"/>
    </xf>
    <xf numFmtId="166" fontId="39" fillId="4" borderId="0" xfId="0" applyNumberFormat="1" applyFont="1" applyFill="1" applyAlignment="1">
      <alignment vertical="center"/>
    </xf>
    <xf numFmtId="0" fontId="38" fillId="0" borderId="4" xfId="0" applyFont="1" applyBorder="1" applyAlignment="1">
      <alignment vertical="center"/>
    </xf>
    <xf numFmtId="166" fontId="40" fillId="0" borderId="4" xfId="0" applyNumberFormat="1" applyFont="1" applyBorder="1" applyAlignment="1">
      <alignment vertical="center"/>
    </xf>
    <xf numFmtId="0" fontId="41" fillId="0" borderId="0" xfId="0" applyFont="1" applyAlignment="1">
      <alignment horizontal="left" vertical="center" indent="1"/>
    </xf>
    <xf numFmtId="0" fontId="38" fillId="0" borderId="0" xfId="0" applyFont="1" applyAlignment="1">
      <alignment vertical="center"/>
    </xf>
    <xf numFmtId="167" fontId="42" fillId="0" borderId="0" xfId="0" applyNumberFormat="1" applyFont="1" applyAlignment="1">
      <alignment horizontal="right" vertical="center"/>
    </xf>
    <xf numFmtId="0" fontId="21" fillId="0" borderId="4" xfId="0" applyFont="1" applyBorder="1" applyAlignment="1">
      <alignment vertical="center"/>
    </xf>
    <xf numFmtId="174" fontId="25" fillId="0" borderId="4" xfId="0" applyNumberFormat="1" applyFont="1" applyBorder="1" applyAlignment="1">
      <alignment vertical="center"/>
    </xf>
    <xf numFmtId="0" fontId="43" fillId="0" borderId="0" xfId="0" applyFont="1" applyAlignment="1">
      <alignment vertical="center"/>
    </xf>
    <xf numFmtId="167" fontId="44" fillId="0" borderId="0" xfId="0" applyNumberFormat="1" applyFont="1" applyAlignment="1">
      <alignment vertical="center"/>
    </xf>
    <xf numFmtId="175" fontId="38" fillId="0" borderId="0" xfId="0" applyNumberFormat="1" applyFont="1" applyAlignment="1">
      <alignment horizontal="left" vertical="center" indent="1"/>
    </xf>
    <xf numFmtId="170" fontId="39" fillId="0" borderId="0" xfId="0" applyNumberFormat="1" applyFont="1" applyAlignment="1">
      <alignment horizontal="right" vertical="center"/>
    </xf>
    <xf numFmtId="0" fontId="38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166" fontId="39" fillId="4" borderId="4" xfId="0" applyNumberFormat="1" applyFont="1" applyFill="1" applyBorder="1" applyAlignment="1">
      <alignment horizontal="right" vertical="center"/>
    </xf>
    <xf numFmtId="176" fontId="21" fillId="0" borderId="4" xfId="0" applyNumberFormat="1" applyFont="1" applyBorder="1" applyAlignment="1">
      <alignment vertical="center"/>
    </xf>
    <xf numFmtId="173" fontId="38" fillId="0" borderId="0" xfId="0" applyNumberFormat="1" applyFont="1" applyAlignment="1">
      <alignment vertical="center"/>
    </xf>
    <xf numFmtId="177" fontId="45" fillId="0" borderId="0" xfId="0" applyNumberFormat="1" applyFont="1" applyAlignment="1">
      <alignment vertical="center"/>
    </xf>
    <xf numFmtId="0" fontId="14" fillId="0" borderId="0" xfId="0" applyFont="1"/>
    <xf numFmtId="0" fontId="14" fillId="0" borderId="5" xfId="0" applyFont="1" applyBorder="1" applyAlignment="1">
      <alignment vertical="center"/>
    </xf>
    <xf numFmtId="0" fontId="20" fillId="2" borderId="6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 indent="1"/>
    </xf>
    <xf numFmtId="0" fontId="20" fillId="2" borderId="7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 indent="1"/>
    </xf>
    <xf numFmtId="174" fontId="27" fillId="4" borderId="0" xfId="0" applyNumberFormat="1" applyFont="1" applyFill="1" applyAlignment="1">
      <alignment horizontal="right" vertical="center"/>
    </xf>
    <xf numFmtId="178" fontId="14" fillId="0" borderId="0" xfId="0" applyNumberFormat="1" applyFont="1" applyAlignment="1">
      <alignment horizontal="right" vertical="center"/>
    </xf>
    <xf numFmtId="0" fontId="38" fillId="0" borderId="0" xfId="0" applyFont="1" applyAlignment="1">
      <alignment horizontal="left" vertical="center" indent="1"/>
    </xf>
    <xf numFmtId="166" fontId="39" fillId="4" borderId="0" xfId="0" applyNumberFormat="1" applyFont="1" applyFill="1" applyAlignment="1">
      <alignment horizontal="right" vertical="center"/>
    </xf>
    <xf numFmtId="166" fontId="38" fillId="0" borderId="4" xfId="0" applyNumberFormat="1" applyFont="1" applyBorder="1" applyAlignment="1">
      <alignment horizontal="right" vertical="center"/>
    </xf>
    <xf numFmtId="170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166" fontId="39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166" fontId="45" fillId="0" borderId="0" xfId="0" applyNumberFormat="1" applyFont="1" applyAlignment="1">
      <alignment horizontal="right" vertical="center"/>
    </xf>
    <xf numFmtId="0" fontId="2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74" fontId="21" fillId="0" borderId="1" xfId="0" applyNumberFormat="1" applyFont="1" applyBorder="1" applyAlignment="1">
      <alignment horizontal="right" vertical="center"/>
    </xf>
    <xf numFmtId="178" fontId="15" fillId="0" borderId="0" xfId="0" applyNumberFormat="1" applyFont="1" applyAlignment="1">
      <alignment horizontal="right" vertical="center"/>
    </xf>
    <xf numFmtId="0" fontId="14" fillId="0" borderId="9" xfId="0" applyFont="1" applyBorder="1" applyAlignment="1">
      <alignment vertical="center"/>
    </xf>
    <xf numFmtId="179" fontId="21" fillId="0" borderId="1" xfId="0" applyNumberFormat="1" applyFont="1" applyBorder="1" applyAlignment="1">
      <alignment horizontal="right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 indent="1"/>
    </xf>
    <xf numFmtId="0" fontId="47" fillId="0" borderId="0" xfId="0" applyFont="1" applyAlignment="1">
      <alignment horizontal="left" vertical="center"/>
    </xf>
    <xf numFmtId="170" fontId="47" fillId="0" borderId="0" xfId="0" applyNumberFormat="1" applyFont="1" applyAlignment="1">
      <alignment horizontal="right"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horizontal="left" vertical="center"/>
    </xf>
    <xf numFmtId="170" fontId="49" fillId="0" borderId="0" xfId="0" applyNumberFormat="1" applyFont="1" applyAlignment="1">
      <alignment horizontal="right" vertical="center"/>
    </xf>
    <xf numFmtId="180" fontId="49" fillId="0" borderId="0" xfId="0" applyNumberFormat="1" applyFont="1" applyAlignment="1">
      <alignment horizontal="right" vertical="center"/>
    </xf>
    <xf numFmtId="0" fontId="49" fillId="0" borderId="0" xfId="0" applyFont="1" applyAlignment="1">
      <alignment vertical="center"/>
    </xf>
    <xf numFmtId="0" fontId="38" fillId="0" borderId="5" xfId="0" applyFont="1" applyBorder="1" applyAlignment="1">
      <alignment vertical="center"/>
    </xf>
    <xf numFmtId="181" fontId="50" fillId="0" borderId="5" xfId="0" applyNumberFormat="1" applyFont="1" applyBorder="1" applyAlignment="1">
      <alignment vertical="center"/>
    </xf>
    <xf numFmtId="181" fontId="50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51" fillId="0" borderId="0" xfId="0" applyFont="1"/>
    <xf numFmtId="0" fontId="52" fillId="0" borderId="0" xfId="0" applyFont="1"/>
    <xf numFmtId="0" fontId="46" fillId="0" borderId="0" xfId="0" applyFont="1"/>
    <xf numFmtId="41" fontId="14" fillId="0" borderId="0" xfId="0" applyNumberFormat="1" applyFont="1"/>
    <xf numFmtId="0" fontId="53" fillId="0" borderId="0" xfId="0" applyFont="1"/>
    <xf numFmtId="43" fontId="14" fillId="0" borderId="0" xfId="0" applyNumberFormat="1" applyFont="1"/>
  </cellXfs>
  <cellStyles count="3">
    <cellStyle name="Normal" xfId="0" builtinId="0"/>
    <cellStyle name="Normal 10 2" xfId="1" xr:uid="{72F8DEEC-2B71-4EE8-BD43-13F79DC7B708}"/>
    <cellStyle name="Normal 5 2" xfId="2" xr:uid="{0E6D6010-9EC5-49A6-AAD7-94F09F30B2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thenape.sharepoint.com/sites/AthenaDocuments/Shared%20Documents/_DOCS/_Teaching%20Content/Model%20Examples/Nine%20Step%20Model%20Valuation%20Build%20-%20VIDEO.xlsx" TargetMode="External"/><Relationship Id="rId1" Type="http://schemas.openxmlformats.org/officeDocument/2006/relationships/externalLinkPath" Target="/sites/AthenaDocuments/Shared%20Documents/_DOCS/_Teaching%20Content/Model%20Examples/Nine%20Step%20Model%20Valuation%20Build%20-%20VID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 I - MODEL BUILD &gt;&gt;&gt;"/>
      <sheetName val="Financials from CIP"/>
      <sheetName val="Step 1"/>
      <sheetName val="Step 1 Answer Key"/>
      <sheetName val="Step 2"/>
      <sheetName val="Step 2 Answer Key"/>
      <sheetName val="Step 3"/>
      <sheetName val="Step 3 Answer Key"/>
      <sheetName val="Step 4"/>
      <sheetName val="Step 4 Answer Key"/>
      <sheetName val="Step 5"/>
      <sheetName val="Step 5 Answer Key"/>
      <sheetName val="Step 6"/>
      <sheetName val="Step 6 Answer Key"/>
      <sheetName val="Step 7"/>
      <sheetName val="Step 7 Answer Key"/>
      <sheetName val="Step 8"/>
      <sheetName val="Step 8 Answer Key"/>
      <sheetName val="Step 9"/>
      <sheetName val="Step 9 Answer Key"/>
      <sheetName val="PART II - VALUATION BUILD &gt;&gt;&gt;"/>
      <sheetName val="Step 1 - Replacement Valuation"/>
      <sheetName val="Step 1 - Replacement Answer Key"/>
      <sheetName val="Step 2 - Comps"/>
      <sheetName val="Step 2 - Comps Answer Key"/>
      <sheetName val="Step 3 - DCF"/>
      <sheetName val="Step 3 - DCF Answer Key"/>
      <sheetName val="Step 4 - LBO"/>
      <sheetName val="Step 4 - LBO Answer Key"/>
      <sheetName val="Step 5 - Football Field Ans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19BC-DD9B-4D57-9654-3FDAD3E08DF1}">
  <sheetPr>
    <tabColor theme="1"/>
  </sheetPr>
  <dimension ref="A1"/>
  <sheetViews>
    <sheetView topLeftCell="XFD1" zoomScaleNormal="100" workbookViewId="0">
      <selection activeCell="C2" sqref="C2"/>
    </sheetView>
  </sheetViews>
  <sheetFormatPr defaultColWidth="0" defaultRowHeight="12.75"/>
  <cols>
    <col min="1" max="16384" width="9.140625" hidden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DE9A-0426-44D7-B00D-61E95F7DD0BB}">
  <sheetPr>
    <tabColor rgb="FF005A9F"/>
    <pageSetUpPr fitToPage="1"/>
  </sheetPr>
  <dimension ref="B1:O94"/>
  <sheetViews>
    <sheetView showGridLines="0" view="pageBreakPreview" zoomScaleNormal="85" zoomScaleSheetLayoutView="100" workbookViewId="0">
      <pane xSplit="3" ySplit="10" topLeftCell="D11" activePane="bottomRight" state="frozen"/>
      <selection activeCell="C2" sqref="C2"/>
      <selection pane="topRight" activeCell="C2" sqref="C2"/>
      <selection pane="bottomLeft" activeCell="C2" sqref="C2"/>
      <selection pane="bottomRight" activeCell="B3" sqref="B3"/>
    </sheetView>
  </sheetViews>
  <sheetFormatPr defaultRowHeight="16.5" outlineLevelRow="1"/>
  <cols>
    <col min="1" max="1" width="9.140625" style="2"/>
    <col min="2" max="2" width="47" style="2" customWidth="1"/>
    <col min="3" max="3" width="3" style="2" customWidth="1"/>
    <col min="4" max="4" width="14.5703125" style="2" bestFit="1" customWidth="1"/>
    <col min="5" max="5" width="12.85546875" style="2" bestFit="1" customWidth="1"/>
    <col min="6" max="6" width="3" style="2" customWidth="1"/>
    <col min="7" max="7" width="2.85546875" style="2" customWidth="1"/>
    <col min="8" max="8" width="9.140625" style="2"/>
    <col min="9" max="9" width="12.5703125" style="2" bestFit="1" customWidth="1"/>
    <col min="10" max="10" width="18.5703125" style="2" bestFit="1" customWidth="1"/>
    <col min="11" max="11" width="12.5703125" style="2" bestFit="1" customWidth="1"/>
    <col min="12" max="12" width="9.140625" style="2"/>
    <col min="13" max="13" width="12.5703125" style="2" bestFit="1" customWidth="1"/>
    <col min="14" max="16384" width="9.140625" style="2"/>
  </cols>
  <sheetData>
    <row r="1" spans="2:11">
      <c r="B1" s="1"/>
    </row>
    <row r="3" spans="2:11">
      <c r="B3" s="3" t="s">
        <v>0</v>
      </c>
      <c r="C3" s="3"/>
      <c r="D3" s="3"/>
      <c r="E3" s="3"/>
      <c r="F3" s="3"/>
    </row>
    <row r="4" spans="2:11">
      <c r="B4" s="3" t="s">
        <v>1</v>
      </c>
      <c r="C4" s="3"/>
      <c r="D4" s="3"/>
      <c r="E4" s="3"/>
      <c r="F4" s="3"/>
    </row>
    <row r="5" spans="2:11">
      <c r="B5" s="4" t="s">
        <v>2</v>
      </c>
      <c r="C5" s="4"/>
      <c r="D5" s="4"/>
      <c r="E5" s="4"/>
      <c r="F5" s="4"/>
    </row>
    <row r="7" spans="2:11">
      <c r="B7" s="5" t="s">
        <v>3</v>
      </c>
      <c r="C7" s="6"/>
      <c r="D7" s="6"/>
      <c r="E7" s="6"/>
      <c r="F7" s="6"/>
      <c r="H7" s="7"/>
      <c r="I7" s="7"/>
      <c r="J7" s="7"/>
      <c r="K7" s="7"/>
    </row>
    <row r="8" spans="2:11">
      <c r="H8" s="7"/>
      <c r="I8" s="7"/>
      <c r="J8" s="7"/>
      <c r="K8" s="7"/>
    </row>
    <row r="9" spans="2:11">
      <c r="D9" s="8" t="s">
        <v>4</v>
      </c>
      <c r="E9" s="8" t="s">
        <v>4</v>
      </c>
    </row>
    <row r="10" spans="2:11">
      <c r="D10" s="8">
        <v>2023</v>
      </c>
      <c r="E10" s="8">
        <v>2024</v>
      </c>
      <c r="F10" s="9"/>
    </row>
    <row r="11" spans="2:11">
      <c r="B11" s="10" t="s">
        <v>5</v>
      </c>
      <c r="D11" s="11">
        <v>67988.161999999997</v>
      </c>
      <c r="E11" s="11">
        <v>74320.331999999995</v>
      </c>
      <c r="I11" s="12"/>
      <c r="J11" s="12"/>
      <c r="K11" s="12"/>
    </row>
    <row r="12" spans="2:11">
      <c r="B12" s="10" t="s">
        <v>6</v>
      </c>
      <c r="D12" s="11">
        <v>10577.513999999999</v>
      </c>
      <c r="E12" s="11">
        <v>16293.675999999999</v>
      </c>
      <c r="I12" s="12"/>
      <c r="J12" s="12"/>
      <c r="K12" s="12"/>
    </row>
    <row r="13" spans="2:11">
      <c r="B13" s="13" t="s">
        <v>7</v>
      </c>
      <c r="C13" s="14"/>
      <c r="D13" s="15">
        <f>+SUM(D11:D12)</f>
        <v>78565.675999999992</v>
      </c>
      <c r="E13" s="15">
        <f>+SUM(E11:E12)</f>
        <v>90614.008000000002</v>
      </c>
    </row>
    <row r="15" spans="2:11">
      <c r="B15" s="10" t="s">
        <v>8</v>
      </c>
      <c r="D15" s="11">
        <v>41584.93</v>
      </c>
      <c r="E15" s="11">
        <v>49665.089</v>
      </c>
      <c r="I15" s="12"/>
      <c r="J15" s="12"/>
      <c r="K15" s="12"/>
    </row>
    <row r="16" spans="2:11">
      <c r="B16" s="10" t="s">
        <v>9</v>
      </c>
      <c r="D16" s="11">
        <v>8321.4680000000008</v>
      </c>
      <c r="E16" s="11">
        <v>9548.8639999999996</v>
      </c>
      <c r="I16" s="12"/>
      <c r="J16" s="12"/>
      <c r="K16" s="12"/>
    </row>
    <row r="17" spans="2:15">
      <c r="B17" s="10" t="s">
        <v>10</v>
      </c>
      <c r="D17" s="11">
        <v>1655.7909999999999</v>
      </c>
      <c r="E17" s="11">
        <v>2404.723</v>
      </c>
      <c r="I17" s="12"/>
      <c r="J17" s="12"/>
      <c r="K17" s="12"/>
    </row>
    <row r="18" spans="2:15" ht="5.0999999999999996" customHeight="1">
      <c r="B18" s="10"/>
      <c r="D18" s="11"/>
      <c r="E18" s="11"/>
    </row>
    <row r="19" spans="2:15">
      <c r="B19" s="13" t="s">
        <v>11</v>
      </c>
      <c r="C19" s="14"/>
      <c r="D19" s="15">
        <f>+D13-SUM(D15:D18)</f>
        <v>27003.486999999994</v>
      </c>
      <c r="E19" s="15">
        <f t="shared" ref="E19" si="0">+E13-SUM(E15:E18)</f>
        <v>28995.332000000002</v>
      </c>
    </row>
    <row r="20" spans="2:15" ht="5.0999999999999996" customHeight="1">
      <c r="B20" s="16"/>
      <c r="D20" s="17"/>
      <c r="E20" s="17"/>
    </row>
    <row r="21" spans="2:15" s="19" customFormat="1" ht="15">
      <c r="B21" s="18" t="s">
        <v>12</v>
      </c>
      <c r="D21" s="20">
        <f>+D19/D$13</f>
        <v>0.34370590790818112</v>
      </c>
      <c r="E21" s="20">
        <f>+E19/E$13</f>
        <v>0.31998730262543956</v>
      </c>
    </row>
    <row r="22" spans="2:15" ht="5.0999999999999996" customHeight="1"/>
    <row r="23" spans="2:15">
      <c r="B23" s="10" t="s">
        <v>13</v>
      </c>
      <c r="D23" s="11">
        <v>10567.612999999999</v>
      </c>
      <c r="E23" s="11">
        <v>11023.057000000001</v>
      </c>
      <c r="I23" s="12"/>
      <c r="J23" s="12"/>
      <c r="K23" s="12"/>
      <c r="M23" s="12"/>
      <c r="N23" s="12"/>
      <c r="O23" s="12"/>
    </row>
    <row r="24" spans="2:15">
      <c r="B24" s="10" t="s">
        <v>14</v>
      </c>
      <c r="D24" s="11">
        <v>3246.1469999999999</v>
      </c>
      <c r="E24" s="11">
        <v>4150.1989395000001</v>
      </c>
      <c r="I24" s="12"/>
      <c r="J24" s="12"/>
      <c r="K24" s="12"/>
    </row>
    <row r="25" spans="2:15">
      <c r="B25" s="10" t="s">
        <v>15</v>
      </c>
      <c r="D25" s="11">
        <v>1180.1621</v>
      </c>
      <c r="E25" s="11">
        <v>1161.7642799999999</v>
      </c>
      <c r="I25" s="12"/>
      <c r="J25" s="12"/>
      <c r="K25" s="12"/>
    </row>
    <row r="26" spans="2:15">
      <c r="B26" s="10" t="s">
        <v>16</v>
      </c>
      <c r="D26" s="11">
        <v>208.26400000000001</v>
      </c>
      <c r="E26" s="11">
        <v>237.952</v>
      </c>
      <c r="I26" s="12"/>
      <c r="J26" s="12"/>
      <c r="K26" s="12"/>
    </row>
    <row r="27" spans="2:15">
      <c r="B27" s="10" t="s">
        <v>17</v>
      </c>
      <c r="D27" s="11">
        <v>2224.9549999999999</v>
      </c>
      <c r="E27" s="11">
        <v>1472.7629999999999</v>
      </c>
      <c r="I27" s="12"/>
      <c r="J27" s="12"/>
      <c r="K27" s="12"/>
    </row>
    <row r="28" spans="2:15">
      <c r="B28" s="10" t="s">
        <v>18</v>
      </c>
      <c r="D28" s="11">
        <v>366.15499999999997</v>
      </c>
      <c r="E28" s="11">
        <v>263.43299999999999</v>
      </c>
      <c r="I28" s="12"/>
      <c r="J28" s="12"/>
      <c r="K28" s="12"/>
      <c r="M28" s="12"/>
      <c r="N28" s="12"/>
      <c r="O28" s="12"/>
    </row>
    <row r="29" spans="2:15">
      <c r="B29" s="10" t="s">
        <v>19</v>
      </c>
      <c r="D29" s="11">
        <v>3201.0390000000002</v>
      </c>
      <c r="E29" s="11">
        <v>2809.107</v>
      </c>
      <c r="I29" s="12"/>
      <c r="J29" s="12"/>
      <c r="K29" s="12"/>
    </row>
    <row r="30" spans="2:15">
      <c r="B30" s="13" t="s">
        <v>20</v>
      </c>
      <c r="C30" s="14"/>
      <c r="D30" s="15">
        <f>+SUM(D23:D29)</f>
        <v>20994.335099999997</v>
      </c>
      <c r="E30" s="15">
        <f>+SUM(E23:E29)</f>
        <v>21118.275219499999</v>
      </c>
    </row>
    <row r="32" spans="2:15">
      <c r="B32" s="10" t="s">
        <v>21</v>
      </c>
      <c r="D32" s="11">
        <v>147.37100000000001</v>
      </c>
      <c r="E32" s="11">
        <v>273.43900000000002</v>
      </c>
      <c r="I32" s="12"/>
      <c r="J32" s="12"/>
      <c r="K32" s="12"/>
    </row>
    <row r="33" spans="2:11" ht="5.0999999999999996" customHeight="1"/>
    <row r="34" spans="2:11">
      <c r="B34" s="13" t="s">
        <v>22</v>
      </c>
      <c r="C34" s="14"/>
      <c r="D34" s="15">
        <f>+D19-D30-D32</f>
        <v>5861.780899999997</v>
      </c>
      <c r="E34" s="15">
        <f>+E19-E30-E32</f>
        <v>7603.6177805000025</v>
      </c>
      <c r="I34" s="21"/>
      <c r="J34" s="21"/>
      <c r="K34" s="21"/>
    </row>
    <row r="36" spans="2:11">
      <c r="B36" s="22" t="s">
        <v>23</v>
      </c>
      <c r="D36" s="17">
        <f>+D34+D25+D27+D29+D26+D32</f>
        <v>12823.571999999996</v>
      </c>
      <c r="E36" s="17">
        <f t="shared" ref="E36" si="1">+E34+E25+E27+E29+E26+E32</f>
        <v>13558.643060500002</v>
      </c>
      <c r="I36" s="21"/>
      <c r="J36" s="21"/>
      <c r="K36" s="21"/>
    </row>
    <row r="37" spans="2:11" ht="5.0999999999999996" customHeight="1">
      <c r="B37" s="22"/>
      <c r="D37" s="17"/>
      <c r="E37" s="17"/>
    </row>
    <row r="38" spans="2:11" ht="5.0999999999999996" customHeight="1">
      <c r="B38" s="16"/>
      <c r="D38" s="17"/>
      <c r="E38" s="17"/>
    </row>
    <row r="39" spans="2:11" s="19" customFormat="1" ht="15">
      <c r="B39" s="18" t="s">
        <v>24</v>
      </c>
      <c r="D39" s="20">
        <f>D34/D$13</f>
        <v>7.4609946715153294E-2</v>
      </c>
      <c r="E39" s="20">
        <f t="shared" ref="E39" si="2">E34/E$13</f>
        <v>8.3912167095621715E-2</v>
      </c>
    </row>
    <row r="40" spans="2:11" s="19" customFormat="1" ht="15">
      <c r="B40" s="18" t="s">
        <v>25</v>
      </c>
      <c r="D40" s="20">
        <f>D36/D$13</f>
        <v>0.16322104833668075</v>
      </c>
      <c r="E40" s="20">
        <f t="shared" ref="E40" si="3">E36/E$13</f>
        <v>0.14963076195128686</v>
      </c>
    </row>
    <row r="42" spans="2:11">
      <c r="B42" s="5" t="s">
        <v>26</v>
      </c>
      <c r="C42" s="6"/>
      <c r="D42" s="6"/>
      <c r="E42" s="6"/>
      <c r="F42" s="6"/>
    </row>
    <row r="44" spans="2:11">
      <c r="D44" s="8" t="s">
        <v>27</v>
      </c>
      <c r="E44" s="8" t="s">
        <v>27</v>
      </c>
    </row>
    <row r="45" spans="2:11">
      <c r="D45" s="23">
        <f>+D10</f>
        <v>2023</v>
      </c>
      <c r="E45" s="23">
        <f>+D45+1</f>
        <v>2024</v>
      </c>
    </row>
    <row r="46" spans="2:11">
      <c r="B46" s="10" t="s">
        <v>28</v>
      </c>
      <c r="D46" s="11">
        <v>7105.652</v>
      </c>
      <c r="E46" s="11">
        <v>2957.9920000000002</v>
      </c>
      <c r="I46" s="11"/>
    </row>
    <row r="47" spans="2:11">
      <c r="B47" s="10" t="s">
        <v>29</v>
      </c>
      <c r="D47" s="11">
        <v>17300.432000000001</v>
      </c>
      <c r="E47" s="11">
        <v>22973.94</v>
      </c>
      <c r="I47" s="12"/>
      <c r="J47" s="12"/>
      <c r="K47" s="12"/>
    </row>
    <row r="48" spans="2:11">
      <c r="B48" s="24" t="s">
        <v>30</v>
      </c>
      <c r="D48" s="11">
        <v>-519.01300000000003</v>
      </c>
      <c r="E48" s="11">
        <v>-689.21799999999996</v>
      </c>
      <c r="I48" s="12"/>
      <c r="J48" s="12"/>
      <c r="K48" s="12"/>
    </row>
    <row r="49" spans="2:11">
      <c r="B49" s="10" t="s">
        <v>31</v>
      </c>
      <c r="D49" s="11">
        <v>804.90099999999995</v>
      </c>
      <c r="E49" s="11">
        <v>1161.057</v>
      </c>
      <c r="I49" s="12"/>
      <c r="J49" s="12"/>
      <c r="K49" s="12"/>
    </row>
    <row r="50" spans="2:11">
      <c r="B50" s="10" t="s">
        <v>32</v>
      </c>
      <c r="D50" s="11">
        <v>269.78399999999999</v>
      </c>
      <c r="E50" s="11">
        <v>344.91899999999998</v>
      </c>
      <c r="I50" s="12"/>
      <c r="J50" s="12"/>
      <c r="K50" s="12"/>
    </row>
    <row r="51" spans="2:11">
      <c r="B51" s="13" t="s">
        <v>33</v>
      </c>
      <c r="C51" s="14"/>
      <c r="D51" s="15">
        <f>+SUM(D46:D50)</f>
        <v>24961.756000000005</v>
      </c>
      <c r="E51" s="15">
        <f>+SUM(E46:E50)</f>
        <v>26748.690000000002</v>
      </c>
    </row>
    <row r="52" spans="2:11">
      <c r="B52" s="25"/>
    </row>
    <row r="53" spans="2:11">
      <c r="B53" s="10" t="s">
        <v>34</v>
      </c>
      <c r="D53" s="11">
        <v>54584.7</v>
      </c>
      <c r="E53" s="11">
        <v>55684.983999999997</v>
      </c>
      <c r="I53" s="12"/>
      <c r="J53" s="12"/>
      <c r="K53" s="12"/>
    </row>
    <row r="54" spans="2:11">
      <c r="B54" s="10" t="s">
        <v>35</v>
      </c>
      <c r="D54" s="11">
        <v>4378.482</v>
      </c>
      <c r="E54" s="11">
        <v>4504.37</v>
      </c>
      <c r="I54" s="12"/>
      <c r="J54" s="12"/>
      <c r="K54" s="12"/>
    </row>
    <row r="55" spans="2:11" ht="5.0999999999999996" customHeight="1">
      <c r="B55" s="25"/>
    </row>
    <row r="56" spans="2:11">
      <c r="B56" s="13" t="s">
        <v>36</v>
      </c>
      <c r="C56" s="14"/>
      <c r="D56" s="15">
        <f t="shared" ref="D56:E56" si="4">+SUM(D51:D55)</f>
        <v>83924.938000000009</v>
      </c>
      <c r="E56" s="15">
        <f t="shared" si="4"/>
        <v>86938.043999999994</v>
      </c>
    </row>
    <row r="57" spans="2:11">
      <c r="B57" s="25"/>
    </row>
    <row r="58" spans="2:11">
      <c r="B58" s="10" t="s">
        <v>37</v>
      </c>
      <c r="D58" s="11">
        <v>2805.817</v>
      </c>
      <c r="E58" s="11">
        <v>2360.71</v>
      </c>
      <c r="I58" s="12"/>
      <c r="J58" s="12"/>
      <c r="K58" s="12"/>
    </row>
    <row r="59" spans="2:11">
      <c r="B59" s="10" t="s">
        <v>38</v>
      </c>
      <c r="D59" s="11">
        <v>2383.933</v>
      </c>
      <c r="E59" s="11">
        <v>2788.038</v>
      </c>
      <c r="I59" s="12"/>
      <c r="J59" s="12"/>
      <c r="K59" s="12"/>
    </row>
    <row r="60" spans="2:11">
      <c r="B60" s="10" t="s">
        <v>39</v>
      </c>
      <c r="D60" s="11">
        <v>2057.9079999999999</v>
      </c>
      <c r="E60" s="11">
        <v>3202.0309999999999</v>
      </c>
      <c r="I60" s="12"/>
      <c r="J60" s="12"/>
      <c r="K60" s="12"/>
    </row>
    <row r="61" spans="2:11">
      <c r="B61" s="13" t="s">
        <v>40</v>
      </c>
      <c r="C61" s="14"/>
      <c r="D61" s="15">
        <f t="shared" ref="D61:E61" si="5">+SUM(D58:D60)</f>
        <v>7247.6579999999994</v>
      </c>
      <c r="E61" s="15">
        <f t="shared" si="5"/>
        <v>8350.7789999999986</v>
      </c>
    </row>
    <row r="62" spans="2:11">
      <c r="B62" s="25"/>
    </row>
    <row r="63" spans="2:11">
      <c r="B63" s="25" t="s">
        <v>41</v>
      </c>
      <c r="D63" s="11">
        <v>645.88300000000004</v>
      </c>
      <c r="E63" s="11">
        <v>1289.3</v>
      </c>
    </row>
    <row r="64" spans="2:11">
      <c r="B64" s="25" t="s">
        <v>42</v>
      </c>
      <c r="D64" s="11">
        <v>18943.222000000002</v>
      </c>
      <c r="E64" s="11">
        <v>12001.450999999999</v>
      </c>
    </row>
    <row r="65" spans="2:5">
      <c r="B65" s="25" t="s">
        <v>43</v>
      </c>
      <c r="D65" s="11">
        <v>545.33299999999997</v>
      </c>
      <c r="E65" s="11">
        <v>85.337999999999994</v>
      </c>
    </row>
    <row r="66" spans="2:5">
      <c r="B66" s="25" t="s">
        <v>44</v>
      </c>
      <c r="D66" s="11">
        <v>92.447999999999993</v>
      </c>
      <c r="E66" s="11">
        <v>12.667</v>
      </c>
    </row>
    <row r="67" spans="2:5">
      <c r="B67" s="25" t="s">
        <v>45</v>
      </c>
      <c r="D67" s="11">
        <v>417.87400000000002</v>
      </c>
      <c r="E67" s="11">
        <v>429.88799999999998</v>
      </c>
    </row>
    <row r="68" spans="2:5" ht="5.0999999999999996" customHeight="1">
      <c r="B68" s="25"/>
    </row>
    <row r="69" spans="2:5">
      <c r="B69" s="13" t="s">
        <v>46</v>
      </c>
      <c r="C69" s="14"/>
      <c r="D69" s="15">
        <f>+SUM(D61:D68)</f>
        <v>27892.417999999998</v>
      </c>
      <c r="E69" s="15">
        <f>+SUM(E61:E68)</f>
        <v>22169.422999999999</v>
      </c>
    </row>
    <row r="70" spans="2:5">
      <c r="B70" s="25"/>
    </row>
    <row r="71" spans="2:5">
      <c r="B71" s="10" t="s">
        <v>47</v>
      </c>
      <c r="D71" s="11">
        <v>7783.6338279007268</v>
      </c>
      <c r="E71" s="11">
        <v>8916.115715308184</v>
      </c>
    </row>
    <row r="72" spans="2:5">
      <c r="B72" s="10" t="s">
        <v>48</v>
      </c>
      <c r="D72" s="11">
        <v>48248.887000000002</v>
      </c>
      <c r="E72" s="11">
        <v>55852.504780500007</v>
      </c>
    </row>
    <row r="73" spans="2:5">
      <c r="B73" s="13" t="s">
        <v>49</v>
      </c>
      <c r="C73" s="14"/>
      <c r="D73" s="15">
        <f>+SUM(D71:D72)</f>
        <v>56032.520827900727</v>
      </c>
      <c r="E73" s="15">
        <f>+SUM(E71:E72)</f>
        <v>64768.620495808194</v>
      </c>
    </row>
    <row r="74" spans="2:5">
      <c r="B74" s="16"/>
      <c r="D74" s="11"/>
      <c r="E74" s="11"/>
    </row>
    <row r="75" spans="2:5" ht="5.0999999999999996" customHeight="1">
      <c r="B75" s="25"/>
    </row>
    <row r="76" spans="2:5">
      <c r="B76" s="13" t="s">
        <v>50</v>
      </c>
      <c r="C76" s="14"/>
      <c r="D76" s="15">
        <f>+D73+D69</f>
        <v>83924.938827900725</v>
      </c>
      <c r="E76" s="15">
        <f>+E73+E69</f>
        <v>86938.04349580819</v>
      </c>
    </row>
    <row r="77" spans="2:5">
      <c r="B77" s="16"/>
      <c r="D77" s="17"/>
      <c r="E77" s="17"/>
    </row>
    <row r="78" spans="2:5">
      <c r="B78" s="26" t="s">
        <v>51</v>
      </c>
      <c r="C78" s="26"/>
      <c r="D78" s="27">
        <f>D51-D61</f>
        <v>17714.098000000005</v>
      </c>
      <c r="E78" s="27">
        <f>E51-E61</f>
        <v>18397.911000000004</v>
      </c>
    </row>
    <row r="79" spans="2:5">
      <c r="B79" s="26" t="s">
        <v>52</v>
      </c>
      <c r="D79" s="27">
        <f>(D51-D46)-D61</f>
        <v>10608.446000000007</v>
      </c>
      <c r="E79" s="27">
        <f>(E51-E46)-E61</f>
        <v>15439.919000000005</v>
      </c>
    </row>
    <row r="80" spans="2:5">
      <c r="B80" s="25"/>
    </row>
    <row r="81" spans="2:5" hidden="1" outlineLevel="1">
      <c r="B81" s="28" t="s">
        <v>53</v>
      </c>
      <c r="C81" s="26"/>
      <c r="D81" s="27">
        <f>+D76-D56</f>
        <v>8.2790071610361338E-4</v>
      </c>
      <c r="E81" s="27">
        <f>+E76-E56</f>
        <v>-5.0419180479366332E-4</v>
      </c>
    </row>
    <row r="82" spans="2:5" hidden="1" outlineLevel="1">
      <c r="B82" s="25"/>
      <c r="E82" s="11"/>
    </row>
    <row r="83" spans="2:5" collapsed="1"/>
    <row r="85" spans="2:5">
      <c r="E85" s="11"/>
    </row>
    <row r="86" spans="2:5">
      <c r="D86" s="12"/>
      <c r="E86" s="12"/>
    </row>
    <row r="87" spans="2:5">
      <c r="E87" s="11"/>
    </row>
    <row r="88" spans="2:5">
      <c r="E88" s="11"/>
    </row>
    <row r="89" spans="2:5">
      <c r="E89" s="11"/>
    </row>
    <row r="90" spans="2:5">
      <c r="E90" s="12"/>
    </row>
    <row r="91" spans="2:5">
      <c r="E91" s="11"/>
    </row>
    <row r="92" spans="2:5">
      <c r="E92" s="11"/>
    </row>
    <row r="93" spans="2:5">
      <c r="E93" s="11"/>
    </row>
    <row r="94" spans="2:5">
      <c r="E94" s="11"/>
    </row>
  </sheetData>
  <conditionalFormatting sqref="B1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scale="59" orientation="portrait" r:id="rId1"/>
  <ignoredErrors>
    <ignoredError sqref="D13:E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0E2E-DF97-40B3-BA9A-098A9D128BEC}">
  <sheetPr>
    <outlinePr summaryBelow="0"/>
    <pageSetUpPr fitToPage="1"/>
  </sheetPr>
  <dimension ref="A1:S115"/>
  <sheetViews>
    <sheetView showGridLines="0" tabSelected="1" zoomScale="115" zoomScaleNormal="115" zoomScaleSheetLayoutView="85" workbookViewId="0">
      <selection activeCell="C2" sqref="C2"/>
    </sheetView>
  </sheetViews>
  <sheetFormatPr defaultColWidth="9.140625" defaultRowHeight="13.5" customHeight="1" outlineLevelRow="1"/>
  <cols>
    <col min="1" max="1" width="0.85546875" style="29" customWidth="1"/>
    <col min="2" max="2" width="2.7109375" style="29" customWidth="1"/>
    <col min="3" max="4" width="11.7109375" style="29" customWidth="1"/>
    <col min="5" max="5" width="14.85546875" style="29" customWidth="1"/>
    <col min="6" max="7" width="11.7109375" style="29" customWidth="1"/>
    <col min="8" max="12" width="13" style="29" customWidth="1"/>
    <col min="13" max="16384" width="9.140625" style="29"/>
  </cols>
  <sheetData>
    <row r="1" spans="2:13" ht="13.5" customHeight="1">
      <c r="C1" s="30"/>
      <c r="E1" s="31"/>
      <c r="F1" s="31"/>
      <c r="G1" s="31"/>
    </row>
    <row r="2" spans="2:13" ht="21" outlineLevel="1">
      <c r="B2" s="32"/>
      <c r="C2" s="33" t="s">
        <v>54</v>
      </c>
      <c r="D2" s="34"/>
      <c r="E2" s="35"/>
      <c r="F2" s="35"/>
      <c r="G2" s="36"/>
      <c r="H2" s="36"/>
      <c r="I2" s="36"/>
      <c r="J2" s="36"/>
      <c r="K2" s="36"/>
      <c r="L2" s="36"/>
    </row>
    <row r="3" spans="2:13" ht="13.5" customHeight="1" outlineLevel="1">
      <c r="C3" s="37" t="s">
        <v>55</v>
      </c>
      <c r="D3" s="34"/>
      <c r="E3" s="38"/>
      <c r="F3" s="38"/>
      <c r="G3" s="38"/>
      <c r="H3" s="34"/>
      <c r="I3" s="34"/>
      <c r="J3" s="34"/>
      <c r="K3" s="34"/>
      <c r="L3" s="34"/>
    </row>
    <row r="4" spans="2:13" ht="13.5" customHeight="1" outlineLevel="1">
      <c r="C4" s="37"/>
      <c r="D4" s="34"/>
      <c r="E4" s="38"/>
      <c r="F4" s="38"/>
      <c r="G4" s="38"/>
      <c r="H4" s="34"/>
      <c r="I4" s="34"/>
      <c r="J4" s="34"/>
      <c r="K4" s="34"/>
      <c r="L4" s="34"/>
    </row>
    <row r="5" spans="2:13" ht="13.5" customHeight="1" outlineLevel="1">
      <c r="C5" s="30"/>
      <c r="E5" s="31"/>
      <c r="F5" s="31"/>
      <c r="G5" s="31"/>
      <c r="I5" s="39"/>
      <c r="J5" s="39" t="s">
        <v>56</v>
      </c>
    </row>
    <row r="6" spans="2:13" ht="13.5" customHeight="1" outlineLevel="1">
      <c r="C6" s="40" t="s">
        <v>57</v>
      </c>
      <c r="D6" s="41"/>
      <c r="E6" s="42"/>
      <c r="F6" s="43" t="s">
        <v>58</v>
      </c>
      <c r="G6" s="43"/>
      <c r="I6" s="44"/>
      <c r="J6" s="44" t="s">
        <v>59</v>
      </c>
    </row>
    <row r="7" spans="2:13" ht="13.5" customHeight="1" outlineLevel="1" thickBot="1">
      <c r="C7" s="30"/>
      <c r="E7" s="31"/>
      <c r="F7" s="31"/>
      <c r="G7" s="31"/>
      <c r="I7" s="45"/>
      <c r="J7" s="45" t="s">
        <v>60</v>
      </c>
    </row>
    <row r="8" spans="2:13" ht="21.75" thickTop="1">
      <c r="B8" s="46" t="s">
        <v>61</v>
      </c>
      <c r="C8" s="47" t="s">
        <v>3</v>
      </c>
      <c r="D8" s="48"/>
      <c r="E8" s="49"/>
      <c r="F8" s="49"/>
      <c r="G8" s="49"/>
      <c r="H8" s="49"/>
      <c r="I8" s="49"/>
      <c r="J8" s="49"/>
      <c r="K8" s="49"/>
      <c r="L8" s="49"/>
      <c r="M8" s="50" t="s">
        <v>62</v>
      </c>
    </row>
    <row r="9" spans="2:13" ht="5.0999999999999996" customHeight="1" outlineLevel="1">
      <c r="C9" s="51"/>
      <c r="D9" s="52"/>
    </row>
    <row r="10" spans="2:13" ht="13.5" customHeight="1" outlineLevel="1">
      <c r="C10" s="53"/>
      <c r="D10" s="53"/>
      <c r="E10" s="53"/>
      <c r="F10" s="54" t="s">
        <v>63</v>
      </c>
      <c r="G10" s="54" t="s">
        <v>63</v>
      </c>
      <c r="H10" s="55" t="s">
        <v>64</v>
      </c>
      <c r="I10" s="55"/>
      <c r="J10" s="55"/>
      <c r="K10" s="55"/>
      <c r="L10" s="55"/>
    </row>
    <row r="11" spans="2:13" ht="13.5" customHeight="1" outlineLevel="1" thickBot="1">
      <c r="C11" s="56" t="s">
        <v>65</v>
      </c>
      <c r="D11" s="57"/>
      <c r="E11" s="57"/>
      <c r="F11" s="58">
        <f>EOMONTH(G11,-12)</f>
        <v>45291</v>
      </c>
      <c r="G11" s="58">
        <v>45657</v>
      </c>
      <c r="H11" s="58">
        <f t="shared" ref="H11:L11" si="0">EOMONTH(G11,12)</f>
        <v>46022</v>
      </c>
      <c r="I11" s="58">
        <f t="shared" si="0"/>
        <v>46387</v>
      </c>
      <c r="J11" s="58">
        <f t="shared" si="0"/>
        <v>46752</v>
      </c>
      <c r="K11" s="58">
        <f t="shared" si="0"/>
        <v>47118</v>
      </c>
      <c r="L11" s="58">
        <f t="shared" si="0"/>
        <v>47483</v>
      </c>
    </row>
    <row r="12" spans="2:13" ht="5.0999999999999996" customHeight="1" outlineLevel="1">
      <c r="C12" s="59"/>
      <c r="D12" s="59"/>
      <c r="E12" s="59"/>
      <c r="F12" s="60"/>
      <c r="G12" s="60"/>
      <c r="H12" s="60"/>
      <c r="I12" s="60"/>
      <c r="J12" s="60"/>
      <c r="K12" s="60"/>
    </row>
    <row r="13" spans="2:13" ht="13.5" customHeight="1" outlineLevel="1">
      <c r="C13" s="61" t="s">
        <v>7</v>
      </c>
      <c r="D13" s="61"/>
      <c r="E13" s="61"/>
      <c r="F13" s="62"/>
      <c r="G13" s="62"/>
      <c r="H13" s="60"/>
      <c r="I13" s="60"/>
      <c r="J13" s="60"/>
      <c r="K13" s="60"/>
      <c r="L13" s="60"/>
      <c r="M13" s="60"/>
    </row>
    <row r="14" spans="2:13" ht="13.5" customHeight="1" outlineLevel="1">
      <c r="C14" s="63" t="s">
        <v>66</v>
      </c>
      <c r="D14" s="63"/>
      <c r="E14" s="63"/>
      <c r="F14" s="64"/>
      <c r="G14" s="64"/>
      <c r="H14" s="60"/>
      <c r="I14" s="60"/>
      <c r="J14" s="60"/>
      <c r="K14" s="60"/>
      <c r="L14" s="60"/>
      <c r="M14" s="60"/>
    </row>
    <row r="15" spans="2:13" ht="13.5" customHeight="1" outlineLevel="1">
      <c r="C15" s="65" t="s">
        <v>67</v>
      </c>
      <c r="D15" s="65"/>
      <c r="E15" s="65"/>
      <c r="F15" s="66">
        <f t="shared" ref="F15:G15" si="1">F13-F14</f>
        <v>0</v>
      </c>
      <c r="G15" s="66">
        <f t="shared" si="1"/>
        <v>0</v>
      </c>
      <c r="H15" s="60"/>
      <c r="I15" s="60"/>
      <c r="J15" s="60"/>
      <c r="K15" s="60"/>
      <c r="L15" s="60"/>
      <c r="M15" s="60"/>
    </row>
    <row r="16" spans="2:13" ht="13.5" customHeight="1" outlineLevel="1">
      <c r="C16" s="67" t="s">
        <v>68</v>
      </c>
      <c r="D16" s="68"/>
      <c r="E16" s="68"/>
      <c r="F16" s="69" t="str">
        <f>IFERROR(F15/F$13,"N/M")</f>
        <v>N/M</v>
      </c>
      <c r="G16" s="69" t="str">
        <f>IFERROR(G15/G$13,"N/M")</f>
        <v>N/M</v>
      </c>
      <c r="H16" s="60"/>
      <c r="I16" s="60"/>
      <c r="J16" s="60"/>
      <c r="K16" s="60"/>
      <c r="L16" s="60"/>
      <c r="M16" s="60"/>
    </row>
    <row r="17" spans="3:13" ht="13.5" customHeight="1" outlineLevel="1">
      <c r="C17" s="63" t="s">
        <v>69</v>
      </c>
      <c r="D17" s="63"/>
      <c r="E17" s="63"/>
      <c r="F17" s="64"/>
      <c r="G17" s="64"/>
      <c r="H17" s="60"/>
      <c r="I17" s="60"/>
      <c r="J17" s="60"/>
      <c r="K17" s="60"/>
      <c r="L17" s="60"/>
      <c r="M17" s="60"/>
    </row>
    <row r="18" spans="3:13" ht="13.5" customHeight="1" outlineLevel="1">
      <c r="C18" s="70" t="s">
        <v>70</v>
      </c>
      <c r="D18" s="70"/>
      <c r="E18" s="70"/>
      <c r="F18" s="71">
        <f t="shared" ref="F18:G18" si="2">F15-F17</f>
        <v>0</v>
      </c>
      <c r="G18" s="71">
        <f t="shared" si="2"/>
        <v>0</v>
      </c>
      <c r="H18" s="60"/>
      <c r="I18" s="60"/>
      <c r="J18" s="60"/>
      <c r="K18" s="60"/>
      <c r="L18" s="60"/>
      <c r="M18" s="60"/>
    </row>
    <row r="19" spans="3:13" ht="13.5" customHeight="1" outlineLevel="1">
      <c r="C19" s="67" t="s">
        <v>71</v>
      </c>
      <c r="D19" s="39"/>
      <c r="E19" s="39"/>
      <c r="F19" s="69" t="str">
        <f>IFERROR(F18/F$13,"N/M")</f>
        <v>N/M</v>
      </c>
      <c r="G19" s="69" t="str">
        <f>IFERROR(G18/G$13,"N/M")</f>
        <v>N/M</v>
      </c>
      <c r="H19" s="60"/>
      <c r="I19" s="60"/>
      <c r="J19" s="60"/>
      <c r="K19" s="60"/>
      <c r="L19" s="60"/>
      <c r="M19" s="60"/>
    </row>
    <row r="20" spans="3:13" ht="13.5" customHeight="1" outlineLevel="1">
      <c r="C20" s="63" t="s">
        <v>15</v>
      </c>
      <c r="D20" s="63"/>
      <c r="E20" s="63"/>
      <c r="F20" s="64"/>
      <c r="G20" s="64"/>
      <c r="H20" s="60"/>
      <c r="I20" s="60"/>
      <c r="J20" s="60"/>
      <c r="K20" s="60"/>
      <c r="L20" s="60"/>
      <c r="M20" s="60"/>
    </row>
    <row r="21" spans="3:13" ht="13.5" customHeight="1" outlineLevel="1">
      <c r="C21" s="63" t="s">
        <v>16</v>
      </c>
      <c r="D21" s="63"/>
      <c r="E21" s="63"/>
      <c r="F21" s="64"/>
      <c r="G21" s="64"/>
      <c r="H21" s="60"/>
      <c r="I21" s="60"/>
      <c r="J21" s="60"/>
      <c r="K21" s="60"/>
      <c r="L21" s="60"/>
      <c r="M21" s="60"/>
    </row>
    <row r="22" spans="3:13" ht="13.5" customHeight="1" outlineLevel="1">
      <c r="C22" s="70" t="s">
        <v>72</v>
      </c>
      <c r="D22" s="70"/>
      <c r="E22" s="70"/>
      <c r="F22" s="71">
        <f>F18-SUM(F20:F21)</f>
        <v>0</v>
      </c>
      <c r="G22" s="71">
        <f>G18-SUM(G20:G21)</f>
        <v>0</v>
      </c>
      <c r="H22" s="60"/>
      <c r="I22" s="60"/>
      <c r="J22" s="60"/>
      <c r="K22" s="60"/>
      <c r="L22" s="60"/>
      <c r="M22" s="60"/>
    </row>
    <row r="23" spans="3:13" ht="13.5" customHeight="1" outlineLevel="1">
      <c r="C23" s="72" t="s">
        <v>73</v>
      </c>
      <c r="D23" s="39"/>
      <c r="E23" s="39"/>
      <c r="F23" s="45"/>
      <c r="G23" s="73"/>
      <c r="H23" s="60"/>
      <c r="I23" s="60"/>
      <c r="J23" s="60"/>
      <c r="K23" s="60"/>
      <c r="L23" s="60"/>
      <c r="M23" s="60"/>
    </row>
    <row r="24" spans="3:13" ht="13.5" customHeight="1" outlineLevel="1">
      <c r="C24" s="74" t="s">
        <v>74</v>
      </c>
      <c r="D24" s="39"/>
      <c r="E24" s="39"/>
      <c r="F24" s="45"/>
      <c r="G24" s="75"/>
      <c r="H24" s="60"/>
      <c r="I24" s="60"/>
      <c r="J24" s="60"/>
      <c r="K24" s="60"/>
      <c r="L24" s="60"/>
      <c r="M24" s="60"/>
    </row>
    <row r="25" spans="3:13" ht="13.5" customHeight="1" outlineLevel="1">
      <c r="C25" s="74" t="s">
        <v>75</v>
      </c>
      <c r="D25" s="39"/>
      <c r="E25" s="39"/>
      <c r="F25" s="45"/>
      <c r="G25" s="75"/>
      <c r="H25" s="60"/>
      <c r="I25" s="60"/>
      <c r="J25" s="60"/>
      <c r="K25" s="60"/>
      <c r="L25" s="60"/>
      <c r="M25" s="60"/>
    </row>
    <row r="26" spans="3:13" ht="13.5" customHeight="1" outlineLevel="1">
      <c r="C26" s="74" t="str">
        <f>+C66</f>
        <v>Term Loan A</v>
      </c>
      <c r="D26" s="39"/>
      <c r="E26" s="39"/>
      <c r="F26" s="45"/>
      <c r="G26" s="75"/>
      <c r="H26" s="60"/>
      <c r="I26" s="60"/>
      <c r="J26" s="60"/>
      <c r="K26" s="60"/>
      <c r="L26" s="60"/>
      <c r="M26" s="60"/>
    </row>
    <row r="27" spans="3:13" ht="13.5" customHeight="1" outlineLevel="1">
      <c r="C27" s="74" t="str">
        <f>+C67</f>
        <v>Subordinated - Note 1</v>
      </c>
      <c r="D27" s="39"/>
      <c r="E27" s="39"/>
      <c r="F27" s="45"/>
      <c r="G27" s="75"/>
      <c r="H27" s="60"/>
      <c r="I27" s="60"/>
      <c r="J27" s="60"/>
      <c r="K27" s="60"/>
      <c r="L27" s="60"/>
      <c r="M27" s="60"/>
    </row>
    <row r="28" spans="3:13" ht="13.5" customHeight="1" outlineLevel="1">
      <c r="C28" s="74" t="str">
        <f>+C68</f>
        <v>Subordinated - Note 2</v>
      </c>
      <c r="D28" s="39"/>
      <c r="E28" s="39"/>
      <c r="F28" s="45"/>
      <c r="G28" s="75"/>
      <c r="H28" s="60"/>
      <c r="I28" s="60"/>
      <c r="J28" s="60"/>
      <c r="K28" s="60"/>
      <c r="L28" s="60"/>
      <c r="M28" s="60"/>
    </row>
    <row r="29" spans="3:13" ht="13.5" customHeight="1" outlineLevel="1">
      <c r="C29" s="76" t="s">
        <v>73</v>
      </c>
      <c r="D29" s="77"/>
      <c r="E29" s="77"/>
      <c r="F29" s="78"/>
      <c r="G29" s="78"/>
      <c r="H29" s="60"/>
      <c r="I29" s="60"/>
      <c r="J29" s="60"/>
      <c r="K29" s="60"/>
      <c r="L29" s="60"/>
      <c r="M29" s="60"/>
    </row>
    <row r="30" spans="3:13" ht="13.5" customHeight="1" outlineLevel="1">
      <c r="C30" s="63" t="s">
        <v>76</v>
      </c>
      <c r="D30" s="63"/>
      <c r="E30" s="63"/>
      <c r="F30" s="64"/>
      <c r="G30" s="64"/>
      <c r="H30" s="60"/>
      <c r="I30" s="60"/>
      <c r="J30" s="60"/>
      <c r="K30" s="60"/>
      <c r="L30" s="60"/>
      <c r="M30" s="60"/>
    </row>
    <row r="31" spans="3:13" ht="13.5" customHeight="1" outlineLevel="1">
      <c r="C31" s="65" t="s">
        <v>77</v>
      </c>
      <c r="D31" s="65"/>
      <c r="E31" s="65"/>
      <c r="F31" s="66">
        <f>F22-F29-F30</f>
        <v>0</v>
      </c>
      <c r="G31" s="66">
        <f>G22-G29-G30</f>
        <v>0</v>
      </c>
      <c r="H31" s="60"/>
      <c r="I31" s="60"/>
      <c r="J31" s="60"/>
      <c r="K31" s="60"/>
      <c r="L31" s="60"/>
      <c r="M31" s="60"/>
    </row>
    <row r="32" spans="3:13" ht="13.5" customHeight="1" outlineLevel="1">
      <c r="C32" s="63" t="s">
        <v>78</v>
      </c>
      <c r="D32" s="63"/>
      <c r="E32" s="63"/>
      <c r="F32" s="64"/>
      <c r="G32" s="64"/>
      <c r="H32" s="60"/>
      <c r="I32" s="60"/>
      <c r="J32" s="60"/>
      <c r="K32" s="60"/>
      <c r="L32" s="60"/>
      <c r="M32" s="60"/>
    </row>
    <row r="33" spans="1:13" ht="13.5" customHeight="1" outlineLevel="1">
      <c r="C33" s="79" t="s">
        <v>22</v>
      </c>
      <c r="D33" s="79"/>
      <c r="E33" s="79"/>
      <c r="F33" s="71">
        <f>F31-F32</f>
        <v>0</v>
      </c>
      <c r="G33" s="71">
        <f>G31-G32</f>
        <v>0</v>
      </c>
      <c r="H33" s="60"/>
      <c r="I33" s="60"/>
      <c r="J33" s="60"/>
      <c r="K33" s="60"/>
      <c r="L33" s="60"/>
      <c r="M33" s="60"/>
    </row>
    <row r="34" spans="1:13" ht="13.5" customHeight="1" outlineLevel="1">
      <c r="C34" s="67" t="s">
        <v>79</v>
      </c>
      <c r="D34" s="39"/>
      <c r="E34" s="39"/>
      <c r="F34" s="69" t="str">
        <f>IFERROR(F33/F$13,"N/M")</f>
        <v>N/M</v>
      </c>
      <c r="G34" s="69" t="str">
        <f>IFERROR(G33/G$13,"N/M")</f>
        <v>N/M</v>
      </c>
      <c r="H34" s="60"/>
      <c r="I34" s="60"/>
      <c r="J34" s="60"/>
      <c r="K34" s="60"/>
      <c r="L34" s="60"/>
      <c r="M34" s="60"/>
    </row>
    <row r="35" spans="1:13" ht="13.5" customHeight="1" outlineLevel="1">
      <c r="C35" s="68"/>
      <c r="D35" s="68"/>
      <c r="E35" s="68"/>
      <c r="H35" s="60"/>
      <c r="I35" s="60"/>
      <c r="J35" s="60"/>
      <c r="K35" s="60"/>
      <c r="L35" s="60"/>
      <c r="M35" s="60"/>
    </row>
    <row r="36" spans="1:13" ht="13.5" customHeight="1" outlineLevel="1">
      <c r="C36" s="80" t="s">
        <v>80</v>
      </c>
      <c r="D36" s="80"/>
      <c r="E36" s="80"/>
      <c r="G36" s="81"/>
      <c r="H36" s="60"/>
      <c r="I36" s="60"/>
      <c r="J36" s="60"/>
      <c r="K36" s="60"/>
      <c r="L36" s="60"/>
      <c r="M36" s="60"/>
    </row>
    <row r="37" spans="1:13" ht="5.0999999999999996" customHeight="1" outlineLevel="1" thickBot="1">
      <c r="A37" s="82"/>
      <c r="C37" s="83"/>
      <c r="D37" s="83"/>
      <c r="E37" s="83"/>
      <c r="F37" s="83"/>
      <c r="G37" s="83"/>
      <c r="H37" s="83"/>
      <c r="I37" s="83"/>
      <c r="J37" s="83"/>
      <c r="K37" s="83"/>
      <c r="L37" s="83"/>
    </row>
    <row r="38" spans="1:13" ht="13.5" customHeight="1" outlineLevel="1">
      <c r="A38" s="82"/>
    </row>
    <row r="39" spans="1:13" ht="13.5" customHeight="1" outlineLevel="1" thickBot="1"/>
    <row r="40" spans="1:13" ht="21.75" thickTop="1">
      <c r="A40" s="82"/>
      <c r="B40" s="46" t="s">
        <v>61</v>
      </c>
      <c r="C40" s="47" t="s">
        <v>26</v>
      </c>
      <c r="D40" s="48"/>
      <c r="E40" s="49"/>
      <c r="F40" s="49"/>
      <c r="G40" s="49"/>
      <c r="H40" s="49"/>
      <c r="I40" s="49"/>
      <c r="J40" s="49"/>
      <c r="K40" s="49"/>
      <c r="L40" s="49"/>
    </row>
    <row r="41" spans="1:13" ht="5.0999999999999996" customHeight="1" outlineLevel="1">
      <c r="A41" s="82"/>
      <c r="C41" s="51"/>
      <c r="D41" s="52"/>
    </row>
    <row r="42" spans="1:13" ht="13.5" customHeight="1" outlineLevel="1">
      <c r="A42" s="82"/>
      <c r="C42" s="53"/>
      <c r="D42" s="53"/>
      <c r="E42" s="53"/>
      <c r="F42" s="54" t="s">
        <v>63</v>
      </c>
      <c r="G42" s="54" t="s">
        <v>63</v>
      </c>
      <c r="H42" s="55" t="s">
        <v>64</v>
      </c>
      <c r="I42" s="55"/>
      <c r="J42" s="55"/>
      <c r="K42" s="55"/>
      <c r="L42" s="55"/>
    </row>
    <row r="43" spans="1:13" ht="13.5" customHeight="1" outlineLevel="1" thickBot="1">
      <c r="A43" s="82"/>
      <c r="C43" s="56" t="s">
        <v>65</v>
      </c>
      <c r="D43" s="57"/>
      <c r="E43" s="57"/>
      <c r="F43" s="58">
        <f>EOMONTH(G43,-12)</f>
        <v>45291</v>
      </c>
      <c r="G43" s="58">
        <f t="shared" ref="G43:L43" si="3">G$11</f>
        <v>45657</v>
      </c>
      <c r="H43" s="58">
        <f t="shared" si="3"/>
        <v>46022</v>
      </c>
      <c r="I43" s="58">
        <f t="shared" si="3"/>
        <v>46387</v>
      </c>
      <c r="J43" s="58">
        <f t="shared" si="3"/>
        <v>46752</v>
      </c>
      <c r="K43" s="58">
        <f t="shared" si="3"/>
        <v>47118</v>
      </c>
      <c r="L43" s="58">
        <f t="shared" si="3"/>
        <v>47483</v>
      </c>
    </row>
    <row r="44" spans="1:13" ht="5.0999999999999996" customHeight="1" outlineLevel="1">
      <c r="A44" s="82"/>
      <c r="C44" s="59"/>
      <c r="D44" s="59"/>
      <c r="E44" s="59"/>
      <c r="F44" s="60"/>
      <c r="G44" s="60"/>
      <c r="H44" s="60"/>
      <c r="I44" s="60"/>
      <c r="J44" s="60"/>
      <c r="K44" s="60"/>
    </row>
    <row r="45" spans="1:13" ht="13.5" customHeight="1" outlineLevel="1">
      <c r="A45" s="82"/>
      <c r="C45" s="84" t="s">
        <v>81</v>
      </c>
      <c r="D45" s="85"/>
      <c r="E45" s="86"/>
      <c r="F45" s="86"/>
      <c r="G45" s="86"/>
      <c r="H45" s="86"/>
      <c r="I45" s="86"/>
      <c r="J45" s="86"/>
      <c r="K45" s="86"/>
      <c r="L45" s="87"/>
    </row>
    <row r="46" spans="1:13" ht="13.5" customHeight="1" outlineLevel="1">
      <c r="A46" s="82"/>
      <c r="C46" s="59"/>
      <c r="D46" s="59"/>
      <c r="E46" s="59"/>
      <c r="F46" s="60"/>
      <c r="G46" s="60"/>
      <c r="H46" s="60"/>
      <c r="I46" s="60"/>
      <c r="J46" s="60"/>
      <c r="K46" s="60"/>
    </row>
    <row r="47" spans="1:13" ht="13.5" customHeight="1" outlineLevel="1">
      <c r="A47" s="82"/>
      <c r="C47" s="88" t="s">
        <v>82</v>
      </c>
      <c r="F47" s="89"/>
      <c r="G47" s="89"/>
      <c r="H47" s="90"/>
      <c r="I47" s="90"/>
      <c r="J47" s="90"/>
      <c r="K47" s="90"/>
      <c r="L47" s="90"/>
    </row>
    <row r="48" spans="1:13" ht="13.5" customHeight="1" outlineLevel="1">
      <c r="A48" s="82"/>
      <c r="C48" s="91" t="s">
        <v>83</v>
      </c>
      <c r="F48" s="92"/>
      <c r="G48" s="92"/>
      <c r="H48" s="90"/>
      <c r="I48" s="90"/>
      <c r="J48" s="90"/>
      <c r="K48" s="90"/>
      <c r="L48" s="90"/>
    </row>
    <row r="49" spans="1:12" ht="13.5" customHeight="1" outlineLevel="1">
      <c r="A49" s="82"/>
      <c r="C49" s="91" t="s">
        <v>31</v>
      </c>
      <c r="F49" s="92"/>
      <c r="G49" s="92"/>
      <c r="H49" s="90"/>
      <c r="I49" s="90"/>
      <c r="J49" s="90"/>
      <c r="K49" s="90"/>
      <c r="L49" s="90"/>
    </row>
    <row r="50" spans="1:12" ht="13.5" customHeight="1" outlineLevel="1">
      <c r="A50" s="82"/>
      <c r="C50" s="91" t="s">
        <v>84</v>
      </c>
      <c r="F50" s="92"/>
      <c r="G50" s="92"/>
      <c r="H50" s="90"/>
      <c r="I50" s="90"/>
      <c r="J50" s="90"/>
      <c r="K50" s="90"/>
      <c r="L50" s="90"/>
    </row>
    <row r="51" spans="1:12" ht="13.5" customHeight="1" outlineLevel="1">
      <c r="A51" s="82"/>
      <c r="C51" s="76" t="s">
        <v>33</v>
      </c>
      <c r="D51" s="77"/>
      <c r="E51" s="77"/>
      <c r="F51" s="93">
        <f>SUM(F47:F50)</f>
        <v>0</v>
      </c>
      <c r="G51" s="93">
        <f>SUM(G47:G50)</f>
        <v>0</v>
      </c>
      <c r="H51" s="94"/>
      <c r="I51" s="94"/>
      <c r="J51" s="94"/>
      <c r="K51" s="94"/>
      <c r="L51" s="94"/>
    </row>
    <row r="52" spans="1:12" ht="13.5" customHeight="1" outlineLevel="1">
      <c r="A52" s="82"/>
      <c r="C52" s="91" t="s">
        <v>85</v>
      </c>
      <c r="D52" s="95"/>
      <c r="E52" s="95"/>
      <c r="F52" s="96"/>
      <c r="G52" s="96"/>
      <c r="H52" s="97"/>
      <c r="I52" s="97"/>
      <c r="J52" s="97"/>
      <c r="K52" s="97"/>
      <c r="L52" s="97"/>
    </row>
    <row r="53" spans="1:12" ht="13.5" customHeight="1" outlineLevel="1">
      <c r="A53" s="82"/>
      <c r="C53" s="91" t="s">
        <v>86</v>
      </c>
      <c r="D53" s="95"/>
      <c r="E53" s="95"/>
      <c r="F53" s="96"/>
      <c r="G53" s="96"/>
      <c r="H53" s="94"/>
      <c r="I53" s="94"/>
      <c r="J53" s="94"/>
      <c r="K53" s="94"/>
      <c r="L53" s="94"/>
    </row>
    <row r="54" spans="1:12" ht="13.5" customHeight="1" outlineLevel="1">
      <c r="A54" s="82"/>
      <c r="C54" s="76" t="s">
        <v>34</v>
      </c>
      <c r="D54" s="77"/>
      <c r="E54" s="77"/>
      <c r="F54" s="78"/>
      <c r="G54" s="78"/>
      <c r="H54" s="94"/>
      <c r="I54" s="94"/>
      <c r="J54" s="94"/>
      <c r="K54" s="94"/>
      <c r="L54" s="94"/>
    </row>
    <row r="55" spans="1:12" ht="13.5" customHeight="1" outlineLevel="1">
      <c r="A55" s="82"/>
      <c r="C55" s="98" t="s">
        <v>87</v>
      </c>
      <c r="D55" s="95"/>
      <c r="E55" s="95"/>
      <c r="F55" s="99">
        <v>0</v>
      </c>
      <c r="G55" s="99">
        <v>0</v>
      </c>
      <c r="H55" s="94"/>
      <c r="I55" s="94"/>
      <c r="J55" s="94"/>
      <c r="K55" s="94"/>
      <c r="L55" s="94"/>
    </row>
    <row r="56" spans="1:12" ht="13.5" customHeight="1" outlineLevel="1">
      <c r="A56" s="82"/>
      <c r="C56" s="98" t="s">
        <v>88</v>
      </c>
      <c r="D56" s="95"/>
      <c r="E56" s="95"/>
      <c r="F56" s="92"/>
      <c r="G56" s="92"/>
      <c r="H56" s="94"/>
      <c r="I56" s="94"/>
      <c r="J56" s="94"/>
      <c r="K56" s="94"/>
      <c r="L56" s="94"/>
    </row>
    <row r="57" spans="1:12" ht="13.5" customHeight="1" outlineLevel="1">
      <c r="A57" s="82"/>
      <c r="C57" s="100" t="s">
        <v>36</v>
      </c>
      <c r="D57" s="101"/>
      <c r="E57" s="101"/>
      <c r="F57" s="102">
        <f>SUM(F51,F54:F56)</f>
        <v>0</v>
      </c>
      <c r="G57" s="102">
        <f>SUM(G51,G54:G56)</f>
        <v>0</v>
      </c>
      <c r="H57" s="103"/>
      <c r="I57" s="103"/>
      <c r="J57" s="103"/>
      <c r="K57" s="103"/>
      <c r="L57" s="103"/>
    </row>
    <row r="58" spans="1:12" ht="13.5" customHeight="1" outlineLevel="1">
      <c r="A58" s="82"/>
      <c r="H58" s="104"/>
      <c r="I58" s="104"/>
      <c r="J58" s="104"/>
      <c r="K58" s="104"/>
      <c r="L58" s="104"/>
    </row>
    <row r="59" spans="1:12" ht="13.5" customHeight="1" outlineLevel="1">
      <c r="A59" s="82"/>
      <c r="C59" s="84" t="s">
        <v>89</v>
      </c>
      <c r="D59" s="85"/>
      <c r="E59" s="86"/>
      <c r="F59" s="86"/>
      <c r="G59" s="86"/>
      <c r="H59" s="86"/>
      <c r="I59" s="86"/>
      <c r="J59" s="86"/>
      <c r="K59" s="86"/>
      <c r="L59" s="87"/>
    </row>
    <row r="60" spans="1:12" ht="13.5" customHeight="1" outlineLevel="1">
      <c r="A60" s="82"/>
      <c r="C60" s="59"/>
      <c r="D60" s="59"/>
      <c r="E60" s="59"/>
      <c r="F60" s="60"/>
      <c r="G60" s="60"/>
      <c r="H60" s="60"/>
      <c r="I60" s="60"/>
      <c r="J60" s="60"/>
      <c r="K60" s="60"/>
    </row>
    <row r="61" spans="1:12" ht="13.5" customHeight="1" outlineLevel="1">
      <c r="A61" s="82"/>
      <c r="C61" s="91" t="s">
        <v>37</v>
      </c>
      <c r="D61" s="95"/>
      <c r="E61" s="95"/>
      <c r="F61" s="92"/>
      <c r="G61" s="92"/>
      <c r="H61" s="90"/>
      <c r="I61" s="90"/>
      <c r="J61" s="90"/>
      <c r="K61" s="90"/>
      <c r="L61" s="90"/>
    </row>
    <row r="62" spans="1:12" ht="13.5" customHeight="1" outlineLevel="1">
      <c r="A62" s="82"/>
      <c r="C62" s="91" t="s">
        <v>38</v>
      </c>
      <c r="D62" s="95"/>
      <c r="E62" s="95"/>
      <c r="F62" s="92"/>
      <c r="G62" s="92"/>
      <c r="H62" s="90"/>
      <c r="I62" s="90"/>
      <c r="J62" s="90"/>
      <c r="K62" s="90"/>
      <c r="L62" s="90"/>
    </row>
    <row r="63" spans="1:12" ht="13.5" customHeight="1" outlineLevel="1">
      <c r="A63" s="82"/>
      <c r="C63" s="91" t="s">
        <v>39</v>
      </c>
      <c r="D63" s="95"/>
      <c r="E63" s="95"/>
      <c r="F63" s="92"/>
      <c r="G63" s="92"/>
      <c r="H63" s="90"/>
      <c r="I63" s="90"/>
      <c r="J63" s="90"/>
      <c r="K63" s="90"/>
      <c r="L63" s="90"/>
    </row>
    <row r="64" spans="1:12" ht="13.5" customHeight="1" outlineLevel="1">
      <c r="A64" s="82"/>
      <c r="C64" s="76" t="s">
        <v>40</v>
      </c>
      <c r="D64" s="77"/>
      <c r="E64" s="77"/>
      <c r="F64" s="93">
        <f>SUM(F61:F63)</f>
        <v>0</v>
      </c>
      <c r="G64" s="93">
        <f>SUM(G61:G63)</f>
        <v>0</v>
      </c>
      <c r="H64" s="94"/>
      <c r="I64" s="94"/>
      <c r="J64" s="94"/>
      <c r="K64" s="94"/>
      <c r="L64" s="94"/>
    </row>
    <row r="65" spans="1:19" ht="13.5" customHeight="1" outlineLevel="1">
      <c r="A65" s="82"/>
      <c r="C65" s="91" t="s">
        <v>41</v>
      </c>
      <c r="D65" s="95"/>
      <c r="E65" s="95"/>
      <c r="F65" s="92"/>
      <c r="G65" s="92"/>
      <c r="H65" s="97"/>
      <c r="I65" s="97"/>
      <c r="J65" s="97"/>
      <c r="K65" s="97"/>
      <c r="L65" s="97"/>
    </row>
    <row r="66" spans="1:19" ht="13.5" customHeight="1" outlineLevel="1">
      <c r="A66" s="82"/>
      <c r="C66" s="91" t="s">
        <v>42</v>
      </c>
      <c r="D66" s="95"/>
      <c r="E66" s="95"/>
      <c r="F66" s="92"/>
      <c r="G66" s="92"/>
      <c r="H66" s="94"/>
      <c r="I66" s="94"/>
      <c r="J66" s="94"/>
      <c r="K66" s="94"/>
      <c r="L66" s="94"/>
    </row>
    <row r="67" spans="1:19" ht="13.5" customHeight="1" outlineLevel="1">
      <c r="A67" s="82"/>
      <c r="C67" s="91" t="s">
        <v>90</v>
      </c>
      <c r="D67" s="95"/>
      <c r="E67" s="95"/>
      <c r="F67" s="92"/>
      <c r="G67" s="92"/>
      <c r="H67" s="97"/>
      <c r="I67" s="97"/>
      <c r="J67" s="97"/>
      <c r="K67" s="97"/>
      <c r="L67" s="97"/>
    </row>
    <row r="68" spans="1:19" ht="13.5" customHeight="1" outlineLevel="1">
      <c r="A68" s="82"/>
      <c r="C68" s="91" t="s">
        <v>91</v>
      </c>
      <c r="D68" s="95"/>
      <c r="E68" s="95"/>
      <c r="F68" s="92"/>
      <c r="G68" s="92"/>
      <c r="H68" s="97"/>
      <c r="I68" s="97"/>
      <c r="J68" s="97"/>
      <c r="K68" s="97"/>
      <c r="L68" s="97"/>
    </row>
    <row r="69" spans="1:19" ht="13.5" customHeight="1" outlineLevel="1">
      <c r="A69" s="82"/>
      <c r="C69" s="76" t="s">
        <v>92</v>
      </c>
      <c r="D69" s="77"/>
      <c r="E69" s="77"/>
      <c r="F69" s="93">
        <f>SUM(F65:F68)</f>
        <v>0</v>
      </c>
      <c r="G69" s="93">
        <f>SUM(G65:G68)</f>
        <v>0</v>
      </c>
      <c r="H69" s="94"/>
      <c r="I69" s="94"/>
      <c r="J69" s="94"/>
      <c r="K69" s="94"/>
      <c r="L69" s="94"/>
    </row>
    <row r="70" spans="1:19" ht="13.5" customHeight="1" outlineLevel="1">
      <c r="A70" s="82"/>
      <c r="C70" s="68" t="s">
        <v>93</v>
      </c>
      <c r="F70" s="92"/>
      <c r="G70" s="92"/>
      <c r="H70" s="97"/>
      <c r="I70" s="97"/>
      <c r="J70" s="97"/>
      <c r="K70" s="97"/>
      <c r="L70" s="97"/>
      <c r="M70" s="82"/>
    </row>
    <row r="71" spans="1:19" ht="13.5" customHeight="1" outlineLevel="1">
      <c r="A71" s="82"/>
      <c r="C71" s="76" t="s">
        <v>94</v>
      </c>
      <c r="D71" s="77"/>
      <c r="E71" s="77"/>
      <c r="F71" s="93">
        <f>SUM(F64,F69:F70)</f>
        <v>0</v>
      </c>
      <c r="G71" s="93">
        <f>SUM(G64,G69:G70)</f>
        <v>0</v>
      </c>
      <c r="H71" s="94"/>
      <c r="I71" s="94"/>
      <c r="J71" s="94"/>
      <c r="K71" s="94"/>
      <c r="L71" s="94"/>
      <c r="M71" s="82"/>
    </row>
    <row r="72" spans="1:19" ht="13.5" customHeight="1" outlineLevel="1">
      <c r="A72" s="82"/>
      <c r="C72" s="98" t="s">
        <v>47</v>
      </c>
      <c r="F72" s="92"/>
      <c r="G72" s="92"/>
      <c r="H72" s="97"/>
      <c r="I72" s="97"/>
      <c r="J72" s="97"/>
      <c r="K72" s="97"/>
      <c r="L72" s="97"/>
      <c r="M72" s="82"/>
    </row>
    <row r="73" spans="1:19" ht="13.5" customHeight="1" outlineLevel="1">
      <c r="A73" s="82"/>
      <c r="C73" s="98" t="s">
        <v>48</v>
      </c>
      <c r="F73" s="92"/>
      <c r="G73" s="92"/>
      <c r="H73" s="97"/>
      <c r="I73" s="97"/>
      <c r="J73" s="97"/>
      <c r="K73" s="97"/>
      <c r="L73" s="97"/>
      <c r="M73" s="82"/>
    </row>
    <row r="74" spans="1:19" ht="13.5" customHeight="1" outlineLevel="1">
      <c r="A74" s="82"/>
      <c r="C74" s="100" t="s">
        <v>95</v>
      </c>
      <c r="D74" s="101"/>
      <c r="E74" s="101"/>
      <c r="F74" s="105">
        <f>SUM(F71:F73)</f>
        <v>0</v>
      </c>
      <c r="G74" s="105">
        <f>SUM(G71:G73)</f>
        <v>0</v>
      </c>
      <c r="H74" s="103"/>
      <c r="I74" s="103"/>
      <c r="J74" s="103"/>
      <c r="K74" s="103"/>
      <c r="L74" s="103"/>
      <c r="M74" s="82"/>
    </row>
    <row r="75" spans="1:19" s="106" customFormat="1" ht="13.5" customHeight="1" outlineLevel="1">
      <c r="A75" s="82"/>
      <c r="C75" s="107"/>
      <c r="D75" s="108"/>
      <c r="E75" s="108"/>
      <c r="F75" s="109"/>
      <c r="G75" s="109"/>
      <c r="H75" s="109"/>
      <c r="I75" s="109"/>
      <c r="J75" s="109"/>
      <c r="K75" s="109"/>
      <c r="L75" s="109"/>
      <c r="M75" s="82"/>
    </row>
    <row r="76" spans="1:19" s="114" customFormat="1" ht="13.5" customHeight="1" outlineLevel="1">
      <c r="A76" s="82"/>
      <c r="B76" s="110"/>
      <c r="C76" s="111"/>
      <c r="D76" s="111"/>
      <c r="E76" s="111"/>
      <c r="F76" s="112"/>
      <c r="G76" s="113"/>
      <c r="H76" s="113"/>
      <c r="I76" s="113"/>
      <c r="J76" s="113"/>
      <c r="K76" s="113"/>
      <c r="L76" s="113"/>
      <c r="M76" s="82"/>
    </row>
    <row r="77" spans="1:19" ht="5.0999999999999996" customHeight="1" outlineLevel="1" thickBot="1">
      <c r="A77" s="82"/>
      <c r="C77" s="115"/>
      <c r="D77" s="115"/>
      <c r="E77" s="115"/>
      <c r="F77" s="116"/>
      <c r="G77" s="116"/>
      <c r="H77" s="117"/>
      <c r="I77" s="117"/>
      <c r="J77" s="117"/>
      <c r="K77" s="117"/>
      <c r="L77" s="117"/>
    </row>
    <row r="78" spans="1:19" ht="13.5" customHeight="1" outlineLevel="1" thickBot="1">
      <c r="A78" s="82"/>
      <c r="C78" s="118"/>
      <c r="D78" s="118"/>
      <c r="E78" s="118"/>
    </row>
    <row r="79" spans="1:19" ht="13.5" customHeight="1" thickTop="1">
      <c r="A79" s="82"/>
      <c r="B79" s="46" t="s">
        <v>61</v>
      </c>
      <c r="C79" s="119" t="s">
        <v>96</v>
      </c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</row>
    <row r="80" spans="1:19" ht="15" outlineLevel="1">
      <c r="A80" s="82"/>
      <c r="B80" s="82"/>
      <c r="C80" s="120" t="s">
        <v>3</v>
      </c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</row>
    <row r="81" spans="1:19" ht="15" outlineLevel="1">
      <c r="A81" s="82"/>
      <c r="B81" s="82"/>
      <c r="C81" s="121" t="s">
        <v>97</v>
      </c>
      <c r="D81" s="82"/>
      <c r="E81" s="82"/>
      <c r="F81" s="122"/>
      <c r="G81" s="12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</row>
    <row r="82" spans="1:19" ht="15" outlineLevel="1">
      <c r="A82" s="82"/>
      <c r="B82" s="82"/>
      <c r="C82" s="121" t="s">
        <v>67</v>
      </c>
      <c r="D82" s="82"/>
      <c r="E82" s="82"/>
      <c r="F82" s="122"/>
      <c r="G82" s="12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</row>
    <row r="83" spans="1:19" ht="15" outlineLevel="1">
      <c r="A83" s="82"/>
      <c r="B83" s="82"/>
      <c r="C83" s="121" t="s">
        <v>70</v>
      </c>
      <c r="D83" s="82"/>
      <c r="E83" s="82"/>
      <c r="F83" s="122"/>
      <c r="G83" s="12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</row>
    <row r="84" spans="1:19" ht="15" outlineLevel="1">
      <c r="A84" s="82"/>
      <c r="B84" s="82"/>
      <c r="C84" s="121" t="s">
        <v>22</v>
      </c>
      <c r="D84" s="82"/>
      <c r="E84" s="82"/>
      <c r="F84" s="122"/>
      <c r="G84" s="12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</row>
    <row r="85" spans="1:19" ht="15" outlineLevel="1">
      <c r="A85" s="82"/>
      <c r="B85" s="82"/>
      <c r="C85" s="121"/>
      <c r="D85" s="82"/>
      <c r="E85" s="82"/>
      <c r="F85" s="122"/>
      <c r="G85" s="12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</row>
    <row r="86" spans="1:19" ht="15" outlineLevel="1">
      <c r="A86" s="82"/>
      <c r="B86" s="82"/>
      <c r="C86" s="120" t="s">
        <v>26</v>
      </c>
      <c r="D86" s="82"/>
      <c r="E86" s="82"/>
      <c r="F86" s="122"/>
      <c r="G86" s="12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</row>
    <row r="87" spans="1:19" ht="15" outlineLevel="1">
      <c r="A87" s="82"/>
      <c r="B87" s="82"/>
      <c r="C87" s="121" t="s">
        <v>98</v>
      </c>
      <c r="D87" s="82"/>
      <c r="E87" s="82"/>
      <c r="F87" s="122"/>
      <c r="G87" s="12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</row>
    <row r="88" spans="1:19" ht="15" outlineLevel="1">
      <c r="A88" s="82"/>
      <c r="B88" s="82"/>
      <c r="C88" s="121" t="s">
        <v>99</v>
      </c>
      <c r="D88" s="82"/>
      <c r="E88" s="82"/>
      <c r="F88" s="122"/>
      <c r="G88" s="12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</row>
    <row r="89" spans="1:19" ht="15" outlineLevel="1">
      <c r="A89" s="82"/>
      <c r="B89" s="82"/>
      <c r="C89" s="121" t="s">
        <v>36</v>
      </c>
      <c r="D89" s="82"/>
      <c r="E89" s="82"/>
      <c r="F89" s="122"/>
      <c r="G89" s="12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</row>
    <row r="90" spans="1:19" ht="15" outlineLevel="1">
      <c r="A90" s="82"/>
      <c r="B90" s="82"/>
      <c r="C90" s="121" t="s">
        <v>100</v>
      </c>
      <c r="D90" s="82"/>
      <c r="E90" s="82"/>
      <c r="F90" s="122"/>
      <c r="G90" s="12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</row>
    <row r="91" spans="1:19" ht="15" outlineLevel="1">
      <c r="A91" s="82"/>
      <c r="B91" s="82"/>
      <c r="C91" s="121" t="s">
        <v>101</v>
      </c>
      <c r="D91" s="82"/>
      <c r="E91" s="82"/>
      <c r="F91" s="122"/>
      <c r="G91" s="12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</row>
    <row r="92" spans="1:19" ht="15" outlineLevel="1">
      <c r="A92" s="82"/>
      <c r="B92" s="82"/>
      <c r="C92" s="121" t="s">
        <v>49</v>
      </c>
      <c r="D92" s="82"/>
      <c r="E92" s="82"/>
      <c r="F92" s="122"/>
      <c r="G92" s="12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</row>
    <row r="93" spans="1:19" ht="15" outlineLevel="1">
      <c r="A93" s="82"/>
      <c r="B93" s="82"/>
      <c r="C93" s="121"/>
      <c r="D93" s="82"/>
      <c r="E93" s="82"/>
      <c r="F93" s="122"/>
      <c r="G93" s="12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</row>
    <row r="94" spans="1:19" ht="15" outlineLevel="1">
      <c r="A94" s="82"/>
      <c r="B94" s="82"/>
      <c r="C94" s="119" t="s">
        <v>102</v>
      </c>
      <c r="D94" s="82"/>
      <c r="E94" s="82"/>
      <c r="F94" s="122"/>
      <c r="G94" s="12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</row>
    <row r="95" spans="1:19" ht="15" outlineLevel="1">
      <c r="A95" s="82"/>
      <c r="B95" s="82"/>
      <c r="C95" s="121" t="s">
        <v>103</v>
      </c>
      <c r="D95" s="82"/>
      <c r="E95" s="82"/>
      <c r="F95" s="122"/>
      <c r="G95" s="12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</row>
    <row r="96" spans="1:19" ht="19.5" customHeight="1" outlineLevel="1">
      <c r="A96" s="82"/>
      <c r="B96" s="82"/>
      <c r="C96" s="121"/>
      <c r="D96" s="82"/>
      <c r="E96" s="82"/>
      <c r="F96" s="122"/>
      <c r="G96" s="12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</row>
    <row r="97" spans="1:19" ht="19.5" customHeight="1">
      <c r="A97" s="82"/>
      <c r="B97" s="82"/>
      <c r="C97" s="121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</row>
    <row r="98" spans="1:19" ht="19.5" customHeight="1">
      <c r="A98" s="82"/>
      <c r="B98" s="82"/>
      <c r="C98" s="12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</row>
    <row r="99" spans="1:19" ht="5.0999999999999996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</row>
    <row r="100" spans="1:19" ht="13.5" customHeight="1">
      <c r="A100" s="82"/>
      <c r="B100" s="82"/>
      <c r="C100" s="123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</row>
    <row r="101" spans="1:19" ht="13.5" customHeight="1">
      <c r="A101" s="82"/>
      <c r="B101" s="82"/>
      <c r="C101" s="82"/>
      <c r="D101" s="82"/>
      <c r="E101" s="82"/>
      <c r="F101" s="124"/>
      <c r="G101" s="124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</row>
    <row r="102" spans="1:19" ht="13.5" customHeight="1">
      <c r="A102" s="82"/>
      <c r="B102" s="82"/>
      <c r="C102" s="82"/>
      <c r="D102" s="82"/>
      <c r="E102" s="82"/>
      <c r="F102" s="124"/>
      <c r="G102" s="124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</row>
    <row r="103" spans="1:19" ht="13.5" customHeight="1">
      <c r="A103" s="82"/>
      <c r="B103" s="82"/>
      <c r="C103" s="82"/>
      <c r="D103" s="82"/>
      <c r="E103" s="82"/>
      <c r="F103" s="124"/>
      <c r="G103" s="124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</row>
    <row r="104" spans="1:19" ht="13.5" customHeight="1">
      <c r="A104" s="82"/>
      <c r="B104" s="82"/>
      <c r="C104" s="82"/>
      <c r="D104" s="82"/>
      <c r="E104" s="82"/>
      <c r="F104" s="124"/>
      <c r="G104" s="124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</row>
    <row r="105" spans="1:19" ht="13.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</row>
    <row r="106" spans="1:19" ht="13.5" customHeight="1">
      <c r="A106" s="82"/>
      <c r="B106" s="82"/>
      <c r="C106" s="123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</row>
    <row r="107" spans="1:19" ht="13.5" customHeight="1">
      <c r="A107" s="82"/>
      <c r="B107" s="82"/>
      <c r="C107" s="82"/>
      <c r="D107" s="82"/>
      <c r="E107" s="82"/>
      <c r="F107" s="124"/>
      <c r="G107" s="124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</row>
    <row r="108" spans="1:19" ht="13.5" customHeight="1">
      <c r="A108" s="82"/>
      <c r="B108" s="82"/>
      <c r="C108" s="82"/>
      <c r="D108" s="82"/>
      <c r="E108" s="82"/>
      <c r="F108" s="124"/>
      <c r="G108" s="124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</row>
    <row r="109" spans="1:19" ht="13.5" customHeight="1">
      <c r="A109" s="82"/>
      <c r="B109" s="82"/>
      <c r="C109" s="82"/>
      <c r="D109" s="82"/>
      <c r="E109" s="82"/>
      <c r="F109" s="124"/>
      <c r="G109" s="124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</row>
    <row r="110" spans="1:19" ht="13.5" customHeight="1">
      <c r="A110" s="82"/>
      <c r="B110" s="82"/>
      <c r="C110" s="82"/>
      <c r="D110" s="82"/>
      <c r="E110" s="82"/>
      <c r="F110" s="124"/>
      <c r="G110" s="124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</row>
    <row r="111" spans="1:19" ht="5.0999999999999996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</row>
    <row r="112" spans="1:19" ht="13.5" customHeight="1">
      <c r="A112" s="82"/>
      <c r="B112" s="82"/>
      <c r="C112" s="82"/>
      <c r="D112" s="82"/>
      <c r="E112" s="82"/>
      <c r="F112" s="124"/>
      <c r="G112" s="124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</row>
    <row r="113" spans="1:19" ht="13.5" customHeight="1">
      <c r="A113" s="82"/>
      <c r="B113" s="82"/>
      <c r="C113" s="82"/>
      <c r="D113" s="82"/>
      <c r="E113" s="82"/>
      <c r="F113" s="124"/>
      <c r="G113" s="124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</row>
    <row r="114" spans="1:19" ht="13.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</row>
    <row r="115" spans="1:19" ht="13.5" customHeight="1">
      <c r="F115" s="124"/>
      <c r="G115" s="124"/>
    </row>
  </sheetData>
  <pageMargins left="0.25" right="0.25" top="0.75" bottom="0.75" header="0.3" footer="0.3"/>
  <pageSetup scale="47" orientation="landscape" r:id="rId1"/>
  <headerFooter alignWithMargins="0">
    <oddHeader>&amp;A</oddHead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4E61526377E47AF828979A7A771F0" ma:contentTypeVersion="12" ma:contentTypeDescription="Create a new document." ma:contentTypeScope="" ma:versionID="0b4d727f8e0090d90ec79830cdf4dda3">
  <xsd:schema xmlns:xsd="http://www.w3.org/2001/XMLSchema" xmlns:xs="http://www.w3.org/2001/XMLSchema" xmlns:p="http://schemas.microsoft.com/office/2006/metadata/properties" xmlns:ns2="2e8f0d28-a7bd-4ba5-af77-49452aacead3" xmlns:ns3="0943dc99-765d-4763-a2da-dd5dd934c3aa" targetNamespace="http://schemas.microsoft.com/office/2006/metadata/properties" ma:root="true" ma:fieldsID="7380d60c0617d7f8fa5f6d960c1f6aa1" ns2:_="" ns3:_="">
    <xsd:import namespace="2e8f0d28-a7bd-4ba5-af77-49452aacead3"/>
    <xsd:import namespace="0943dc99-765d-4763-a2da-dd5dd934c3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f0d28-a7bd-4ba5-af77-49452aace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a049ea-3849-4ddd-aa67-d6de9634e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dc99-765d-4763-a2da-dd5dd934c3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0fe633-aac5-4ebd-8e4d-5a85816953f9}" ma:internalName="TaxCatchAll" ma:showField="CatchAllData" ma:web="0943dc99-765d-4763-a2da-dd5dd934c3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f0d28-a7bd-4ba5-af77-49452aacead3">
      <Terms xmlns="http://schemas.microsoft.com/office/infopath/2007/PartnerControls"/>
    </lcf76f155ced4ddcb4097134ff3c332f>
    <TaxCatchAll xmlns="0943dc99-765d-4763-a2da-dd5dd934c3aa" xsi:nil="true"/>
  </documentManagement>
</p:properties>
</file>

<file path=customXml/itemProps1.xml><?xml version="1.0" encoding="utf-8"?>
<ds:datastoreItem xmlns:ds="http://schemas.openxmlformats.org/officeDocument/2006/customXml" ds:itemID="{E456298D-D785-4B00-9FFC-9AF34709FF54}"/>
</file>

<file path=customXml/itemProps2.xml><?xml version="1.0" encoding="utf-8"?>
<ds:datastoreItem xmlns:ds="http://schemas.openxmlformats.org/officeDocument/2006/customXml" ds:itemID="{B9426A9E-B77E-48B8-A38C-C8401CB85197}"/>
</file>

<file path=customXml/itemProps3.xml><?xml version="1.0" encoding="utf-8"?>
<ds:datastoreItem xmlns:ds="http://schemas.openxmlformats.org/officeDocument/2006/customXml" ds:itemID="{B1B273D1-A6AC-4925-8EEA-4FAC3CE2C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PART I - MODEL BUILD &gt;&gt;&gt;</vt:lpstr>
      <vt:lpstr>Financials from CIP</vt:lpstr>
      <vt:lpstr>Step 1</vt:lpstr>
      <vt:lpstr>'Financials from CIP'!Print_Area</vt:lpstr>
      <vt:lpstr>'Step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Wolinsky</dc:creator>
  <cp:lastModifiedBy>David Wolinsky</cp:lastModifiedBy>
  <dcterms:created xsi:type="dcterms:W3CDTF">2026-02-19T01:46:31Z</dcterms:created>
  <dcterms:modified xsi:type="dcterms:W3CDTF">2026-02-19T01:50:33Z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0x010100FFC4E61526377E47AF828979A7A771F0</vt:lpwstr>
  </property>
</Properties>
</file>