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thenape.sharepoint.com/sites/AthenaDocuments/Shared Documents/_DOCS/_Teaching Content/_WIP/Module 4 - Model Building Steps/"/>
    </mc:Choice>
  </mc:AlternateContent>
  <xr:revisionPtr revIDLastSave="0" documentId="8_{83CC92AA-5625-4B95-9FA0-AA0352165D6E}" xr6:coauthVersionLast="47" xr6:coauthVersionMax="47" xr10:uidLastSave="{00000000-0000-0000-0000-000000000000}"/>
  <bookViews>
    <workbookView xWindow="-120" yWindow="-120" windowWidth="29040" windowHeight="17520" activeTab="2" xr2:uid="{A1503B94-E01D-4922-9F16-563AB0DE8626}"/>
  </bookViews>
  <sheets>
    <sheet name="PART I - MODEL BUILD &gt;&gt;&gt;" sheetId="1" r:id="rId1"/>
    <sheet name="Financials from CIP" sheetId="2" r:id="rId2"/>
    <sheet name="Step 1" sheetId="3" r:id="rId3"/>
  </sheets>
  <externalReferences>
    <externalReference r:id="rId4"/>
  </externalReferences>
  <definedNames>
    <definedName name="__123Graph_A" hidden="1">#REF!</definedName>
    <definedName name="__123Graph_AChart1" hidden="1">#REF!</definedName>
    <definedName name="__123Graph_ACurrent" hidden="1">#REF!</definedName>
    <definedName name="__123Graph_B" hidden="1">#REF!</definedName>
    <definedName name="__123Graph_X" hidden="1">#REF!</definedName>
    <definedName name="__Actual_Total_208_209_210_Act_v_Budget_01" hidden="1">#REF!</definedName>
    <definedName name="__FDS_HYPERLINK_TOGGLE_STATE__" hidden="1">"ON"</definedName>
    <definedName name="__Total_208_209_210_Level6member_Name_by_Fiscal_00_00" hidden="1">#REF!</definedName>
    <definedName name="__Total_208_209_210_Level6member_Name_by_Fiscal_00_01" hidden="1">#REF!</definedName>
    <definedName name="__Total_208_209_210_Level6member_Name_by_Fiscal_01" hidden="1">#REF!</definedName>
    <definedName name="_1__FDSAUDITLINK__" localSheetId="1" hidden="1">{"fdsup://IBCentral/FAT Viewer?action=UPDATE&amp;creator=factset&amp;DOC_NAME=fat:reuters_qtrly_source_window.fat&amp;display_string=Audit&amp;DYN_ARGS=TRUE&amp;VAR:ID1=95082P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__FDSAUDITLINK__" hidden="1">{"fdsup://IBCentral/FAT Viewer?action=UPDATE&amp;creator=factset&amp;DOC_NAME=fat:reuters_qtrly_source_window.fat&amp;display_string=Audit&amp;DYN_ARGS=TRUE&amp;VAR:ID1=95082P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__FDSAUDITLINK__" localSheetId="1" hidden="1">{"fdsup://IBCentral/FAT Viewer?action=UPDATE&amp;creator=factset&amp;DOC_NAME=fat:reuters_qtrly_source_window.fat&amp;display_string=Audit&amp;DYN_ARGS=TRUE&amp;VAR:ID1=00936310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__FDSAUDITLINK__" hidden="1">{"fdsup://IBCentral/FAT Viewer?action=UPDATE&amp;creator=factset&amp;DOC_NAME=fat:reuters_qtrly_source_window.fat&amp;display_string=Audit&amp;DYN_ARGS=TRUE&amp;VAR:ID1=00936310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__FDSAUDITLINK__" localSheetId="1" hidden="1">{"fdsup://IBCentral/FAT Viewer?action=UPDATE&amp;creator=factset&amp;DOC_NAME=fat:reuters_qtrly_source_window.fat&amp;display_string=Audit&amp;DYN_ARGS=TRUE&amp;VAR:ID1=30213010&amp;VAR:RCODE=STLD&amp;VAR:SDATE=20071299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__FDSAUDITLINK__" hidden="1">{"fdsup://IBCentral/FAT Viewer?action=UPDATE&amp;creator=factset&amp;DOC_NAME=fat:reuters_qtrly_source_window.fat&amp;display_string=Audit&amp;DYN_ARGS=TRUE&amp;VAR:ID1=30213010&amp;VAR:RCODE=STLD&amp;VAR:SDATE=20071299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2__FDSAUDITLINK__" localSheetId="1" hidden="1">{"fdsup://IBCentral/FAT Viewer?action=UPDATE&amp;creator=factset&amp;DOC_NAME=fat:reuters_qtrly_source_window.fat&amp;display_string=Audit&amp;DYN_ARGS=TRUE&amp;VAR:ID1=26784F10&amp;VAR:RCODE=STLD&amp;VAR:SDATE=20080199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2__FDSAUDITLINK__" hidden="1">{"fdsup://IBCentral/FAT Viewer?action=UPDATE&amp;creator=factset&amp;DOC_NAME=fat:reuters_qtrly_source_window.fat&amp;display_string=Audit&amp;DYN_ARGS=TRUE&amp;VAR:ID1=26784F10&amp;VAR:RCODE=STLD&amp;VAR:SDATE=20080199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3__FDSAUDITLINK__" localSheetId="1" hidden="1">{"fdsup://IBCentral/FAT Viewer?action=UPDATE&amp;creator=factset&amp;DOC_NAME=fat:reuters_qtrly_source_window.fat&amp;display_string=Audit&amp;DYN_ARGS=TRUE&amp;VAR:ID1=12541W20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3__FDSAUDITLINK__" hidden="1">{"fdsup://IBCentral/FAT Viewer?action=UPDATE&amp;creator=factset&amp;DOC_NAME=fat:reuters_qtrly_source_window.fat&amp;display_string=Audit&amp;DYN_ARGS=TRUE&amp;VAR:ID1=12541W20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4__FDSAUDITLINK__" localSheetId="1" hidden="1">{"fdsup://IBCentral/FAT Viewer?action=UPDATE&amp;creator=factset&amp;DOC_NAME=fat:reuters_qtrly_source_window.fat&amp;display_string=Audit&amp;DYN_ARGS=TRUE&amp;VAR:ID1=95082P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4__FDSAUDITLINK__" hidden="1">{"fdsup://IBCentral/FAT Viewer?action=UPDATE&amp;creator=factset&amp;DOC_NAME=fat:reuters_qtrly_source_window.fat&amp;display_string=Audit&amp;DYN_ARGS=TRUE&amp;VAR:ID1=95082P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5__FDSAUDITLINK__" localSheetId="1" hidden="1">{"fdsup://IBCentral/FAT Viewer?action=UPDATE&amp;creator=factset&amp;DOC_NAME=fat:reuters_qtrly_source_window.fat&amp;display_string=Audit&amp;DYN_ARGS=TRUE&amp;VAR:ID1=55353010&amp;VAR:RCODE=STLD&amp;VAR:SDATE=20080299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5__FDSAUDITLINK__" hidden="1">{"fdsup://IBCentral/FAT Viewer?action=UPDATE&amp;creator=factset&amp;DOC_NAME=fat:reuters_qtrly_source_window.fat&amp;display_string=Audit&amp;DYN_ARGS=TRUE&amp;VAR:ID1=55353010&amp;VAR:RCODE=STLD&amp;VAR:SDATE=20080299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6__FDSAUDITLINK__" localSheetId="1" hidden="1">{"fdsup://IBCentral/FAT Viewer?action=UPDATE&amp;creator=factset&amp;DOC_NAME=fat:reuters_qtrly_source_window.fat&amp;display_string=Audit&amp;DYN_ARGS=TRUE&amp;VAR:ID1=52077610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6__FDSAUDITLINK__" hidden="1">{"fdsup://IBCentral/FAT Viewer?action=UPDATE&amp;creator=factset&amp;DOC_NAME=fat:reuters_qtrly_source_window.fat&amp;display_string=Audit&amp;DYN_ARGS=TRUE&amp;VAR:ID1=52077610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7__FDSAUDITLINK__" localSheetId="1" hidden="1">{"fdsup://IBCentral/FAT Viewer?action=UPDATE&amp;creator=factset&amp;DOC_NAME=fat:reuters_qtrly_source_window.fat&amp;display_string=Audit&amp;DYN_ARGS=TRUE&amp;VAR:ID1=48354810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7__FDSAUDITLINK__" hidden="1">{"fdsup://IBCentral/FAT Viewer?action=UPDATE&amp;creator=factset&amp;DOC_NAME=fat:reuters_qtrly_source_window.fat&amp;display_string=Audit&amp;DYN_ARGS=TRUE&amp;VAR:ID1=48354810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__FDSAUDITLINK__" localSheetId="1" hidden="1">{"fdsup://IBCentral/FAT Viewer?action=UPDATE&amp;creator=factset&amp;DOC_NAME=fat:reuters_qtrly_source_window.fat&amp;display_string=Audit&amp;DYN_ARGS=TRUE&amp;VAR:ID1=44244K10&amp;VAR:RCODE=STLD&amp;VAR:SDATE=20071299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__FDSAUDITLINK__" hidden="1">{"fdsup://IBCentral/FAT Viewer?action=UPDATE&amp;creator=factset&amp;DOC_NAME=fat:reuters_qtrly_source_window.fat&amp;display_string=Audit&amp;DYN_ARGS=TRUE&amp;VAR:ID1=44244K10&amp;VAR:RCODE=STLD&amp;VAR:SDATE=20071299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__123Graph_ACHART_1" hidden="1">#REF!</definedName>
    <definedName name="_19__FDSAUDITLINK__" localSheetId="1" hidden="1">{"fdsup://IBCentral/FAT Viewer?action=UPDATE&amp;creator=factset&amp;DOC_NAME=fat:reuters_qtrly_source_window.fat&amp;display_string=Audit&amp;DYN_ARGS=TRUE&amp;VAR:ID1=38480210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__FDSAUDITLINK__" hidden="1">{"fdsup://IBCentral/FAT Viewer?action=UPDATE&amp;creator=factset&amp;DOC_NAME=fat:reuters_qtrly_source_window.fat&amp;display_string=Audit&amp;DYN_ARGS=TRUE&amp;VAR:ID1=38480210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__123Graph_AChart_1A" hidden="1">#REF!</definedName>
    <definedName name="_2__123Graph_AChart_1A_" hidden="1">#REF!</definedName>
    <definedName name="_2__FDSAUDITLINK__" localSheetId="1" hidden="1">{"fdsup://IBCentral/FAT Viewer?action=UPDATE&amp;creator=factset&amp;DOC_NAME=fat:reuters_qtrly_source_window.fat&amp;display_string=Audit&amp;DYN_ARGS=TRUE&amp;VAR:ID1=66990810&amp;VAR:RCODE=STLD&amp;VAR:SDATE=20080899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__FDSAUDITLINK__" hidden="1">{"fdsup://IBCentral/FAT Viewer?action=UPDATE&amp;creator=factset&amp;DOC_NAME=fat:reuters_qtrly_source_window.fat&amp;display_string=Audit&amp;DYN_ARGS=TRUE&amp;VAR:ID1=66990810&amp;VAR:RCODE=STLD&amp;VAR:SDATE=20080899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0__FDSAUDITLINK__" localSheetId="1" hidden="1">{"fdsup://IBCentral/FAT Viewer?action=UPDATE&amp;creator=factset&amp;DOC_NAME=fat:reuters_qtrly_source_window.fat&amp;display_string=Audit&amp;DYN_ARGS=TRUE&amp;VAR:ID1=31190010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0__FDSAUDITLINK__" hidden="1">{"fdsup://IBCentral/FAT Viewer?action=UPDATE&amp;creator=factset&amp;DOC_NAME=fat:reuters_qtrly_source_window.fat&amp;display_string=Audit&amp;DYN_ARGS=TRUE&amp;VAR:ID1=31190010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__FDSAUDITLINK__" localSheetId="1" hidden="1">{"fdsup://IBCentral/FAT Viewer?action=UPDATE&amp;creator=factset&amp;DOC_NAME=fat:reuters_qtrly_source_window.fat&amp;display_string=Audit&amp;DYN_ARGS=TRUE&amp;VAR:ID1=23337740&amp;VAR:RCODE=STLD&amp;VAR:SDATE=20071299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__FDSAUDITLINK__" hidden="1">{"fdsup://IBCentral/FAT Viewer?action=UPDATE&amp;creator=factset&amp;DOC_NAME=fat:reuters_qtrly_source_window.fat&amp;display_string=Audit&amp;DYN_ARGS=TRUE&amp;VAR:ID1=23337740&amp;VAR:RCODE=STLD&amp;VAR:SDATE=20071299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2__FDSAUDITLINK__" localSheetId="1" hidden="1">{"fdsup://IBCentral/FAT Viewer?action=UPDATE&amp;creator=factset&amp;DOC_NAME=fat:reuters_qtrly_source_window.fat&amp;display_string=Audit&amp;DYN_ARGS=TRUE&amp;VAR:ID1=03529010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2__FDSAUDITLINK__" hidden="1">{"fdsup://IBCentral/FAT Viewer?action=UPDATE&amp;creator=factset&amp;DOC_NAME=fat:reuters_qtrly_source_window.fat&amp;display_string=Audit&amp;DYN_ARGS=TRUE&amp;VAR:ID1=03529010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3__FDSAUDITLINK__" localSheetId="1" hidden="1">{"fdsup://IBCentral/FAT Viewer?action=UPDATE&amp;creator=factset&amp;DOC_NAME=fat:reuters_qtrly_source_window.fat&amp;display_string=Audit&amp;DYN_ARGS=TRUE&amp;VAR:ID1=00936310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3__FDSAUDITLINK__" hidden="1">{"fdsup://IBCentral/FAT Viewer?action=UPDATE&amp;creator=factset&amp;DOC_NAME=fat:reuters_qtrly_source_window.fat&amp;display_string=Audit&amp;DYN_ARGS=TRUE&amp;VAR:ID1=00936310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4__FDSAUDITLINK__" localSheetId="1" hidden="1">{"fdsup://IBCentral/FAT Viewer?action=UPDATE&amp;creator=factset&amp;DOC_NAME=fat:reuters_qtrly_source_window.fat&amp;display_string=Audit&amp;DYN_ARGS=TRUE&amp;VAR:ID1=03820C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4__FDSAUDITLINK__" hidden="1">{"fdsup://IBCentral/FAT Viewer?action=UPDATE&amp;creator=factset&amp;DOC_NAME=fat:reuters_qtrly_source_window.fat&amp;display_string=Audit&amp;DYN_ARGS=TRUE&amp;VAR:ID1=03820C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5__FDSAUDITLINK__" localSheetId="1" hidden="1">{"fdsup://IBCentral/FAT Viewer?action=UPDATE&amp;creator=factset&amp;DOC_NAME=fat:reuters_qtrly_source_window.fat&amp;display_string=Audit&amp;DYN_ARGS=TRUE&amp;VAR:ID1=38480210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5__FDSAUDITLINK__" hidden="1">{"fdsup://IBCentral/FAT Viewer?action=UPDATE&amp;creator=factset&amp;DOC_NAME=fat:reuters_qtrly_source_window.fat&amp;display_string=Audit&amp;DYN_ARGS=TRUE&amp;VAR:ID1=38480210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6__FDSAUDITLINK__" localSheetId="1" hidden="1">{"fdsup://IBCentral/FAT Viewer?action=UPDATE&amp;creator=factset&amp;DOC_NAME=fat:reuters_qtrly_source_window.fat&amp;display_string=Audit&amp;DYN_ARGS=TRUE&amp;VAR:ID1=55353010&amp;VAR:RCODE=STLD&amp;VAR:SDATE=20080299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6__FDSAUDITLINK__" hidden="1">{"fdsup://IBCentral/FAT Viewer?action=UPDATE&amp;creator=factset&amp;DOC_NAME=fat:reuters_qtrly_source_window.fat&amp;display_string=Audit&amp;DYN_ARGS=TRUE&amp;VAR:ID1=55353010&amp;VAR:RCODE=STLD&amp;VAR:SDATE=20080299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7__FDSAUDITLINK__" localSheetId="1" hidden="1">{"fdsup://IBCentral/FAT Viewer?action=UPDATE&amp;creator=factset&amp;DOC_NAME=fat:reuters_qtrly_source_window.fat&amp;display_string=Audit&amp;DYN_ARGS=TRUE&amp;VAR:ID1=31190010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7__FDSAUDITLINK__" hidden="1">{"fdsup://IBCentral/FAT Viewer?action=UPDATE&amp;creator=factset&amp;DOC_NAME=fat:reuters_qtrly_source_window.fat&amp;display_string=Audit&amp;DYN_ARGS=TRUE&amp;VAR:ID1=31190010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8__FDSAUDITLINK__" localSheetId="1" hidden="1">{"fdsup://IBCentral/FAT Viewer?action=UPDATE&amp;creator=factset&amp;DOC_NAME=fat:reuters_qtrly_source_window.fat&amp;display_string=Audit&amp;DYN_ARGS=TRUE&amp;VAR:ID1=00936310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8__FDSAUDITLINK__" hidden="1">{"fdsup://IBCentral/FAT Viewer?action=UPDATE&amp;creator=factset&amp;DOC_NAME=fat:reuters_qtrly_source_window.fat&amp;display_string=Audit&amp;DYN_ARGS=TRUE&amp;VAR:ID1=00936310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__FDSAUDITLINK__" localSheetId="1" hidden="1">{"fdsup://IBCentral/FAT Viewer?action=UPDATE&amp;creator=factset&amp;DOC_NAME=fat:reuters_qtrly_source_window.fat&amp;display_string=Audit&amp;DYN_ARGS=TRUE&amp;VAR:ID1=95082P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__FDSAUDITLINK__" hidden="1">{"fdsup://IBCentral/FAT Viewer?action=UPDATE&amp;creator=factset&amp;DOC_NAME=fat:reuters_qtrly_source_window.fat&amp;display_string=Audit&amp;DYN_ARGS=TRUE&amp;VAR:ID1=95082P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__FDSAUDITLINK__" localSheetId="1" hidden="1">{"fdsup://IBCentral/FAT Viewer?action=UPDATE&amp;creator=factset&amp;DOC_NAME=fat:reuters_qtrly_source_window.fat&amp;display_string=Audit&amp;DYN_ARGS=TRUE&amp;VAR:ID1=44244K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__FDSAUDITLINK__" hidden="1">{"fdsup://IBCentral/FAT Viewer?action=UPDATE&amp;creator=factset&amp;DOC_NAME=fat:reuters_qtrly_source_window.fat&amp;display_string=Audit&amp;DYN_ARGS=TRUE&amp;VAR:ID1=44244K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0__FDSAUDITLINK__" localSheetId="1" hidden="1">{"fdsup://IBCentral/FAT Viewer?action=UPDATE&amp;creator=factset&amp;DOC_NAME=fat:reuters_qtrly_source_window.fat&amp;display_string=Audit&amp;DYN_ARGS=TRUE&amp;VAR:ID1=44244K10&amp;VAR:RCODE=STLD&amp;VAR:SDATE=20071299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0__FDSAUDITLINK__" hidden="1">{"fdsup://IBCentral/FAT Viewer?action=UPDATE&amp;creator=factset&amp;DOC_NAME=fat:reuters_qtrly_source_window.fat&amp;display_string=Audit&amp;DYN_ARGS=TRUE&amp;VAR:ID1=44244K10&amp;VAR:RCODE=STLD&amp;VAR:SDATE=20071299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1__FDSAUDITLINK__" localSheetId="1" hidden="1">{"fdsup://IBCentral/FAT Viewer?action=UPDATE&amp;creator=factset&amp;DOC_NAME=fat:reuters_qtrly_source_window.fat&amp;display_string=Audit&amp;DYN_ARGS=TRUE&amp;VAR:ID1=03529010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1__FDSAUDITLINK__" hidden="1">{"fdsup://IBCentral/FAT Viewer?action=UPDATE&amp;creator=factset&amp;DOC_NAME=fat:reuters_qtrly_source_window.fat&amp;display_string=Audit&amp;DYN_ARGS=TRUE&amp;VAR:ID1=03529010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__123Graph_BChart_1A" hidden="1">#REF!</definedName>
    <definedName name="_4__123Graph_BCHart_1A_" hidden="1">#REF!</definedName>
    <definedName name="_4__FDSAUDITLINK__" localSheetId="1" hidden="1">{"fdsup://IBCentral/FAT Viewer?action=UPDATE&amp;creator=factset&amp;DOC_NAME=fat:reuters_qtrly_source_window.fat&amp;display_string=Audit&amp;DYN_ARGS=TRUE&amp;VAR:ID1=05380710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__FDSAUDITLINK__" hidden="1">{"fdsup://IBCentral/FAT Viewer?action=UPDATE&amp;creator=factset&amp;DOC_NAME=fat:reuters_qtrly_source_window.fat&amp;display_string=Audit&amp;DYN_ARGS=TRUE&amp;VAR:ID1=05380710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__FDSAUDITLINK__" localSheetId="1" hidden="1">{"fdsup://IBCentral/FAT Viewer?action=UPDATE&amp;creator=factset&amp;DOC_NAME=fat:reuters_qtrly_source_window.fat&amp;display_string=Audit&amp;DYN_ARGS=TRUE&amp;VAR:ID1=04273510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__FDSAUDITLINK__" hidden="1">{"fdsup://IBCentral/FAT Viewer?action=UPDATE&amp;creator=factset&amp;DOC_NAME=fat:reuters_qtrly_source_window.fat&amp;display_string=Audit&amp;DYN_ARGS=TRUE&amp;VAR:ID1=04273510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6__123Graph_XChart_1A" hidden="1">#REF!</definedName>
    <definedName name="_6__FDSAUDITLINK__" localSheetId="1" hidden="1">{"fdsup://IBCentral/FAT Viewer?action=UPDATE&amp;creator=factset&amp;DOC_NAME=fat:reuters_qtrly_source_window.fat&amp;display_string=Audit&amp;DYN_ARGS=TRUE&amp;VAR:ID1=03529010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6__FDSAUDITLINK__" hidden="1">{"fdsup://IBCentral/FAT Viewer?action=UPDATE&amp;creator=factset&amp;DOC_NAME=fat:reuters_qtrly_source_window.fat&amp;display_string=Audit&amp;DYN_ARGS=TRUE&amp;VAR:ID1=03529010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___123Graph_ACHART_1" hidden="1">#REF!</definedName>
    <definedName name="_7__FDSAUDITLINK__" localSheetId="1" hidden="1">{"fdsup://IBCentral/FAT Viewer?action=UPDATE&amp;creator=factset&amp;DOC_NAME=fat:reuters_qtrly_source_window.fat&amp;display_string=Audit&amp;DYN_ARGS=TRUE&amp;VAR:ID1=38480210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__FDSAUDITLINK__" hidden="1">{"fdsup://IBCentral/FAT Viewer?action=UPDATE&amp;creator=factset&amp;DOC_NAME=fat:reuters_qtrly_source_window.fat&amp;display_string=Audit&amp;DYN_ARGS=TRUE&amp;VAR:ID1=38480210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__FDSAUDITLINK__" localSheetId="1" hidden="1">{"fdsup://IBCentral/FAT Viewer?action=UPDATE&amp;creator=factset&amp;DOC_NAME=fat:reuters_qtrly_source_window.fat&amp;display_string=Audit&amp;DYN_ARGS=TRUE&amp;VAR:ID1=55353010&amp;VAR:RCODE=STLD&amp;VAR:SDATE=20080899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__FDSAUDITLINK__" hidden="1">{"fdsup://IBCentral/FAT Viewer?action=UPDATE&amp;creator=factset&amp;DOC_NAME=fat:reuters_qtrly_source_window.fat&amp;display_string=Audit&amp;DYN_ARGS=TRUE&amp;VAR:ID1=55353010&amp;VAR:RCODE=STLD&amp;VAR:SDATE=20080899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__123Graph_ACHART_1" hidden="1">#REF!</definedName>
    <definedName name="_9__FDSAUDITLINK__" localSheetId="1" hidden="1">{"fdsup://IBCentral/FAT Viewer?action=UPDATE&amp;creator=factset&amp;DOC_NAME=fat:reuters_qtrly_source_window.fat&amp;display_string=Audit&amp;DYN_ARGS=TRUE&amp;VAR:ID1=31190010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__FDSAUDITLINK__" hidden="1">{"fdsup://IBCentral/FAT Viewer?action=UPDATE&amp;creator=factset&amp;DOC_NAME=fat:reuters_qtrly_source_window.fat&amp;display_string=Audit&amp;DYN_ARGS=TRUE&amp;VAR:ID1=31190010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Actual_Dmaname_00" hidden="1">#REF!</definedName>
    <definedName name="_Actual_Total_208_209_210_Act_v_Budget_00" hidden="1">#REF!</definedName>
    <definedName name="_bdm.027F8800880F434B81A9C2A89DCC8C4A.edm" hidden="1">#REF!</definedName>
    <definedName name="_bdm.05C86319A7A34B6FA1DD54078DB04ADF.edm" hidden="1">#REF!</definedName>
    <definedName name="_bdm.076963F0805044F7A551C15654E4035D.edm" hidden="1">#REF!</definedName>
    <definedName name="_bdm.0B2EC36587664FCAAFAD2A6102D11FF7.edm" hidden="1">#REF!</definedName>
    <definedName name="_bdm.0C4E292BC10E49148B4AD96C7ED759BF.edm" hidden="1">#REF!</definedName>
    <definedName name="_bdm.14E12C44B2244BF4A4C86061C14FF480.edm" hidden="1">#REF!</definedName>
    <definedName name="_bdm.15532E20B1FF46539CE99D4F06003620.edm" hidden="1">#REF!</definedName>
    <definedName name="_bdm.17C6DB35F253421CA37F6DECBB53CB09.edm" hidden="1">#REF!</definedName>
    <definedName name="_bdm.1AF687A1E5ED45509674CBEECB86F11E.edm" hidden="1">#REF!</definedName>
    <definedName name="_bdm.1E81B4231B01419BAB1F7629BF57760E.edm" hidden="1">#REF!</definedName>
    <definedName name="_bdm.2246936292114AFCAC138C7D9D396F97.edm" hidden="1">#REF!</definedName>
    <definedName name="_bdm.22AD675AC94D4AFDB265799534DA88B6.edm" hidden="1">#REF!</definedName>
    <definedName name="_bdm.27BBF0899CDA4B0B8C7F6BB9B96E97B9.edm" hidden="1">#REF!</definedName>
    <definedName name="_bdm.28AD9BC5E3734025886BCB13389E0C5C.edm" hidden="1">#REF!</definedName>
    <definedName name="_bdm.2910D8A914AA47CB9BD32BF0A51EB1D9.edm" hidden="1">#REF!</definedName>
    <definedName name="_bdm.2AB6882CBF0147C7A1E52A575553A68B.edm" hidden="1">#REF!</definedName>
    <definedName name="_bdm.2AC364EC557B4DE9871125A7EA06067E.edm" hidden="1">#REF!</definedName>
    <definedName name="_bdm.2BEA366AF93F49AD8224CA9700F1EB81.edm" hidden="1">#REF!</definedName>
    <definedName name="_bdm.2C72CEEE222D4D34B105F10FCC846016.edm" hidden="1">#REF!</definedName>
    <definedName name="_bdm.2D4F8479E7044B6E9793C47E15E26658.edm" hidden="1">#REF!</definedName>
    <definedName name="_bdm.2D618CBB3A8C4DAA9BE9905DB9511DDC.edm" hidden="1">#REF!</definedName>
    <definedName name="_bdm.3418471FD2B243478AC1C676C4E8C5FC.edm" hidden="1">#REF!</definedName>
    <definedName name="_bdm.35C995F189BC41DAAC3F44625A6E292F.edm" hidden="1">#REF!</definedName>
    <definedName name="_bdm.36037A84D6F14885BD15EF420BC6D13A.edm" hidden="1">#REF!</definedName>
    <definedName name="_bdm.3EF881079894438BA7659EB9FF6E25DD.edm" hidden="1">#REF!</definedName>
    <definedName name="_bdm.413BEB5CE0294B15AC90D7DF8DF74345.edm" hidden="1">#REF!</definedName>
    <definedName name="_bdm.41BFA87685854FE88D3D6EB2C8112366.edm" hidden="1">#REF!</definedName>
    <definedName name="_bdm.4287C95B1398429F816153A26570B2F4.edm" hidden="1">#REF!</definedName>
    <definedName name="_bdm.463865BEA38643A6B5EA19C48E7DD61B.edm" hidden="1">#REF!</definedName>
    <definedName name="_bdm.51A2D8508DAB4D008B17FAAF7FA1EF3C.edm" hidden="1">#REF!</definedName>
    <definedName name="_bdm.53E95D570F0E450199C885D6AB439EDB.edm" hidden="1">#REF!</definedName>
    <definedName name="_bdm.5687C9EBCCE349AE869A299D9958753B.edm" hidden="1">#REF!</definedName>
    <definedName name="_bdm.57E8B17D34C04A829449F6DBC62DB6FF.edm" hidden="1">#REF!</definedName>
    <definedName name="_bdm.5DEC2A588B2D4D22B7B208818CC8FD85.edm" hidden="1">#REF!</definedName>
    <definedName name="_bdm.5F3A07197DF14426A5AF2056E21ABA4A.edm" hidden="1">#REF!</definedName>
    <definedName name="_bdm.6025BA6B51C743E1AD96EEE3105BF3D0.edm" hidden="1">#REF!</definedName>
    <definedName name="_bdm.61C015219123495FB66B0B9458B58C4F.edm" hidden="1">#REF!</definedName>
    <definedName name="_bdm.633EB5F9D13D4B02A76654B7C7AA5FE4.edm" hidden="1">#REF!</definedName>
    <definedName name="_bdm.6A4D64318E7C49E3A309FEAFD3C914ED.edm" hidden="1">#REF!</definedName>
    <definedName name="_bdm.6B764F624FD64FE48689F7B0C3C5105A.edm" hidden="1">#REF!</definedName>
    <definedName name="_bdm.7B582216104D4FC3AD7A52D599B1C43A.edm" hidden="1">#REF!</definedName>
    <definedName name="_bdm.8161120405654232B4CD7904DF34AD10.edm" hidden="1">#REF!</definedName>
    <definedName name="_bdm.82810F34DEC543B0938EAF91531EAF0D.edm" hidden="1">#REF!</definedName>
    <definedName name="_bdm.8649F3B960184A0E9CC5311F749236B9.edm" hidden="1">#REF!</definedName>
    <definedName name="_bdm.8677447478264074BAF1FF345884C57C.edm" hidden="1">#REF!</definedName>
    <definedName name="_bdm.8CCC0F9C648F42E7B681E322CDAABB0B.edm" hidden="1">#REF!</definedName>
    <definedName name="_bdm.9AB08E8B9DD242CD86AB346DB45BC7EA.edm" hidden="1">#REF!</definedName>
    <definedName name="_bdm.A30C0767F84B45589EEE7453C94BCB6E.edm" hidden="1">#REF!</definedName>
    <definedName name="_bdm.A3C74F68435B4A2F946E8A7166EE8A58.edm" hidden="1">#REF!</definedName>
    <definedName name="_bdm.A4DA664F0D8D40439812270DD015A5FC.edm" hidden="1">#REF!</definedName>
    <definedName name="_bdm.AE68C2B6B205464EA6DE0BCF961588FD.edm" hidden="1">#REF!</definedName>
    <definedName name="_bdm.AEB7040D03DE41988DDCA3F5FAF13B03.edm" hidden="1">#REF!</definedName>
    <definedName name="_bdm.B32EECEF008048CB8820362F735767B2.edm" hidden="1">#REF!</definedName>
    <definedName name="_bdm.B5807A90851A4FFD80A55244D63565EC.edm" hidden="1">#REF!</definedName>
    <definedName name="_bdm.BAC8A75873BD47C898F7FA00AB6AF1F7.edm" hidden="1">#REF!</definedName>
    <definedName name="_bdm.BBDFA80AE11F4793AA814D13DE9E8639.edm" hidden="1">#REF!</definedName>
    <definedName name="_bdm.C5DBACA85DED48339A640388347A0422.edm" hidden="1">#REF!</definedName>
    <definedName name="_bdm.CEECD5A4BBD44CA18565D39876649090.edm" hidden="1">#REF!</definedName>
    <definedName name="_bdm.CF8AEAF52A8A4887A0B828A298C40612.edm" hidden="1">#REF!</definedName>
    <definedName name="_bdm.D0617DFC048A4E06B33A16ECE92185C2.edm" hidden="1">#REF!</definedName>
    <definedName name="_bdm.D2356439F5E04D59804E8B79D675D554.edm" hidden="1">#REF!</definedName>
    <definedName name="_bdm.D8485C725B4A4D2ABEF86761D5A0AF79.edm" hidden="1">#REF!</definedName>
    <definedName name="_bdm.D9912FF757C643AF874356426ECCD0C2.edm" hidden="1">#REF!</definedName>
    <definedName name="_bdm.DD366674451544BF93BC8D487636644E.edm" hidden="1">#REF!</definedName>
    <definedName name="_bdm.E29CC2CCE143482595B4593DE68FFC66.edm" hidden="1">#REF!</definedName>
    <definedName name="_bdm.E5BDB6F1C2C945E59CAD61487277009E.edm" hidden="1">#REF!</definedName>
    <definedName name="_bdm.E5E791ED8BD04267A71BD33F4FFBEA2A.edm" hidden="1">#REF!</definedName>
    <definedName name="_bdm.E707CBC911714632A3B5B6760EB38EC2.edm" hidden="1">#REF!</definedName>
    <definedName name="_bdm.E8798BE2C6784495B4B2F5965A63DD45.edm" hidden="1">#REF!</definedName>
    <definedName name="_bdm.ED6FE57296254F039CFA264D6C0DBF2C.edm" hidden="1">#REF!</definedName>
    <definedName name="_bdm.EE29D448DCFC4D9482FD4C4939471795.edm" hidden="1">#REF!</definedName>
    <definedName name="_bdm.F1438972761941AFBBAD0E56AC142EA0.edm" hidden="1">#REF!</definedName>
    <definedName name="_bdm.F289BB85805949C4A2DB02778B66B1FC.edm" hidden="1">#REF!</definedName>
    <definedName name="_bdm.FastTrackBookmark.3_7_2019_11_35_41_AM.edm" hidden="1">#REF!</definedName>
    <definedName name="_bdm.FE163486EC8B4FD68CD11B0B1DCE74BB.edm" hidden="1">#REF!</definedName>
    <definedName name="_Bud210_Level7member_Name_00" hidden="1">#REF!</definedName>
    <definedName name="_Fil1" hidden="1">#REF!</definedName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cSlicerSheet_Slicer1" hidden="1">#REF!</definedName>
    <definedName name="_Sort" hidden="1">#REF!</definedName>
    <definedName name="_Table1_In1" hidden="1">#REF!</definedName>
    <definedName name="_Table1_in2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gs1" localSheetId="2" hidden="1">"&lt;tags&gt;&lt;tag n=""Palette"" v=""-1"" /&gt;&lt;tag n=""ClosestPalette"" v=""1"" /&gt;&lt;/tags&gt;"</definedName>
    <definedName name="_Total_208_209_210_for_Mobile_Level6member_Name_00" hidden="1">#REF!</definedName>
    <definedName name="_Total_208_209_210_Level6member_Name_by_Fiscal_00" hidden="1">#REF!</definedName>
    <definedName name="_Total_208_209_210_Level7member_Name_00" hidden="1">#REF!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BC" hidden="1">#REF!</definedName>
    <definedName name="AccessDatabase" hidden="1">"G:\Finance\Projections\2001 Projections\Pivot 2001.mdb"</definedName>
    <definedName name="AS2DocOpenMode" hidden="1">"AS2DocumentBrowse"</definedName>
    <definedName name="AS2HasNoAutoHeaderFooter" hidden="1">" "</definedName>
    <definedName name="AS2NamedRange" hidden="1">3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BG_Del" hidden="1">15</definedName>
    <definedName name="BG_Ins" hidden="1">4</definedName>
    <definedName name="BG_Mod" hidden="1">6</definedName>
    <definedName name="Blank3" hidden="1">#REF!</definedName>
    <definedName name="Blank4" hidden="1">#REF!</definedName>
    <definedName name="Blank5" hidden="1">#REF!</definedName>
    <definedName name="Blank6" hidden="1">#REF!</definedName>
    <definedName name="Blank7" hidden="1">#REF!</definedName>
    <definedName name="Blank8" hidden="1">#REF!</definedName>
    <definedName name="BLPB1" hidden="1">#REF!</definedName>
    <definedName name="BLPB10" hidden="1">#REF!</definedName>
    <definedName name="BLPB100" hidden="1">#REF!</definedName>
    <definedName name="BLPB101" hidden="1">#REF!</definedName>
    <definedName name="BLPB102" hidden="1">#REF!</definedName>
    <definedName name="BLPB103" hidden="1">#REF!</definedName>
    <definedName name="BLPB104" hidden="1">#REF!</definedName>
    <definedName name="BLPB105" hidden="1">#REF!</definedName>
    <definedName name="BLPB106" hidden="1">#REF!</definedName>
    <definedName name="BLPB107" hidden="1">#REF!</definedName>
    <definedName name="BLPB108" hidden="1">#REF!</definedName>
    <definedName name="BLPB109" hidden="1">#REF!</definedName>
    <definedName name="BLPB11" hidden="1">#REF!</definedName>
    <definedName name="BLPB110" hidden="1">#REF!</definedName>
    <definedName name="BLPB111" hidden="1">#REF!</definedName>
    <definedName name="BLPB112" hidden="1">#REF!</definedName>
    <definedName name="BLPB113" hidden="1">#REF!</definedName>
    <definedName name="BLPB114" hidden="1">#REF!</definedName>
    <definedName name="BLPB115" hidden="1">#REF!</definedName>
    <definedName name="BLPB116" hidden="1">#REF!</definedName>
    <definedName name="BLPB117" hidden="1">#REF!</definedName>
    <definedName name="BLPB118" hidden="1">#REF!</definedName>
    <definedName name="BLPB119" hidden="1">#REF!</definedName>
    <definedName name="BLPB12" hidden="1">#REF!</definedName>
    <definedName name="BLPB120" hidden="1">#REF!</definedName>
    <definedName name="BLPB121" hidden="1">#REF!</definedName>
    <definedName name="BLPB122" hidden="1">#REF!</definedName>
    <definedName name="BLPB123" hidden="1">#REF!</definedName>
    <definedName name="BLPB124" hidden="1">#REF!</definedName>
    <definedName name="BLPB125" hidden="1">#REF!</definedName>
    <definedName name="BLPB126" hidden="1">#REF!</definedName>
    <definedName name="BLPB127" hidden="1">#REF!</definedName>
    <definedName name="BLPB128" hidden="1">#REF!</definedName>
    <definedName name="BLPB129" hidden="1">#REF!</definedName>
    <definedName name="BLPB13" hidden="1">#REF!</definedName>
    <definedName name="BLPB136" hidden="1">#REF!</definedName>
    <definedName name="BLPB137" hidden="1">#REF!</definedName>
    <definedName name="BLPB14" hidden="1">#REF!</definedName>
    <definedName name="BLPB15" hidden="1">#REF!</definedName>
    <definedName name="BLPB16" hidden="1">#REF!</definedName>
    <definedName name="BLPB17" hidden="1">#REF!</definedName>
    <definedName name="BLPB18" hidden="1">#REF!</definedName>
    <definedName name="BLPB19" hidden="1">#REF!</definedName>
    <definedName name="BLPB2" hidden="1">#REF!</definedName>
    <definedName name="BLPB20" hidden="1">#REF!</definedName>
    <definedName name="BLPB21" hidden="1">#REF!</definedName>
    <definedName name="BLPB22" hidden="1">#REF!</definedName>
    <definedName name="BLPB23" hidden="1">#REF!</definedName>
    <definedName name="BLPB24" hidden="1">#REF!</definedName>
    <definedName name="BLPB25" hidden="1">#REF!</definedName>
    <definedName name="BLPB26" hidden="1">#REF!</definedName>
    <definedName name="BLPB27" hidden="1">#REF!</definedName>
    <definedName name="BLPB28" hidden="1">#REF!</definedName>
    <definedName name="BLPB29" hidden="1">#REF!</definedName>
    <definedName name="BLPB3" hidden="1">#REF!</definedName>
    <definedName name="BLPB30" hidden="1">#REF!</definedName>
    <definedName name="BLPB31" hidden="1">#REF!</definedName>
    <definedName name="BLPB32" hidden="1">#REF!</definedName>
    <definedName name="BLPB33" hidden="1">#REF!</definedName>
    <definedName name="BLPB34" hidden="1">#REF!</definedName>
    <definedName name="BLPB35" hidden="1">#REF!</definedName>
    <definedName name="BLPB36" hidden="1">#REF!</definedName>
    <definedName name="BLPB37" hidden="1">#REF!</definedName>
    <definedName name="BLPB38" hidden="1">#REF!</definedName>
    <definedName name="BLPB39" hidden="1">#REF!</definedName>
    <definedName name="BLPB4" hidden="1">#REF!</definedName>
    <definedName name="BLPB40" hidden="1">#REF!</definedName>
    <definedName name="BLPB41" hidden="1">#REF!</definedName>
    <definedName name="BLPB42" hidden="1">#REF!</definedName>
    <definedName name="BLPB43" hidden="1">#REF!</definedName>
    <definedName name="BLPB44" hidden="1">#REF!</definedName>
    <definedName name="BLPB45" hidden="1">#REF!</definedName>
    <definedName name="BLPB46" hidden="1">#REF!</definedName>
    <definedName name="BLPB47" hidden="1">#REF!</definedName>
    <definedName name="BLPB48" hidden="1">#REF!</definedName>
    <definedName name="BLPB49" hidden="1">#REF!</definedName>
    <definedName name="BLPB5" hidden="1">#REF!</definedName>
    <definedName name="BLPB50" hidden="1">#REF!</definedName>
    <definedName name="BLPB51" hidden="1">#REF!</definedName>
    <definedName name="BLPB52" hidden="1">#REF!</definedName>
    <definedName name="BLPB53" hidden="1">#REF!</definedName>
    <definedName name="BLPB54" hidden="1">#REF!</definedName>
    <definedName name="BLPB55" hidden="1">#REF!</definedName>
    <definedName name="BLPB56" hidden="1">#REF!</definedName>
    <definedName name="BLPB57" hidden="1">#REF!</definedName>
    <definedName name="BLPB58" hidden="1">#REF!</definedName>
    <definedName name="BLPB59" hidden="1">#REF!</definedName>
    <definedName name="BLPB6" hidden="1">#REF!</definedName>
    <definedName name="BLPB60" hidden="1">#REF!</definedName>
    <definedName name="BLPB61" hidden="1">#REF!</definedName>
    <definedName name="BLPB62" hidden="1">#REF!</definedName>
    <definedName name="BLPB63" hidden="1">#REF!</definedName>
    <definedName name="BLPB64" hidden="1">#REF!</definedName>
    <definedName name="BLPB65" hidden="1">#REF!</definedName>
    <definedName name="BLPB66" hidden="1">#REF!</definedName>
    <definedName name="BLPB67" hidden="1">#REF!</definedName>
    <definedName name="BLPB68" hidden="1">#REF!</definedName>
    <definedName name="BLPB69" hidden="1">#REF!</definedName>
    <definedName name="BLPB7" hidden="1">#REF!</definedName>
    <definedName name="BLPB70" hidden="1">#REF!</definedName>
    <definedName name="BLPB71" hidden="1">#REF!</definedName>
    <definedName name="BLPB72" hidden="1">#REF!</definedName>
    <definedName name="BLPB73" hidden="1">#REF!</definedName>
    <definedName name="BLPB74" hidden="1">#REF!</definedName>
    <definedName name="BLPB75" hidden="1">#REF!</definedName>
    <definedName name="BLPB76" hidden="1">#REF!</definedName>
    <definedName name="BLPB77" hidden="1">#REF!</definedName>
    <definedName name="BLPB78" hidden="1">#REF!</definedName>
    <definedName name="BLPB79" hidden="1">#REF!</definedName>
    <definedName name="BLPB8" hidden="1">#REF!</definedName>
    <definedName name="BLPB80" hidden="1">#REF!</definedName>
    <definedName name="BLPB81" hidden="1">#REF!</definedName>
    <definedName name="BLPB82" hidden="1">#REF!</definedName>
    <definedName name="BLPB83" hidden="1">#REF!</definedName>
    <definedName name="BLPB84" hidden="1">#REF!</definedName>
    <definedName name="BLPB85" hidden="1">#REF!</definedName>
    <definedName name="BLPB86" hidden="1">#REF!</definedName>
    <definedName name="BLPB87" hidden="1">#REF!</definedName>
    <definedName name="BLPB88" hidden="1">#REF!</definedName>
    <definedName name="BLPB89" hidden="1">#REF!</definedName>
    <definedName name="BLPB9" hidden="1">#REF!</definedName>
    <definedName name="BLPB90" hidden="1">#REF!</definedName>
    <definedName name="BLPB91" hidden="1">#REF!</definedName>
    <definedName name="BLPB92" hidden="1">#REF!</definedName>
    <definedName name="BLPB93" hidden="1">#REF!</definedName>
    <definedName name="BLPB94" hidden="1">#REF!</definedName>
    <definedName name="BLPB95" hidden="1">#REF!</definedName>
    <definedName name="BLPB96" hidden="1">#REF!</definedName>
    <definedName name="BLPB97" hidden="1">#REF!</definedName>
    <definedName name="BLPB98" hidden="1">#REF!</definedName>
    <definedName name="BLPB99" hidden="1">#REF!</definedName>
    <definedName name="BLPH10" hidden="1">#REF!</definedName>
    <definedName name="BLPH11" hidden="1">#REF!</definedName>
    <definedName name="BLPH14" hidden="1">#REF!</definedName>
    <definedName name="BLPH15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cb_sChart10D6460A_opts" hidden="1">"1, 1, 1, False, 2, True, False, , 0, False, False, 1, 1"</definedName>
    <definedName name="cb_sChart10D65256_opts" hidden="1">"1, 1, 1, False, 2, True, False, , 0, False, False, 1, 1"</definedName>
    <definedName name="cb_sChart10D653EB_opts" hidden="1">"1, 1, 1, False, 2, True, False, , 0, False, False, 1, 1"</definedName>
    <definedName name="cb_sChart10D65893_opts" hidden="1">"1, 1, 1, False, 2, True, False, , 0, False, False, 1, 1"</definedName>
    <definedName name="cb_sChartEE4CE1B_opts" hidden="1">"1, 4, 1, False, 2, False, False, , 0, False, False, 1, 1"</definedName>
    <definedName name="cb_sChartEE4CF99_opts" hidden="1">"1, 1, 1, False, 2, False, False, , 0, False, False, 1, 1"</definedName>
    <definedName name="cb_sChartEE4DD06_opts" hidden="1">"1, 1, 1, False, 2, False, False, , 0, False, False, 1, 2"</definedName>
    <definedName name="cb_sChartEE4E93B_opts" hidden="1">"1, 1, 1, False, 2, False, False, , 0, False, False, 1, 1"</definedName>
    <definedName name="cb_sChartEE51E95_opts" hidden="1">"1, 1, 1, False, 2, False, False, , 0, False, False, 1, 1"</definedName>
    <definedName name="cb_sChartEED7645_opts" hidden="1">"1, 1, 1, False, 2, False, False, , 0, False, False, 1, 1"</definedName>
    <definedName name="cb_sChartEEDA195_opts" hidden="1">"1, 1, 1, False, 2, False, False, , 0, False, False, 1, 1"</definedName>
    <definedName name="cb_sChartEEDC338_opts" hidden="1">"1, 1, 1, False, 2, False, False, , 0, False, False, 1, 1"</definedName>
    <definedName name="cb_sChartEEDEDB8_opts" hidden="1">"1, 1, 1, False, 2, False, False, , 0, False, True, 1, 1"</definedName>
    <definedName name="cb_sChartEEDEE5A_opts" hidden="1">"1, 3, 1, False, 2, True, False, , 0, False, True, 1, 1"</definedName>
    <definedName name="cb_sChartEEDF178_opts" hidden="1">"1, 3, 1, False, 2, False, False, , 0, False, True, 1, 1"</definedName>
    <definedName name="cb_sChartF6A6B11_opts" hidden="1">"1, 1, 1, False, 2, True, False, , 0, False, False, 1, 1"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_sChartFD58483_opts" hidden="1">"1, 1, 1, False, 2, True, False, , 0, False, False, 1, 1"</definedName>
    <definedName name="cb_sChartFD5C4CD_opts" hidden="1">"1, 1, 1, False, 2, True, False, , 0, False, False, 1, 1"</definedName>
    <definedName name="cb_sChartFD5D4CE_opts" hidden="1">"1, 1, 1, False, 2, True, False, , 0, False, False, 1, 1"</definedName>
    <definedName name="cb_sChartFD5DF34_opts" hidden="1">"1, 1, 1, False, 2, True, False, , 0, False, False, 1, 1"</definedName>
    <definedName name="cb_sChartFD5EFC0_opts" hidden="1">"1, 1, 1, False, 2, True, False, , 0, False, False, 1, 1"</definedName>
    <definedName name="cb_sChartFD5FDB9_opts" hidden="1">"1, 1, 1, False, 2, True, False, , 0, False, False, 1, 1"</definedName>
    <definedName name="cb_sChartFE54712_opts" hidden="1">"1, 3, 1, False, 2, True, False, , 0, False, True, 1, 1"</definedName>
    <definedName name="CIQWBGuid" localSheetId="1" hidden="1">"540f3042-7976-4467-9d88-72aa3cab8ff7"</definedName>
    <definedName name="CIQWBGuid" hidden="1">"c36e0a5d-d90c-4aad-b751-96208262ef45"</definedName>
    <definedName name="CompanyName1" hidden="1">#REF!</definedName>
    <definedName name="CompanyName2" hidden="1">#REF!</definedName>
    <definedName name="CompanyName3" hidden="1">#REF!</definedName>
    <definedName name="CompRange1" hidden="1">#N/A</definedName>
    <definedName name="CompRange1Main" hidden="1">#REF!</definedName>
    <definedName name="CompRange2" hidden="1">#N/A</definedName>
    <definedName name="CompRange2Main" hidden="1">#REF!</definedName>
    <definedName name="CompRange3" hidden="1">#N/A</definedName>
    <definedName name="CompRange3Main" hidden="1">#REF!</definedName>
    <definedName name="Cwvu.GREY_ALL." hidden="1">#REF!</definedName>
    <definedName name="DateRangeComp" hidden="1">#N/A</definedName>
    <definedName name="DateRangeCompMain" hidden="1">#REF!</definedName>
    <definedName name="DateRangePrice" hidden="1">#N/A</definedName>
    <definedName name="DateRangePriceMain" hidden="1">#REF!</definedName>
    <definedName name="Editable" hidden="1">#REF!,#REF!,#REF!,#REF!</definedName>
    <definedName name="EV__LASTREFTIME__" hidden="1">39104.6256481481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1聄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P_280_1_aSrv" hidden="1">#REF!</definedName>
    <definedName name="FDP_281_1_aSrv" hidden="1">#REF!</definedName>
    <definedName name="FDP_282_1_aSrv" hidden="1">#REF!</definedName>
    <definedName name="FDP_283_1_aSrv" hidden="1">#REF!</definedName>
    <definedName name="F聄D_172_0" hidden="1">"A30681"</definedName>
    <definedName name="F聄D_179_1" hidden="1">"E36525"</definedName>
    <definedName name="F聄D_82_11" hidden="1">"A34699"</definedName>
    <definedName name="hhhhh" localSheetId="1" hidden="1">{"overall",#N/A,FALSE,"Taylor";"Jul24Sum",#N/A,FALSE,"Finance";"Jul24COS",#N/A,FALSE,"Finance";"Jul24C3",#N/A,FALSE,"Finance";"jul24tax&amp;debtcalcs",#N/A,FALSE,"Finance";"jeepsum",#N/A,FALSE,"Finance";"taysum1",#N/A,FALSE,"Taylor";"BS",#N/A,FALSE,"Taylor";"backup",#N/A,FALSE,"Taylor";"jeepop",#N/A,FALSE,"Operating costs"}</definedName>
    <definedName name="hhhhh" hidden="1">{"overall",#N/A,FALSE,"Taylor";"Jul24Sum",#N/A,FALSE,"Finance";"Jul24COS",#N/A,FALSE,"Finance";"Jul24C3",#N/A,FALSE,"Finance";"jul24tax&amp;debtcalcs",#N/A,FALSE,"Finance";"jeepsum",#N/A,FALSE,"Finance";"taysum1",#N/A,FALSE,"Taylor";"BS",#N/A,FALSE,"Taylor";"backup",#N/A,FALSE,"Taylor";"jeepop",#N/A,FALSE,"Operating costs"}</definedName>
    <definedName name="HTML_CodePage" hidden="1">1252</definedName>
    <definedName name="HTML_Control" localSheetId="1" hidden="1">{"'xls'!$A$71:$A$78","'xls'!$A$1:$J$77"}</definedName>
    <definedName name="HTML_Control" hidden="1">{"'xls'!$A$71:$A$78","'xls'!$A$1:$J$77"}</definedName>
    <definedName name="HTML_Description" hidden="1">""</definedName>
    <definedName name="HTML_Email" hidden="1">""</definedName>
    <definedName name="HTML_Header" hidden="1">"tab34"</definedName>
    <definedName name="HTML_LastUpdate" hidden="1">"1/5/00"</definedName>
    <definedName name="HTML_LineAfter" hidden="1">FALSE</definedName>
    <definedName name="HTML_LineBefore" hidden="1">FALSE</definedName>
    <definedName name="HTML_Name" hidden="1">"William J. Hussar"</definedName>
    <definedName name="HTML_OBDlg2" hidden="1">TRUE</definedName>
    <definedName name="HTML_OBDlg4" hidden="1">TRUE</definedName>
    <definedName name="HTML_OS" hidden="1">0</definedName>
    <definedName name="HTML_PathFile" hidden="1">"D:\PROJ2009\WP\Test\tabxxxxx.htm"</definedName>
    <definedName name="HTML_Title" hidden="1">"tab35plainerb1y"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Count" hidden="1">1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RES_DOM_FFIEC" hidden="1">"c15269"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EPTANCES_OTHER_FOREIGN_BANKS_LL_REC_FFIEC" hidden="1">"c15293"</definedName>
    <definedName name="IQ_ACCEPTANCES_OTHER_US_BANKS_LL_REC_FFIEC" hidden="1">"c15292"</definedName>
    <definedName name="IQ_ACCOUNT_CHANGE" hidden="1">"c1449"</definedName>
    <definedName name="IQ_ACCOUNTING_STANDARD" hidden="1">"c4539"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DITIONS_NON_ACCRUAL_ASSET_DURING_QTR_FFIEC" hidden="1">"c15349"</definedName>
    <definedName name="IQ_ADJ_AVG_BANK_ASSETS" hidden="1">"c2671"</definedName>
    <definedName name="IQ_ADJUSTABLE_RATE_LOANS_FDIC" hidden="1">"c6375"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TER_TAX_INCOME_FDIC" hidden="1">"c6583"</definedName>
    <definedName name="IQ_AG_PROD_FARM_LOANS_DOM_QUARTERLY_AVG_FFIEC" hidden="1">"c15477"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_OTHER_DEPOSITS_FOREIGN_DEP_FFIEC" hidden="1">"c15347"</definedName>
    <definedName name="IQ_ALL_OTHER_INVEST_UNCONSOL_SUBS_FFIEC" hidden="1">"c15275"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AIL_FOR_SALE_FAIR_VALUE_TOT_FFIEC" hidden="1">"c15399"</definedName>
    <definedName name="IQ_AVAIL_FOR_SALE_LEVEL_1_FFIEC" hidden="1">"c15421"</definedName>
    <definedName name="IQ_AVAIL_FOR_SALE_LEVEL_2_FFIEC" hidden="1">"c15434"</definedName>
    <definedName name="IQ_AVAIL_FOR_SALE_LEVEL_3_FFIEC" hidden="1">"c15447"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DEPOSITS" hidden="1">"c15256"</definedName>
    <definedName name="IQ_AVERAGE_EARNING_ASSETS_FDIC" hidden="1">"c6748"</definedName>
    <definedName name="IQ_AVERAGE_EQUITY_FDIC" hidden="1">"c6749"</definedName>
    <definedName name="IQ_AVERAGE_INTEREST_BEARING_DEPOSITS" hidden="1">"c15254"</definedName>
    <definedName name="IQ_AVERAGE_LOANS_FDIC" hidden="1">"c6750"</definedName>
    <definedName name="IQ_AVERAGE_LOANS_HFI" hidden="1">"c15251"</definedName>
    <definedName name="IQ_AVERAGE_LOANS_HFS" hidden="1">"c15252"</definedName>
    <definedName name="IQ_AVERAGE_NON_INTEREST_BEARING_DEPOSITS" hidden="1">"c15255"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EMPLOYEES" hidden="1">"c6019"</definedName>
    <definedName name="IQ_AVG_INDUSTRY_REC" hidden="1">"c4455"</definedName>
    <definedName name="IQ_AVG_INDUSTRY_REC_NO" hidden="1">"c4454"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NON_TRANS_ACCTS_FFIEC" hidden="1">"c15326"</definedName>
    <definedName name="IQ_BANKS_FOREIGN_COUNTRIES_TOTAL_DEPOSITS_FDIC" hidden="1">"c6475"</definedName>
    <definedName name="IQ_BANKS_FOREIGN_COUNTRIES_TRANS_ACCTS_FFIEC" hidden="1">"c15318"</definedName>
    <definedName name="IQ_Bars" hidden="1">39210.6342708333</definedName>
    <definedName name="IQ_BASIC_EPS_EXCL" hidden="1">"c85"</definedName>
    <definedName name="IQ_BASIC_EPS_INCL" hidden="1">"c86"</definedName>
    <definedName name="IQ_BASIC_NORMAL_EPS" hidden="1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 hidden="1">"c87"</definedName>
    <definedName name="IQ_BASIC_WEIGHT_EST" hidden="1">"c4140"</definedName>
    <definedName name="IQ_BASIC_WEIGHT_GUIDANCE" hidden="1">"c4141"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ASSISTANT_EMAIL" hidden="1">"c15179"</definedName>
    <definedName name="IQ_BOARD_MEMBER_ASSISTANT_FAX" hidden="1">"c15181"</definedName>
    <definedName name="IQ_BOARD_MEMBER_ASSISTANT_NAME" hidden="1">"c15178"</definedName>
    <definedName name="IQ_BOARD_MEMBER_ASSISTANT_PHONE" hidden="1">"c15180"</definedName>
    <definedName name="IQ_BOARD_MEMBER_BACKGROUND" hidden="1">"c2101"</definedName>
    <definedName name="IQ_BOARD_MEMBER_DIRECT_FAX" hidden="1">"c15176"</definedName>
    <definedName name="IQ_BOARD_MEMBER_DIRECT_PHONE" hidden="1">"c15175"</definedName>
    <definedName name="IQ_BOARD_MEMBER_EMAIL" hidden="1">"c15177"</definedName>
    <definedName name="IQ_BOARD_MEMBER_FAX" hidden="1">"c2100"</definedName>
    <definedName name="IQ_BOARD_MEMBER_MAIN_FAX" hidden="1">"c15174"</definedName>
    <definedName name="IQ_BOARD_MEMBER_MAIN_PHONE" hidden="1">"c15173"</definedName>
    <definedName name="IQ_BOARD_MEMBER_OFFICE" hidden="1">"c2098"</definedName>
    <definedName name="IQ_BOARD_MEMBER_OFFICE_ADDRESS" hidden="1">"c15172"</definedName>
    <definedName name="IQ_BOARD_MEMBER_PHONE" hidden="1">"c2099"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ONDRATING_FITCH" hidden="1">"c223"</definedName>
    <definedName name="IQ_BONDRATING_FITCH_DATE" hidden="1">"c241"</definedName>
    <definedName name="IQ_BONDRATING_SP" hidden="1">"c224"</definedName>
    <definedName name="IQ_BONDRATING_SP_DATE" hidden="1">"c242"</definedName>
    <definedName name="IQ_BOOK_VALUE" hidden="1">"IQ_BOOK_VALUE"</definedName>
    <definedName name="IQ_BROK_COMISSION" hidden="1">"c98"</definedName>
    <definedName name="IQ_BROK_COMMISSION" hidden="1">"c3514"</definedName>
    <definedName name="IQ_BROKER_DEPOSIT_LESS_THAN_100000_1_YR_LESS_FFIEC" hidden="1">"c15307"</definedName>
    <definedName name="IQ_BROKER_DEPOSIT_LESS_THAN_100000_1_YR_MORE_FFIEC" hidden="1">"c15308"</definedName>
    <definedName name="IQ_BROKER_DEPOSIT_LESS_THAN_100000_FFIEC" hidden="1">"c15306"</definedName>
    <definedName name="IQ_BROKER_DEPOSIT_MORE_THAN_100000_1_YR_LESS_FFIEC" hidden="1">"c15310"</definedName>
    <definedName name="IQ_BROKER_DEPOSIT_MORE_THAN_100000_1_YR_MORE_FFIEC" hidden="1">"c15311"</definedName>
    <definedName name="IQ_BROKER_DEPOSIT_MORE_THAN_100000_FFIEC" hidden="1">"c15309"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PRIMARY_GIC" hidden="1">"c15584"</definedName>
    <definedName name="IQ_BUS_SEG_PRIMARY_GIC_ABS" hidden="1">"c15572"</definedName>
    <definedName name="IQ_BUS_SEG_REV" hidden="1">"c4068"</definedName>
    <definedName name="IQ_BUS_SEG_REV_ABS" hidden="1">"c4090"</definedName>
    <definedName name="IQ_BUS_SEG_REV_TOTAL" hidden="1">"c4106"</definedName>
    <definedName name="IQ_BUS_SEG_SECONDARY_GIC" hidden="1">"c15585"</definedName>
    <definedName name="IQ_BUS_SEG_SECONDARY_GIC_ABS" hidden="1">"c15573"</definedName>
    <definedName name="IQ_BUSINESS_DESCRIPTION" hidden="1">"c322"</definedName>
    <definedName name="IQ_BV_ACT_OR_EST_REUT" hidden="1">"c5471"</definedName>
    <definedName name="IQ_BV_ACT_OR_EST_THOM" hidden="1">"c5308"</definedName>
    <definedName name="IQ_BV_EST_REUT" hidden="1">"c5403"</definedName>
    <definedName name="IQ_BV_EST_THOM" hidden="1">"c5147"</definedName>
    <definedName name="IQ_BV_HIGH_EST_REUT" hidden="1">"c5405"</definedName>
    <definedName name="IQ_BV_HIGH_EST_THOM" hidden="1">"c5149"</definedName>
    <definedName name="IQ_BV_LOW_EST_REUT" hidden="1">"c5406"</definedName>
    <definedName name="IQ_BV_LOW_EST_THOM" hidden="1">"c5150"</definedName>
    <definedName name="IQ_BV_MEDIAN_EST_REUT" hidden="1">"c5404"</definedName>
    <definedName name="IQ_BV_MEDIAN_EST_THOM" hidden="1">"c5148"</definedName>
    <definedName name="IQ_BV_NUM_EST_REUT" hidden="1">"c5407"</definedName>
    <definedName name="IQ_BV_NUM_EST_THOM" hidden="1">"c5151"</definedName>
    <definedName name="IQ_BV_OVER_SHARES" hidden="1">"c1349"</definedName>
    <definedName name="IQ_BV_SHARE" hidden="1">"c100"</definedName>
    <definedName name="IQ_BV_SHARE_ACT_OR_EST" hidden="1">"c3587"</definedName>
    <definedName name="IQ_BV_SHARE_ACT_OR_EST_REUT" hidden="1">"c5477"</definedName>
    <definedName name="IQ_BV_SHARE_EST" hidden="1">"c3541"</definedName>
    <definedName name="IQ_BV_SHARE_EST_REUT" hidden="1">"c5439"</definedName>
    <definedName name="IQ_BV_SHARE_HIGH_EST" hidden="1">"c3542"</definedName>
    <definedName name="IQ_BV_SHARE_HIGH_EST_REUT" hidden="1">"c5441"</definedName>
    <definedName name="IQ_BV_SHARE_LOW_EST" hidden="1">"c3543"</definedName>
    <definedName name="IQ_BV_SHARE_LOW_EST_REUT" hidden="1">"c5442"</definedName>
    <definedName name="IQ_BV_SHARE_MEDIAN_EST" hidden="1">"c3544"</definedName>
    <definedName name="IQ_BV_SHARE_MEDIAN_EST_REUT" hidden="1">"c5440"</definedName>
    <definedName name="IQ_BV_SHARE_NUM_EST" hidden="1">"c3539"</definedName>
    <definedName name="IQ_BV_SHARE_NUM_EST_REUT" hidden="1">"c5443"</definedName>
    <definedName name="IQ_BV_SHARE_STDDEV_EST" hidden="1">"c3540"</definedName>
    <definedName name="IQ_BV_SHARE_STDDEV_EST_REUT" hidden="1">"c5444"</definedName>
    <definedName name="IQ_BV_STDDEV_EST_REUT" hidden="1">"c5408"</definedName>
    <definedName name="IQ_BV_STDDEV_EST_THOM" hidden="1">"c5152"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REUT" hidden="1">"c5474"</definedName>
    <definedName name="IQ_CAPEX_BNK" hidden="1">"c110"</definedName>
    <definedName name="IQ_CAPEX_BR" hidden="1">"c111"</definedName>
    <definedName name="IQ_CAPEX_EST" hidden="1">"c3523"</definedName>
    <definedName name="IQ_CAPEX_EST_REUT" hidden="1">"c3969"</definedName>
    <definedName name="IQ_CAPEX_FIN" hidden="1">"c112"</definedName>
    <definedName name="IQ_CAPEX_GUIDANCE" hidden="1">"c4150"</definedName>
    <definedName name="IQ_CAPEX_HIGH_EST" hidden="1">"c3524"</definedName>
    <definedName name="IQ_CAPEX_HIGH_EST_REUT" hidden="1">"c3971"</definedName>
    <definedName name="IQ_CAPEX_HIGH_GUIDANCE" hidden="1">"c4180"</definedName>
    <definedName name="IQ_CAPEX_INS" hidden="1">"c113"</definedName>
    <definedName name="IQ_CAPEX_LOW_EST" hidden="1">"c3525"</definedName>
    <definedName name="IQ_CAPEX_LOW_EST_REUT" hidden="1">"c3972"</definedName>
    <definedName name="IQ_CAPEX_LOW_GUIDANCE" hidden="1">"c4220"</definedName>
    <definedName name="IQ_CAPEX_MEDIAN_EST" hidden="1">"c3526"</definedName>
    <definedName name="IQ_CAPEX_MEDIAN_EST_REUT" hidden="1">"c3970"</definedName>
    <definedName name="IQ_CAPEX_NUM_EST" hidden="1">"c3521"</definedName>
    <definedName name="IQ_CAPEX_NUM_EST_REUT" hidden="1">"c3973"</definedName>
    <definedName name="IQ_CAPEX_STDDEV_EST" hidden="1">"c3522"</definedName>
    <definedName name="IQ_CAPEX_STDDEV_EST_REUT" hidden="1">"c3974"</definedName>
    <definedName name="IQ_CAPEX_UTI" hidden="1">"c114"</definedName>
    <definedName name="IQ_CAPITAL_ALLOCATION_ADJUSTMENT_FOREIGN_FFIEC" hidden="1">"c15389"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"c1630"</definedName>
    <definedName name="IQ_CASH_BANKS_FOREIGN_COUNTRIES_DOM_FFIEC" hidden="1">"c15289"</definedName>
    <definedName name="IQ_CASH_COLLECTION_UNPOSTED_DEBITS_CURRENCY_FFIEC" hidden="1">"c15279"</definedName>
    <definedName name="IQ_CASH_COLLECTION_UNPOSTED_DEBITS_DOM_FFIEC" hidden="1">"c15286"</definedName>
    <definedName name="IQ_CASH_CONVERSION" hidden="1">"c117"</definedName>
    <definedName name="IQ_CASH_DEPOSITORY_INSTIT_US_DOM_FFIEC" hidden="1">"c15288"</definedName>
    <definedName name="IQ_CASH_DIVIDENDS_NET_INCOME_FDIC" hidden="1">"c6738"</definedName>
    <definedName name="IQ_CASH_DUE_BANKS" hidden="1">"c1351"</definedName>
    <definedName name="IQ_CASH_DUE_OTHER_FED_RESERVE_BANKS_DOM_FFIEC" hidden="1">"c15290"</definedName>
    <definedName name="IQ_CASH_DUE_OTHER_FED_RESERVE_BANKS_FFIEC" hidden="1">"c15284"</definedName>
    <definedName name="IQ_CASH_DUE_US_BRANCH_FOREIGN_BANK_FFIEC" hidden="1">"c15280"</definedName>
    <definedName name="IQ_CASH_EQUIV" hidden="1">"c118"</definedName>
    <definedName name="IQ_CASH_FINAN" hidden="1">"c119"</definedName>
    <definedName name="IQ_CASH_FLOW_ACT_OR_EST" hidden="1">"c4154"</definedName>
    <definedName name="IQ_CASH_FLOW_EST" hidden="1">"c4153"</definedName>
    <definedName name="IQ_CASH_FLOW_GUIDANCE" hidden="1">"c4155"</definedName>
    <definedName name="IQ_CASH_FLOW_HIGH_EST" hidden="1">"c4156"</definedName>
    <definedName name="IQ_CASH_FLOW_HIGH_GUIDANCE" hidden="1">"c4201"</definedName>
    <definedName name="IQ_CASH_FLOW_LOW_EST" hidden="1">"c4157"</definedName>
    <definedName name="IQ_CASH_FLOW_LOW_GUIDANCE" hidden="1">"c4241"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FOREIGN_BRANCH_OTHER_US_BANKS_FFIEC" hidden="1">"c15282"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OPER_EST" hidden="1">"c4163"</definedName>
    <definedName name="IQ_CASH_OPER_GUIDANCE" hidden="1">"c4165"</definedName>
    <definedName name="IQ_CASH_OPER_HIGH_EST" hidden="1">"c4166"</definedName>
    <definedName name="IQ_CASH_OPER_HIGH_GUIDANCE" hidden="1">"c4185"</definedName>
    <definedName name="IQ_CASH_OPER_LOW_EST" hidden="1">"c4244"</definedName>
    <definedName name="IQ_CASH_OPER_LOW_GUIDANCE" hidden="1">"c4225"</definedName>
    <definedName name="IQ_CASH_OPER_MEDIAN_EST" hidden="1">"c4245"</definedName>
    <definedName name="IQ_CASH_OPER_NUM_EST" hidden="1">"c4246"</definedName>
    <definedName name="IQ_CASH_OPER_STDDEV_EST" hidden="1">"c4247"</definedName>
    <definedName name="IQ_CASH_OTHER_BANKS_FOREIGN_COUNTRIES_FFIEC" hidden="1">"c15283"</definedName>
    <definedName name="IQ_CASH_OTHER_US_COMM_BANK_DEP_INSTIT_FFIEC" hidden="1">"c15281"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" hidden="1">"c4249"</definedName>
    <definedName name="IQ_CASH_ST_INVEST_GUIDANCE" hidden="1">"c4250"</definedName>
    <definedName name="IQ_CASH_ST_INVEST_HIGH_EST" hidden="1">"c4251"</definedName>
    <definedName name="IQ_CASH_ST_INVEST_HIGH_GUIDANCE" hidden="1">"c4195"</definedName>
    <definedName name="IQ_CASH_ST_INVEST_LOW_EST" hidden="1">"c4252"</definedName>
    <definedName name="IQ_CASH_ST_INVEST_LOW_GUIDANCE" hidden="1">"c4235"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STRUCTURED_PRODUCTS_AVAIL_SALE_FFIEC" hidden="1">"c15263"</definedName>
    <definedName name="IQ_CASH_STRUCTURED_PRODUCTS_FFIEC" hidden="1">"c15260"</definedName>
    <definedName name="IQ_CASH_TAXES" hidden="1">"c125"</definedName>
    <definedName name="IQ_CCE_FDIC" hidden="1">"c6296"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EO_ID" hidden="1">"c15210"</definedName>
    <definedName name="IQ_CEO_NAME" hidden="1">"c15209"</definedName>
    <definedName name="IQ_CERTIFIED_OFFICIAL_CHECKS_TRANS_ACCTS_FFIEC" hidden="1">"c15320"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O_ID" hidden="1">"c15212"</definedName>
    <definedName name="IQ_CFO_NAME" hidden="1">"c15211"</definedName>
    <definedName name="IQ_CFPS_ACT_OR_EST" hidden="1">"c2217"</definedName>
    <definedName name="IQ_CFPS_ACT_OR_EST_REUT" hidden="1">"c5463"</definedName>
    <definedName name="IQ_CFPS_DET_EST_REUT_CURRENCY_CURRENCY_REUT" hidden="1">"c12526"</definedName>
    <definedName name="IQ_CFPS_EST" hidden="1">"c1667"</definedName>
    <definedName name="IQ_CFPS_EST_REUT" hidden="1">"c3844"</definedName>
    <definedName name="IQ_CFPS_GUIDANCE" hidden="1">"c4256"</definedName>
    <definedName name="IQ_CFPS_HIGH_EST" hidden="1">"c1669"</definedName>
    <definedName name="IQ_CFPS_HIGH_EST_REUT" hidden="1">"c3846"</definedName>
    <definedName name="IQ_CFPS_HIGH_GUIDANCE" hidden="1">"c4167"</definedName>
    <definedName name="IQ_CFPS_LOW_EST" hidden="1">"c1670"</definedName>
    <definedName name="IQ_CFPS_LOW_EST_REUT" hidden="1">"c3847"</definedName>
    <definedName name="IQ_CFPS_LOW_GUIDANCE" hidden="1">"c4207"</definedName>
    <definedName name="IQ_CFPS_MEDIAN_EST" hidden="1">"c1668"</definedName>
    <definedName name="IQ_CFPS_MEDIAN_EST_REUT" hidden="1">"c3845"</definedName>
    <definedName name="IQ_CFPS_NUM_EST" hidden="1">"c1671"</definedName>
    <definedName name="IQ_CFPS_NUM_EST_REUT" hidden="1">"c3848"</definedName>
    <definedName name="IQ_CFPS_STDDEV_EST" hidden="1">"c1672"</definedName>
    <definedName name="IQ_CFPS_STDDEV_EST_REUT" hidden="1">"c3849"</definedName>
    <definedName name="IQ_CH" hidden="1">110000</definedName>
    <definedName name="IQ_CHAIRMAN_ID" hidden="1">"c15218"</definedName>
    <definedName name="IQ_CHAIRMAN_NAME" hidden="1">"c15217"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F_TAX_TOTAL" hidden="1">"c15557"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ASSB_OUTSTANDING_BS_DATE" hidden="1">"c1972"</definedName>
    <definedName name="IQ_CLASSB_OUTSTANDING_FILING_DATE" hidden="1">"c1974"</definedName>
    <definedName name="IQ_CLOSED_END_SEC_1_4_RESIDENT_CHARGE_OFFS_FFIEC" hidden="1">"c15397"</definedName>
    <definedName name="IQ_CLOSED_END_SEC_1_4_RESIDENT_DUE_30_89_FFIEC" hidden="1">"c15413"</definedName>
    <definedName name="IQ_CLOSED_END_SEC_1_4_RESIDENT_DUE_90_FFIEC" hidden="1">"c15417"</definedName>
    <definedName name="IQ_CLOSED_END_SEC_1_4_RESIDENT_NON_ACCRUAL_FFIEC" hidden="1">"c15460"</definedName>
    <definedName name="IQ_CLOSED_END_SEC_1_4_RESIDENT_RECOV_FFIEC" hidden="1">"c15398"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_BANKS_OTHER_DEP_INST_US_TRANS_ACCTS_FFIEC" hidden="1">"c15317"</definedName>
    <definedName name="IQ_COMM_BANKS_OTHER_INST_US_NON_TRANS_ACCTS_FFIEC" hidden="1">"c15325"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DOM_QUARTERLY_AVG_FFIEC" hidden="1">"c15478"</definedName>
    <definedName name="IQ_COMMERCIAL_INDUSTRIAL_LOANS_NET_FDIC" hidden="1">"c6317"</definedName>
    <definedName name="IQ_COMMERCIAL_INDUSTRIAL_NET_CHARGE_OFFS_FDIC" hidden="1">"c6636"</definedName>
    <definedName name="IQ_COMMERCIAL_INDUSTRIAL_NON_US_DUE_30_89_FFIEC" hidden="1">"c15415"</definedName>
    <definedName name="IQ_COMMERCIAL_INDUSTRIAL_NON_US_DUE_90_FFIEC" hidden="1">"c15419"</definedName>
    <definedName name="IQ_COMMERCIAL_INDUSTRIAL_NON_US_NON_ACCRUAL_FFIEC" hidden="1">"c15464"</definedName>
    <definedName name="IQ_COMMERCIAL_INDUSTRIAL_RECOVERIES_FDIC" hidden="1">"c6617"</definedName>
    <definedName name="IQ_COMMERCIAL_INDUSTRIAL_TOTAL_LOANS_FOREIGN_FDIC" hidden="1">"c6451"</definedName>
    <definedName name="IQ_COMMERCIAL_INDUSTRIAL_US_DUE_30_89_FFIEC" hidden="1">"c15414"</definedName>
    <definedName name="IQ_COMMERCIAL_INDUSTRIAL_US_DUE_90_FFIEC" hidden="1">"c15418"</definedName>
    <definedName name="IQ_COMMERCIAL_INDUSTRIAL_US_NON_ACCRUAL_FFIEC" hidden="1">"c15463"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ICKER_NO_EXCH" hidden="1">"c15490"</definedName>
    <definedName name="IQ_COMPANY_TYPE" hidden="1">"c2096"</definedName>
    <definedName name="IQ_COMPANY_WEBSITE" hidden="1">"c220"</definedName>
    <definedName name="IQ_COMPANY_ZIP" hidden="1">"c221"</definedName>
    <definedName name="IQ_CONSOLIDATED_NI_FOREIGN_FFIEC" hidden="1">"c15396"</definedName>
    <definedName name="IQ_CONSTRUCTION_DEV_LOANS_FDIC" hidden="1">"c6313"</definedName>
    <definedName name="IQ_CONSTRUCTION_LAND_DEV_DOM_FFIEC" hidden="1">"c15267"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DEBT" hidden="1">"c224"</definedName>
    <definedName name="IQ_CONVERT_PCT" hidden="1">"c2537"</definedName>
    <definedName name="IQ_CONVEXITY" hidden="1">"c2182"</definedName>
    <definedName name="IQ_CONVEYED_TO_OTHERS_FDIC" hidden="1">"c6534"</definedName>
    <definedName name="IQ_COO_ID" hidden="1">"c15222"</definedName>
    <definedName name="IQ_COO_NAME" hidden="1">"c15221"</definedName>
    <definedName name="IQ_CORE_CAPITAL_RATIO_FDIC" hidden="1">"c6745"</definedName>
    <definedName name="IQ_CORE_TIER_ONE_CAPITAL" hidden="1">"c15244"</definedName>
    <definedName name="IQ_CORE_TIER_ONE_CAPITAL_RATIO" hidden="1">"c15240"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" hidden="1">"c2936"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AGE_RATIO" hidden="1">"c15243"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CHARGE_OFFS_FDIC" hidden="1">"c6652"</definedName>
    <definedName name="IQ_CREDIT_CARD_FEE" hidden="1">"c231"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DOM_QUARTERLY_AVG_FFIEC" hidden="1">"c15480"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_FFIEC" hidden="1">"c15287"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FOREIGN_BANKS_FOREIGN_AGENCIES_FFIEC" hidden="1">"c15344"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_ASSETS_FAIR_VALUE_TOT_FFIEC" hidden="1">"c15403"</definedName>
    <definedName name="IQ_DERIVATIVE_ASSETS_LEVEL_1_FFIEC" hidden="1">"c15425"</definedName>
    <definedName name="IQ_DERIVATIVE_ASSETS_LEVEL_2_FFIEC" hidden="1">"c15438"</definedName>
    <definedName name="IQ_DERIVATIVE_ASSETS_LEVEL_3_FFIEC" hidden="1">"c15451"</definedName>
    <definedName name="IQ_DERIVATIVE_LIABILITIES_FAIR_VALUE_TOT_FFIEC" hidden="1">"c15407"</definedName>
    <definedName name="IQ_DERIVATIVE_LIABILITIES_LEVEL_1_FFIEC" hidden="1">"c15429"</definedName>
    <definedName name="IQ_DERIVATIVE_LIABILITIES_LEVEL_2_FFIEC" hidden="1">"c15442"</definedName>
    <definedName name="IQ_DERIVATIVE_LIABILITIES_LEVEL_3_FFIEC" hidden="1">"c15455"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 hidden="1">"c326"</definedName>
    <definedName name="IQ_DILUT_WEIGHT_EST" hidden="1">"c4269"</definedName>
    <definedName name="IQ_DILUT_WEIGHT_GUIDANCE" hidden="1">"c4270"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RECT_AH_EARNED" hidden="1">"c2740"</definedName>
    <definedName name="IQ_DIRECT_EARNED" hidden="1">"c2730"</definedName>
    <definedName name="IQ_DIRECT_INDIRECT_RE_VENTURES_FFIEC" hidden="1">"c15266"</definedName>
    <definedName name="IQ_DIRECT_INDIRECT_RE_VENTURES_UNCONSOL_FFIEC" hidden="1">"c15274"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EST" hidden="1">"c4277"</definedName>
    <definedName name="IQ_DISTRIBUTABLE_CASH_GUIDANCE" hidden="1">"c4279"</definedName>
    <definedName name="IQ_DISTRIBUTABLE_CASH_HIGH_EST" hidden="1">"c4280"</definedName>
    <definedName name="IQ_DISTRIBUTABLE_CASH_HIGH_GUIDANCE" hidden="1">"c4198"</definedName>
    <definedName name="IQ_DISTRIBUTABLE_CASH_LOW_EST" hidden="1">"c4281"</definedName>
    <definedName name="IQ_DISTRIBUTABLE_CASH_LOW_GUIDANCE" hidden="1">"c4238"</definedName>
    <definedName name="IQ_DISTRIBUTABLE_CASH_MEDIAN_EST" hidden="1">"c4282"</definedName>
    <definedName name="IQ_DISTRIBUTABLE_CASH_NUM_EST" hidden="1">"c4283"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EST" hidden="1">"c4285"</definedName>
    <definedName name="IQ_DISTRIBUTABLE_CASH_SHARE_GUIDANCE" hidden="1">"c4287"</definedName>
    <definedName name="IQ_DISTRIBUTABLE_CASH_SHARE_HIGH_EST" hidden="1">"c4288"</definedName>
    <definedName name="IQ_DISTRIBUTABLE_CASH_SHARE_HIGH_GUIDANCE" hidden="1">"c4199"</definedName>
    <definedName name="IQ_DISTRIBUTABLE_CASH_SHARE_LOW_EST" hidden="1">"c4289"</definedName>
    <definedName name="IQ_DISTRIBUTABLE_CASH_SHARE_LOW_GUIDANCE" hidden="1">"c4239"</definedName>
    <definedName name="IQ_DISTRIBUTABLE_CASH_SHARE_MEDIAN_EST" hidden="1">"c4290"</definedName>
    <definedName name="IQ_DISTRIBUTABLE_CASH_SHARE_NUM_EST" hidden="1">"c4291"</definedName>
    <definedName name="IQ_DISTRIBUTABLE_CASH_SHARE_STDDEV_EST" hidden="1">"c4292"</definedName>
    <definedName name="IQ_DISTRIBUTABLE_CASH_STDDEV_EST" hidden="1">"c4294"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REUT" hidden="1">"c5464"</definedName>
    <definedName name="IQ_DPS_EST" hidden="1">"c1674"</definedName>
    <definedName name="IQ_DPS_EST_BOTTOM_UP" hidden="1">"c5493"</definedName>
    <definedName name="IQ_DPS_EST_BOTTOM_UP_REUT" hidden="1">"c5501"</definedName>
    <definedName name="IQ_DPS_EST_REUT" hidden="1">"c3851"</definedName>
    <definedName name="IQ_DPS_GUIDANCE" hidden="1">"c4302"</definedName>
    <definedName name="IQ_DPS_HIGH_EST" hidden="1">"c1676"</definedName>
    <definedName name="IQ_DPS_HIGH_EST_REUT" hidden="1">"c3853"</definedName>
    <definedName name="IQ_DPS_HIGH_GUIDANCE" hidden="1">"c4168"</definedName>
    <definedName name="IQ_DPS_LOW_EST" hidden="1">"c1677"</definedName>
    <definedName name="IQ_DPS_LOW_EST_REUT" hidden="1">"c3854"</definedName>
    <definedName name="IQ_DPS_LOW_GUIDANCE" hidden="1">"c4208"</definedName>
    <definedName name="IQ_DPS_MEDIAN_EST" hidden="1">"c1675"</definedName>
    <definedName name="IQ_DPS_MEDIAN_EST_REUT" hidden="1">"c3852"</definedName>
    <definedName name="IQ_DPS_NUM_EST" hidden="1">"c1678"</definedName>
    <definedName name="IQ_DPS_NUM_EST_REUT" hidden="1">"c3855"</definedName>
    <definedName name="IQ_DPS_STDDEV_EST" hidden="1">"c1679"</definedName>
    <definedName name="IQ_DPS_STDDEV_EST_REUT" hidden="1">"c3856"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ARNINGS_COVERAGE_NET_CHARGE_OFFS_FDIC" hidden="1">"c6735"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REUT" hidden="1">"c5465"</definedName>
    <definedName name="IQ_EBIT_EQ_INC" hidden="1">"c3498"</definedName>
    <definedName name="IQ_EBIT_EQ_INC_EXCL_SBC" hidden="1">"c3502"</definedName>
    <definedName name="IQ_EBIT_EST" hidden="1">"c1681"</definedName>
    <definedName name="IQ_EBIT_EST_REUT" hidden="1">"c5333"</definedName>
    <definedName name="IQ_EBIT_EXCL_SBC" hidden="1">"c3082"</definedName>
    <definedName name="IQ_EBIT_GROWTH_1" hidden="1">"c157"</definedName>
    <definedName name="IQ_EBIT_GROWTH_2" hidden="1">"c161"</definedName>
    <definedName name="IQ_EBIT_GUIDANCE" hidden="1">"c4303"</definedName>
    <definedName name="IQ_EBIT_GW_ACT_OR_EST" hidden="1">"c4306"</definedName>
    <definedName name="IQ_EBIT_GW_EST" hidden="1">"c4305"</definedName>
    <definedName name="IQ_EBIT_GW_GUIDANCE" hidden="1">"c4307"</definedName>
    <definedName name="IQ_EBIT_GW_HIGH_EST" hidden="1">"c4308"</definedName>
    <definedName name="IQ_EBIT_GW_HIGH_GUIDANCE" hidden="1">"c4171"</definedName>
    <definedName name="IQ_EBIT_GW_LOW_EST" hidden="1">"c4309"</definedName>
    <definedName name="IQ_EBIT_GW_LOW_GUIDANCE" hidden="1">"c4211"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 hidden="1">"c1683"</definedName>
    <definedName name="IQ_EBIT_HIGH_EST_REUT" hidden="1">"c5335"</definedName>
    <definedName name="IQ_EBIT_HIGH_GUIDANCE" hidden="1">"c4172"</definedName>
    <definedName name="IQ_EBIT_INT" hidden="1">"c360"</definedName>
    <definedName name="IQ_EBIT_LOW_EST" hidden="1">"c1684"</definedName>
    <definedName name="IQ_EBIT_LOW_EST_REUT" hidden="1">"c5336"</definedName>
    <definedName name="IQ_EBIT_LOW_GUIDANCE" hidden="1">"c4212"</definedName>
    <definedName name="IQ_EBIT_MARGIN" hidden="1">"c359"</definedName>
    <definedName name="IQ_EBIT_MEDIAN_EST" hidden="1">"c1682"</definedName>
    <definedName name="IQ_EBIT_MEDIAN_EST_REUT" hidden="1">"c5334"</definedName>
    <definedName name="IQ_EBIT_NUM_EST" hidden="1">"c1685"</definedName>
    <definedName name="IQ_EBIT_NUM_EST_REUT" hidden="1">"c5337"</definedName>
    <definedName name="IQ_EBIT_OVER_IE" hidden="1">"c1369"</definedName>
    <definedName name="IQ_EBIT_SBC_ACT_OR_EST" hidden="1">"c4316"</definedName>
    <definedName name="IQ_EBIT_SBC_EST" hidden="1">"c4315"</definedName>
    <definedName name="IQ_EBIT_SBC_GUIDANCE" hidden="1">"c4317"</definedName>
    <definedName name="IQ_EBIT_SBC_GW_ACT_OR_EST" hidden="1">"c4320"</definedName>
    <definedName name="IQ_EBIT_SBC_GW_EST" hidden="1">"c4319"</definedName>
    <definedName name="IQ_EBIT_SBC_GW_GUIDANCE" hidden="1">"c4321"</definedName>
    <definedName name="IQ_EBIT_SBC_GW_HIGH_EST" hidden="1">"c4322"</definedName>
    <definedName name="IQ_EBIT_SBC_GW_HIGH_GUIDANCE" hidden="1">"c4193"</definedName>
    <definedName name="IQ_EBIT_SBC_GW_LOW_EST" hidden="1">"c4323"</definedName>
    <definedName name="IQ_EBIT_SBC_GW_LOW_GUIDANCE" hidden="1">"c4233"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HIGH_GUIDANCE" hidden="1">"c4192"</definedName>
    <definedName name="IQ_EBIT_SBC_LOW_EST" hidden="1">"c4329"</definedName>
    <definedName name="IQ_EBIT_SBC_LOW_GUIDANCE" hidden="1">"c4232"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 hidden="1">"c1686"</definedName>
    <definedName name="IQ_EBIT_STDDEV_EST_REUT" hidden="1">"c5338"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REUT" hidden="1">"c5462"</definedName>
    <definedName name="IQ_EBITDA_CAPEX_INT" hidden="1">"c368"</definedName>
    <definedName name="IQ_EBITDA_CAPEX_OVER_TOTAL_IE" hidden="1">"c1370"</definedName>
    <definedName name="IQ_EBITDA_DET_EST_REUT_CURRENCY_CURRENCY_REUT" hidden="1">"c12529"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GROWTH_1" hidden="1">"c156"</definedName>
    <definedName name="IQ_EBITDA_GROWTH_2" hidden="1">"c160"</definedName>
    <definedName name="IQ_EBITDA_GUIDANCE" hidden="1">"c4334"</definedName>
    <definedName name="IQ_EBITDA_HIGH_EST" hidden="1">"c370"</definedName>
    <definedName name="IQ_EBITDA_HIGH_EST_REUT" hidden="1">"c3642"</definedName>
    <definedName name="IQ_EBITDA_HIGH_GUIDANCE" hidden="1">"c4170"</definedName>
    <definedName name="IQ_EBITDA_INT" hidden="1">"c373"</definedName>
    <definedName name="IQ_EBITDA_LOW_EST" hidden="1">"c371"</definedName>
    <definedName name="IQ_EBITDA_LOW_EST_REUT" hidden="1">"c3643"</definedName>
    <definedName name="IQ_EBITDA_LOW_GUIDANCE" hidden="1">"c4210"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O_EST" hidden="1">"c267"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BC_EST" hidden="1">"c4336"</definedName>
    <definedName name="IQ_EBITDA_SBC_GUIDANCE" hidden="1">"c4338"</definedName>
    <definedName name="IQ_EBITDA_SBC_HIGH_EST" hidden="1">"c4339"</definedName>
    <definedName name="IQ_EBITDA_SBC_HIGH_GUIDANCE" hidden="1">"c4194"</definedName>
    <definedName name="IQ_EBITDA_SBC_LOW_EST" hidden="1">"c4340"</definedName>
    <definedName name="IQ_EBITDA_SBC_LOW_GUIDANCE" hidden="1">"c4234"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GAAP_GUIDANCE" hidden="1">"c4345"</definedName>
    <definedName name="IQ_EBT_GAAP_HIGH_GUIDANCE" hidden="1">"c4174"</definedName>
    <definedName name="IQ_EBT_GAAP_LOW_GUIDANCE" hidden="1">"c4214"</definedName>
    <definedName name="IQ_EBT_GUIDANCE" hidden="1">"c4346"</definedName>
    <definedName name="IQ_EBT_GW_GUIDANCE" hidden="1">"c4347"</definedName>
    <definedName name="IQ_EBT_GW_HIGH_GUIDANCE" hidden="1">"c4175"</definedName>
    <definedName name="IQ_EBT_GW_LOW_GUIDANCE" hidden="1">"c4215"</definedName>
    <definedName name="IQ_EBT_HIGH_GUIDANCE" hidden="1">"c4173"</definedName>
    <definedName name="IQ_EBT_INCL_MARGIN" hidden="1">"c387"</definedName>
    <definedName name="IQ_EBT_INS" hidden="1">"c388"</definedName>
    <definedName name="IQ_EBT_LOW_GUIDANCE" hidden="1">"c4213"</definedName>
    <definedName name="IQ_EBT_RE" hidden="1">"c6215"</definedName>
    <definedName name="IQ_EBT_REIT" hidden="1">"c389"</definedName>
    <definedName name="IQ_EBT_SBC_ACT_OR_EST" hidden="1">"c4350"</definedName>
    <definedName name="IQ_EBT_SBC_EST" hidden="1">"c4349"</definedName>
    <definedName name="IQ_EBT_SBC_GUIDANCE" hidden="1">"c4351"</definedName>
    <definedName name="IQ_EBT_SBC_GW_ACT_OR_EST" hidden="1">"c4354"</definedName>
    <definedName name="IQ_EBT_SBC_GW_EST" hidden="1">"c4353"</definedName>
    <definedName name="IQ_EBT_SBC_GW_GUIDANCE" hidden="1">"c4355"</definedName>
    <definedName name="IQ_EBT_SBC_GW_HIGH_EST" hidden="1">"c4356"</definedName>
    <definedName name="IQ_EBT_SBC_GW_HIGH_GUIDANCE" hidden="1">"c4191"</definedName>
    <definedName name="IQ_EBT_SBC_GW_LOW_EST" hidden="1">"c4357"</definedName>
    <definedName name="IQ_EBT_SBC_GW_LOW_GUIDANCE" hidden="1">"c4231"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HIGH_GUIDANCE" hidden="1">"c4190"</definedName>
    <definedName name="IQ_EBT_SBC_LOW_EST" hidden="1">"c4363"</definedName>
    <definedName name="IQ_EBT_SBC_LOW_GUIDANCE" hidden="1">"c4230"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LIMINATIONS_CONSOL_OFFICES_FOREIGN_FFIEC" hidden="1">"c15395"</definedName>
    <definedName name="IQ_EMPLOYEES" hidden="1">"c392"</definedName>
    <definedName name="IQ_ENTERPRISE_VALUE" hidden="1">"c1348"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REUT" hidden="1">"c5460"</definedName>
    <definedName name="IQ_EPS_EST" hidden="1">"c399"</definedName>
    <definedName name="IQ_EPS_EST_1" hidden="1">"IQ_EPS_EST_1"</definedName>
    <definedName name="IQ_EPS_EST_BOTTOM_UP" hidden="1">"c5489"</definedName>
    <definedName name="IQ_EPS_EST_BOTTOM_UP_REUT" hidden="1">"c5497"</definedName>
    <definedName name="IQ_EPS_EST_REUT" hidden="1">"c5453"</definedName>
    <definedName name="IQ_EPS_EXCL_GUIDANCE" hidden="1">"c4368"</definedName>
    <definedName name="IQ_EPS_EXCL_HIGH_GUIDANCE" hidden="1">"c4369"</definedName>
    <definedName name="IQ_EPS_EXCL_LOW_GUIDANCE" hidden="1">"c4204"</definedName>
    <definedName name="IQ_EPS_GAAP_GUIDANCE" hidden="1">"c4370"</definedName>
    <definedName name="IQ_EPS_GAAP_HIGH_GUIDANCE" hidden="1">"c4371"</definedName>
    <definedName name="IQ_EPS_GAAP_LOW_GUIDANCE" hidden="1">"c4205"</definedName>
    <definedName name="IQ_EPS_GW_ACT_OR_EST" hidden="1">"c2223"</definedName>
    <definedName name="IQ_EPS_GW_ACT_OR_EST_REUT" hidden="1">"c5469"</definedName>
    <definedName name="IQ_EPS_GW_DET_EST_REUT_CURRENCY_CURRENCY_REUT" hidden="1">"c12533"</definedName>
    <definedName name="IQ_EPS_GW_EST" hidden="1">"c1737"</definedName>
    <definedName name="IQ_EPS_GW_EST_BOTTOM_UP" hidden="1">"c5491"</definedName>
    <definedName name="IQ_EPS_GW_EST_BOTTOM_UP_REUT" hidden="1">"c5499"</definedName>
    <definedName name="IQ_EPS_GW_EST_REUT" hidden="1">"c5389"</definedName>
    <definedName name="IQ_EPS_GW_GUIDANCE" hidden="1">"c4372"</definedName>
    <definedName name="IQ_EPS_GW_HIGH_EST" hidden="1">"c1739"</definedName>
    <definedName name="IQ_EPS_GW_HIGH_EST_REUT" hidden="1">"c5391"</definedName>
    <definedName name="IQ_EPS_GW_HIGH_GUIDANCE" hidden="1">"c4373"</definedName>
    <definedName name="IQ_EPS_GW_LOW_EST" hidden="1">"c1740"</definedName>
    <definedName name="IQ_EPS_GW_LOW_EST_REUT" hidden="1">"c5392"</definedName>
    <definedName name="IQ_EPS_GW_LOW_GUIDANCE" hidden="1">"c4206"</definedName>
    <definedName name="IQ_EPS_GW_MEDIAN_EST" hidden="1">"c1738"</definedName>
    <definedName name="IQ_EPS_GW_MEDIAN_EST_REUT" hidden="1">"c5390"</definedName>
    <definedName name="IQ_EPS_GW_NUM_EST" hidden="1">"c1741"</definedName>
    <definedName name="IQ_EPS_GW_NUM_EST_REUT" hidden="1">"c5393"</definedName>
    <definedName name="IQ_EPS_GW_STDDEV_EST" hidden="1">"c1742"</definedName>
    <definedName name="IQ_EPS_GW_STDDEV_EST_REUT" hidden="1">"c5394"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_EST" hidden="1">"c271"</definedName>
    <definedName name="IQ_EPS_NORM" hidden="1">"c1902"</definedName>
    <definedName name="IQ_EPS_NORM_EST" hidden="1">"c2226"</definedName>
    <definedName name="IQ_EPS_NORM_EST_BOTTOM_UP" hidden="1">"c5490"</definedName>
    <definedName name="IQ_EPS_NORM_EST_BOTTOM_UP_REUT" hidden="1">"c5498"</definedName>
    <definedName name="IQ_EPS_NORM_EST_REUT" hidden="1">"c5326"</definedName>
    <definedName name="IQ_EPS_NORM_HIGH_EST" hidden="1">"c2228"</definedName>
    <definedName name="IQ_EPS_NORM_HIGH_EST_REUT" hidden="1">"c5328"</definedName>
    <definedName name="IQ_EPS_NORM_LOW_EST" hidden="1">"c2229"</definedName>
    <definedName name="IQ_EPS_NORM_LOW_EST_REUT" hidden="1">"c5329"</definedName>
    <definedName name="IQ_EPS_NORM_MEDIAN_EST" hidden="1">"c2227"</definedName>
    <definedName name="IQ_EPS_NORM_MEDIAN_EST_REUT" hidden="1">"c5327"</definedName>
    <definedName name="IQ_EPS_NORM_NUM_EST" hidden="1">"c2230"</definedName>
    <definedName name="IQ_EPS_NORM_NUM_EST_REUT" hidden="1">"c5330"</definedName>
    <definedName name="IQ_EPS_NORM_STDDEV_EST" hidden="1">"c2231"</definedName>
    <definedName name="IQ_EPS_NORM_STDDEV_EST_REUT" hidden="1">"c5331"</definedName>
    <definedName name="IQ_EPS_NUM_EST" hidden="1">"c402"</definedName>
    <definedName name="IQ_EPS_NUM_EST_REUT" hidden="1">"c5451"</definedName>
    <definedName name="IQ_EPS_REPORT_ACT_OR_EST" hidden="1">"c2224"</definedName>
    <definedName name="IQ_EPS_REPORT_ACT_OR_EST_REUT" hidden="1">"c5470"</definedName>
    <definedName name="IQ_EPS_REPORTED_EST" hidden="1">"c1744"</definedName>
    <definedName name="IQ_EPS_REPORTED_EST_BOTTOM_UP" hidden="1">"c5492"</definedName>
    <definedName name="IQ_EPS_REPORTED_EST_BOTTOM_UP_REUT" hidden="1">"c5500"</definedName>
    <definedName name="IQ_EPS_REPORTED_EST_REUT" hidden="1">"c5396"</definedName>
    <definedName name="IQ_EPS_REPORTED_HIGH_EST" hidden="1">"c1746"</definedName>
    <definedName name="IQ_EPS_REPORTED_HIGH_EST_REUT" hidden="1">"c5398"</definedName>
    <definedName name="IQ_EPS_REPORTED_LOW_EST" hidden="1">"c1747"</definedName>
    <definedName name="IQ_EPS_REPORTED_LOW_EST_REUT" hidden="1">"c5399"</definedName>
    <definedName name="IQ_EPS_REPORTED_MEDIAN_EST" hidden="1">"c1745"</definedName>
    <definedName name="IQ_EPS_REPORTED_MEDIAN_EST_REUT" hidden="1">"c5397"</definedName>
    <definedName name="IQ_EPS_REPORTED_NUM_EST" hidden="1">"c1748"</definedName>
    <definedName name="IQ_EPS_REPORTED_NUM_EST_REUT" hidden="1">"c5400"</definedName>
    <definedName name="IQ_EPS_REPORTED_STDDEV_EST" hidden="1">"c1749"</definedName>
    <definedName name="IQ_EPS_REPORTED_STDDEV_EST_REUT" hidden="1">"c5401"</definedName>
    <definedName name="IQ_EPS_SBC_ACT_OR_EST" hidden="1">"c4376"</definedName>
    <definedName name="IQ_EPS_SBC_EST" hidden="1">"c4375"</definedName>
    <definedName name="IQ_EPS_SBC_GUIDANCE" hidden="1">"c4377"</definedName>
    <definedName name="IQ_EPS_SBC_GW_ACT_OR_EST" hidden="1">"c4380"</definedName>
    <definedName name="IQ_EPS_SBC_GW_EST" hidden="1">"c4379"</definedName>
    <definedName name="IQ_EPS_SBC_GW_GUIDANCE" hidden="1">"c4381"</definedName>
    <definedName name="IQ_EPS_SBC_GW_HIGH_EST" hidden="1">"c4382"</definedName>
    <definedName name="IQ_EPS_SBC_GW_HIGH_GUIDANCE" hidden="1">"c4189"</definedName>
    <definedName name="IQ_EPS_SBC_GW_LOW_EST" hidden="1">"c4383"</definedName>
    <definedName name="IQ_EPS_SBC_GW_LOW_GUIDANCE" hidden="1">"c4229"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HIGH_GUIDANCE" hidden="1">"c4188"</definedName>
    <definedName name="IQ_EPS_SBC_LOW_EST" hidden="1">"c4389"</definedName>
    <definedName name="IQ_EPS_SBC_LOW_GUIDANCE" hidden="1">"c4228"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 hidden="1">"c403"</definedName>
    <definedName name="IQ_EPS_STDDEV_EST_REUT" hidden="1">"c5452"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LIST" hidden="1">"c15158"</definedName>
    <definedName name="IQ_EQUITY_METHOD" hidden="1">"c404"</definedName>
    <definedName name="IQ_EQUITY_SECURITIES_FDIC" hidden="1">"c6304"</definedName>
    <definedName name="IQ_EQUITY_SECURITIES_QUARTERLY_AVG_FFIEC" hidden="1">"c15474"</definedName>
    <definedName name="IQ_EQUITY_SECURITY_EXPOSURES_FDIC" hidden="1">"c6664"</definedName>
    <definedName name="IQ_EQUITY_TIER_ONE_CAPITAL" hidden="1">"c15246"</definedName>
    <definedName name="IQ_EQUITY_TIER_ONE_CAPITAL_RATIO" hidden="1">"c15242"</definedName>
    <definedName name="IQ_EQV_OVER_BV" hidden="1">"c1596"</definedName>
    <definedName name="IQ_EQV_OVER_LTM_PRETAX_INC" hidden="1">"c1390"</definedName>
    <definedName name="IQ_ESOP_DEBT" hidden="1">"c1597"</definedName>
    <definedName name="IQ_EST_ACT_BV_REUT" hidden="1">"c5409"</definedName>
    <definedName name="IQ_EST_ACT_BV_SHARE" hidden="1">"c3549"</definedName>
    <definedName name="IQ_EST_ACT_BV_SHARE_REUT" hidden="1">"c5445"</definedName>
    <definedName name="IQ_EST_ACT_BV_THOM" hidden="1">"c5153"</definedName>
    <definedName name="IQ_EST_ACT_CAPEX" hidden="1">"c3546"</definedName>
    <definedName name="IQ_EST_ACT_CAPEX_REUT" hidden="1">"c3975"</definedName>
    <definedName name="IQ_EST_ACT_CASH_FLOW" hidden="1">"c4394"</definedName>
    <definedName name="IQ_EST_ACT_CASH_OPER" hidden="1">"c4395"</definedName>
    <definedName name="IQ_EST_ACT_CFPS" hidden="1">"c1673"</definedName>
    <definedName name="IQ_EST_ACT_CFPS_REUT" hidden="1">"c3850"</definedName>
    <definedName name="IQ_EST_ACT_DISTRIBUTABLE_CASH" hidden="1">"c4396"</definedName>
    <definedName name="IQ_EST_ACT_DISTRIBUTABLE_CASH_SHARE" hidden="1">"c4397"</definedName>
    <definedName name="IQ_EST_ACT_DPS" hidden="1">"c1680"</definedName>
    <definedName name="IQ_EST_ACT_DPS_REUT" hidden="1">"c3857"</definedName>
    <definedName name="IQ_EST_ACT_EBIT" hidden="1">"c1687"</definedName>
    <definedName name="IQ_EST_ACT_EBIT_GW" hidden="1">"c4398"</definedName>
    <definedName name="IQ_EST_ACT_EBIT_REUT" hidden="1">"c5339"</definedName>
    <definedName name="IQ_EST_ACT_EBIT_SBC" hidden="1">"c4399"</definedName>
    <definedName name="IQ_EST_ACT_EBIT_SBC_GW" hidden="1">"c4400"</definedName>
    <definedName name="IQ_EST_ACT_EBITDA" hidden="1">"c1664"</definedName>
    <definedName name="IQ_EST_ACT_EBITDA_REUT" hidden="1">"c3836"</definedName>
    <definedName name="IQ_EST_ACT_EBITDA_SBC" hidden="1">"c4401"</definedName>
    <definedName name="IQ_EST_ACT_EBT_SBC" hidden="1">"c4402"</definedName>
    <definedName name="IQ_EST_ACT_EBT_SBC_GW" hidden="1">"c4403"</definedName>
    <definedName name="IQ_EST_ACT_EPS" hidden="1">"c1648"</definedName>
    <definedName name="IQ_EST_ACT_EPS_GW" hidden="1">"c1743"</definedName>
    <definedName name="IQ_EST_ACT_EPS_GW_REUT" hidden="1">"c5395"</definedName>
    <definedName name="IQ_EST_ACT_EPS_NORM" hidden="1">"c2232"</definedName>
    <definedName name="IQ_EST_ACT_EPS_NORM_REUT" hidden="1">"c5332"</definedName>
    <definedName name="IQ_EST_ACT_EPS_REPORTED" hidden="1">"c1750"</definedName>
    <definedName name="IQ_EST_ACT_EPS_REPORTED_REUT" hidden="1">"c5402"</definedName>
    <definedName name="IQ_EST_ACT_EPS_REUT" hidden="1">"c5457"</definedName>
    <definedName name="IQ_EST_ACT_EPS_SBC" hidden="1">"c4404"</definedName>
    <definedName name="IQ_EST_ACT_EPS_SBC_GW" hidden="1">"c4405"</definedName>
    <definedName name="IQ_EST_ACT_FFO" hidden="1">"c1666"</definedName>
    <definedName name="IQ_EST_ACT_FFO_ADJ" hidden="1">"c4406"</definedName>
    <definedName name="IQ_EST_ACT_FFO_REUT" hidden="1">"c3843"</definedName>
    <definedName name="IQ_EST_ACT_FFO_SHARE" hidden="1">"c4407"</definedName>
    <definedName name="IQ_EST_ACT_FFO_SHARE_SHARE_REUT" hidden="1">"c3843"</definedName>
    <definedName name="IQ_EST_ACT_GROSS_MARGIN" hidden="1">"c5553"</definedName>
    <definedName name="IQ_EST_ACT_MAINT_CAPEX" hidden="1">"c4408"</definedName>
    <definedName name="IQ_EST_ACT_NAV" hidden="1">"c1757"</definedName>
    <definedName name="IQ_EST_ACT_NET_DEBT" hidden="1">"c3545"</definedName>
    <definedName name="IQ_EST_ACT_NET_DEBT_REUT" hidden="1">"c5446"</definedName>
    <definedName name="IQ_EST_ACT_NI" hidden="1">"c1722"</definedName>
    <definedName name="IQ_EST_ACT_NI_GW" hidden="1">"c1729"</definedName>
    <definedName name="IQ_EST_ACT_NI_GW_REUT" hidden="1">"c5381"</definedName>
    <definedName name="IQ_EST_ACT_NI_REPORTED" hidden="1">"c1736"</definedName>
    <definedName name="IQ_EST_ACT_NI_REPORTED_REUT" hidden="1">"c5388"</definedName>
    <definedName name="IQ_EST_ACT_NI_REUT" hidden="1">"c5374"</definedName>
    <definedName name="IQ_EST_ACT_NI_SBC" hidden="1">"c4409"</definedName>
    <definedName name="IQ_EST_ACT_NI_SBC_GW" hidden="1">"c4410"</definedName>
    <definedName name="IQ_EST_ACT_OPER_INC" hidden="1">"c1694"</definedName>
    <definedName name="IQ_EST_ACT_OPER_INC_REUT" hidden="1">"c5346"</definedName>
    <definedName name="IQ_EST_ACT_PRETAX_GW_INC" hidden="1">"c1708"</definedName>
    <definedName name="IQ_EST_ACT_PRETAX_GW_INC_REUT" hidden="1">"c5360"</definedName>
    <definedName name="IQ_EST_ACT_PRETAX_INC" hidden="1">"c1701"</definedName>
    <definedName name="IQ_EST_ACT_PRETAX_INC_REUT" hidden="1">"c5353"</definedName>
    <definedName name="IQ_EST_ACT_PRETAX_REPORT_INC" hidden="1">"c1715"</definedName>
    <definedName name="IQ_EST_ACT_PRETAX_REPORT_INC_REUT" hidden="1">"c5367"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REUT" hidden="1">"c3996"</definedName>
    <definedName name="IQ_EST_ACT_RETURN_EQUITY" hidden="1">"c3548"</definedName>
    <definedName name="IQ_EST_ACT_RETURN_EQUITY_REUT" hidden="1">"c3989"</definedName>
    <definedName name="IQ_EST_ACT_REV" hidden="1">"c2113"</definedName>
    <definedName name="IQ_EST_ACT_REV_REUT" hidden="1">"c3835"</definedName>
    <definedName name="IQ_EST_BV_DIFF_REUT" hidden="1">"c5433"</definedName>
    <definedName name="IQ_EST_BV_DIFF_THOM" hidden="1">"c5204"</definedName>
    <definedName name="IQ_EST_BV_SHARE_DIFF" hidden="1">"c4147"</definedName>
    <definedName name="IQ_EST_BV_SHARE_SURPRISE_PERCENT" hidden="1">"c4148"</definedName>
    <definedName name="IQ_EST_BV_SURPRISE_PERCENT_REUT" hidden="1">"c5434"</definedName>
    <definedName name="IQ_EST_BV_SURPRISE_PERCENT_THOM" hidden="1">"c5205"</definedName>
    <definedName name="IQ_EST_CAPEX_DIFF" hidden="1">"c4149"</definedName>
    <definedName name="IQ_EST_CAPEX_GROWTH_1YR" hidden="1">"c3588"</definedName>
    <definedName name="IQ_EST_CAPEX_GROWTH_1YR_REUT" hidden="1">"c5447"</definedName>
    <definedName name="IQ_EST_CAPEX_GROWTH_2YR" hidden="1">"c3589"</definedName>
    <definedName name="IQ_EST_CAPEX_GROWTH_2YR_REUT" hidden="1">"c5448"</definedName>
    <definedName name="IQ_EST_CAPEX_GROWTH_Q_1YR" hidden="1">"c3590"</definedName>
    <definedName name="IQ_EST_CAPEX_GROWTH_Q_1YR_REUT" hidden="1">"c5449"</definedName>
    <definedName name="IQ_EST_CAPEX_SEQ_GROWTH_Q" hidden="1">"c3591"</definedName>
    <definedName name="IQ_EST_CAPEX_SEQ_GROWTH_Q_REUT" hidden="1">"c5450"</definedName>
    <definedName name="IQ_EST_CAPEX_SURPRISE_PERCENT" hidden="1">"c4151"</definedName>
    <definedName name="IQ_EST_CASH_FLOW_DIFF" hidden="1">"c4152"</definedName>
    <definedName name="IQ_EST_CASH_FLOW_SURPRISE_PERCENT" hidden="1">"c4161"</definedName>
    <definedName name="IQ_EST_CASH_OPER_DIFF" hidden="1">"c4162"</definedName>
    <definedName name="IQ_EST_CASH_OPER_SURPRISE_PERCENT" hidden="1">"c4248"</definedName>
    <definedName name="IQ_EST_CFPS_DIFF" hidden="1">"c1871"</definedName>
    <definedName name="IQ_EST_CFPS_DIFF_REUT" hidden="1">"c3892"</definedName>
    <definedName name="IQ_EST_CFPS_GROWTH_1YR" hidden="1">"c1774"</definedName>
    <definedName name="IQ_EST_CFPS_GROWTH_1YR_REUT" hidden="1">"c3878"</definedName>
    <definedName name="IQ_EST_CFPS_GROWTH_2YR" hidden="1">"c1775"</definedName>
    <definedName name="IQ_EST_CFPS_GROWTH_2YR_REUT" hidden="1">"c3879"</definedName>
    <definedName name="IQ_EST_CFPS_GROWTH_Q_1YR" hidden="1">"c1776"</definedName>
    <definedName name="IQ_EST_CFPS_GROWTH_Q_1YR_REUT" hidden="1">"c3880"</definedName>
    <definedName name="IQ_EST_CFPS_SEQ_GROWTH_Q" hidden="1">"c1777"</definedName>
    <definedName name="IQ_EST_CFPS_SEQ_GROWTH_Q_REUT" hidden="1">"c3881"</definedName>
    <definedName name="IQ_EST_CFPS_SURPRISE_PERCENT" hidden="1">"c1872"</definedName>
    <definedName name="IQ_EST_CFPS_SURPRISE_PERCENT_REUT" hidden="1">"c3893"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ISTRIBUTABLE_CASH_DIFF" hidden="1">"c4276"</definedName>
    <definedName name="IQ_EST_DISTRIBUTABLE_CASH_GROWTH_1YR" hidden="1">"c4413"</definedName>
    <definedName name="IQ_EST_DISTRIBUTABLE_CASH_GROWTH_2YR" hidden="1">"c4414"</definedName>
    <definedName name="IQ_EST_DISTRIBUTABLE_CASH_GROWTH_Q_1YR" hidden="1">"c4415"</definedName>
    <definedName name="IQ_EST_DISTRIBUTABLE_CASH_SEQ_GROWTH_Q" hidden="1">"c4416"</definedName>
    <definedName name="IQ_EST_DISTRIBUTABLE_CASH_SHARE_DIFF" hidden="1">"c4284"</definedName>
    <definedName name="IQ_EST_DISTRIBUTABLE_CASH_SHARE_GROWTH_1YR" hidden="1">"c4417"</definedName>
    <definedName name="IQ_EST_DISTRIBUTABLE_CASH_SHARE_GROWTH_2YR" hidden="1">"c4418"</definedName>
    <definedName name="IQ_EST_DISTRIBUTABLE_CASH_SHARE_GROWTH_Q_1YR" hidden="1">"c4419"</definedName>
    <definedName name="IQ_EST_DISTRIBUTABLE_CASH_SHARE_SEQ_GROWTH_Q" hidden="1">"c4420"</definedName>
    <definedName name="IQ_EST_DISTRIBUTABLE_CASH_SHARE_SURPRISE_PERCENT" hidden="1">"c4293"</definedName>
    <definedName name="IQ_EST_DISTRIBUTABLE_CASH_SURPRISE_PERCENT" hidden="1">"c4295"</definedName>
    <definedName name="IQ_EST_DPS_DIFF" hidden="1">"c1873"</definedName>
    <definedName name="IQ_EST_DPS_DIFF_REUT" hidden="1">"c3894"</definedName>
    <definedName name="IQ_EST_DPS_GROWTH_1YR" hidden="1">"c1778"</definedName>
    <definedName name="IQ_EST_DPS_GROWTH_1YR_REUT" hidden="1">"c3882"</definedName>
    <definedName name="IQ_EST_DPS_GROWTH_2YR" hidden="1">"c1779"</definedName>
    <definedName name="IQ_EST_DPS_GROWTH_2YR_REUT" hidden="1">"c3883"</definedName>
    <definedName name="IQ_EST_DPS_GROWTH_Q_1YR" hidden="1">"c1780"</definedName>
    <definedName name="IQ_EST_DPS_GROWTH_Q_1YR_REUT" hidden="1">"c3884"</definedName>
    <definedName name="IQ_EST_DPS_SEQ_GROWTH_Q" hidden="1">"c1781"</definedName>
    <definedName name="IQ_EST_DPS_SEQ_GROWTH_Q_REUT" hidden="1">"c3885"</definedName>
    <definedName name="IQ_EST_DPS_SURPRISE_PERCENT" hidden="1">"c1874"</definedName>
    <definedName name="IQ_EST_DPS_SURPRISE_PERCENT_REUT" hidden="1">"c3895"</definedName>
    <definedName name="IQ_EST_EBIT_DIFF" hidden="1">"c1875"</definedName>
    <definedName name="IQ_EST_EBIT_DIFF_REUT" hidden="1">"c5413"</definedName>
    <definedName name="IQ_EST_EBIT_GW_DIFF" hidden="1">"c4304"</definedName>
    <definedName name="IQ_EST_EBIT_GW_SURPRISE_PERCENT" hidden="1">"c4313"</definedName>
    <definedName name="IQ_EST_EBIT_SBC_DIFF" hidden="1">"c4314"</definedName>
    <definedName name="IQ_EST_EBIT_SBC_GW_DIFF" hidden="1">"c4318"</definedName>
    <definedName name="IQ_EST_EBIT_SBC_GW_SURPRISE_PERCENT" hidden="1">"c4327"</definedName>
    <definedName name="IQ_EST_EBIT_SBC_SURPRISE_PERCENT" hidden="1">"c4333"</definedName>
    <definedName name="IQ_EST_EBIT_SURPRISE_PERCENT" hidden="1">"c1876"</definedName>
    <definedName name="IQ_EST_EBIT_SURPRISE_PERCENT_REUT" hidden="1">"c5414"</definedName>
    <definedName name="IQ_EST_EBITDA_DIFF" hidden="1">"c1867"</definedName>
    <definedName name="IQ_EST_EBITDA_DIFF_REUT" hidden="1">"c3888"</definedName>
    <definedName name="IQ_EST_EBITDA_GROWTH_1YR" hidden="1">"c1766"</definedName>
    <definedName name="IQ_EST_EBITDA_GROWTH_1YR_REUT" hidden="1">"c3864"</definedName>
    <definedName name="IQ_EST_EBITDA_GROWTH_2YR" hidden="1">"c1767"</definedName>
    <definedName name="IQ_EST_EBITDA_GROWTH_2YR_REUT" hidden="1">"c3865"</definedName>
    <definedName name="IQ_EST_EBITDA_GROWTH_Q_1YR" hidden="1">"c1768"</definedName>
    <definedName name="IQ_EST_EBITDA_GROWTH_Q_1YR_REUT" hidden="1">"c3866"</definedName>
    <definedName name="IQ_EST_EBITDA_SBC_DIFF" hidden="1">"c4335"</definedName>
    <definedName name="IQ_EST_EBITDA_SBC_SURPRISE_PERCENT" hidden="1">"c4344"</definedName>
    <definedName name="IQ_EST_EBITDA_SEQ_GROWTH_Q" hidden="1">"c1769"</definedName>
    <definedName name="IQ_EST_EBITDA_SEQ_GROWTH_Q_REUT" hidden="1">"c3867"</definedName>
    <definedName name="IQ_EST_EBITDA_SURPRISE_PERCENT" hidden="1">"c1868"</definedName>
    <definedName name="IQ_EST_EBITDA_SURPRISE_PERCENT_REUT" hidden="1">"c3889"</definedName>
    <definedName name="IQ_EST_EBT_SBC_DIFF" hidden="1">"c4348"</definedName>
    <definedName name="IQ_EST_EBT_SBC_GW_DIFF" hidden="1">"c4352"</definedName>
    <definedName name="IQ_EST_EBT_SBC_GW_SURPRISE_PERCENT" hidden="1">"c4361"</definedName>
    <definedName name="IQ_EST_EBT_SBC_SURPRISE_PERCENT" hidden="1">"c4367"</definedName>
    <definedName name="IQ_EST_EPS_DIFF" hidden="1">"c1864"</definedName>
    <definedName name="IQ_EST_EPS_DIFF_REUT" hidden="1">"c5458"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2YR_REUT" hidden="1">"c3858"</definedName>
    <definedName name="IQ_EST_EPS_GROWTH_5YR" hidden="1">"c1655"</definedName>
    <definedName name="IQ_EST_EPS_GROWTH_5YR_BOTTOM_UP" hidden="1">"c5487"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REUT" hidden="1">"c3633"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DIFF_REUT" hidden="1">"c5429"</definedName>
    <definedName name="IQ_EST_EPS_GW_SURPRISE_PERCENT" hidden="1">"c1892"</definedName>
    <definedName name="IQ_EST_EPS_GW_SURPRISE_PERCENT_REUT" hidden="1">"c5430"</definedName>
    <definedName name="IQ_EST_EPS_NORM_DIFF" hidden="1">"c2247"</definedName>
    <definedName name="IQ_EST_EPS_NORM_DIFF_REUT" hidden="1">"c5411"</definedName>
    <definedName name="IQ_EST_EPS_NORM_SURPRISE_PERCENT" hidden="1">"c2248"</definedName>
    <definedName name="IQ_EST_EPS_NORM_SURPRISE_PERCENT_REUT" hidden="1">"c5412"</definedName>
    <definedName name="IQ_EST_EPS_REPORT_DIFF" hidden="1">"c1893"</definedName>
    <definedName name="IQ_EST_EPS_REPORT_DIFF_REUT" hidden="1">"c5431"</definedName>
    <definedName name="IQ_EST_EPS_REPORT_SURPRISE_PERCENT" hidden="1">"c1894"</definedName>
    <definedName name="IQ_EST_EPS_REPORT_SURPRISE_PERCENT_REUT" hidden="1">"c5432"</definedName>
    <definedName name="IQ_EST_EPS_SBC_DIFF" hidden="1">"c4374"</definedName>
    <definedName name="IQ_EST_EPS_SBC_GW_DIFF" hidden="1">"c4378"</definedName>
    <definedName name="IQ_EST_EPS_SBC_GW_SURPRISE_PERCENT" hidden="1">"c4387"</definedName>
    <definedName name="IQ_EST_EPS_SBC_SURPRISE_PERCENT" hidden="1">"c4393"</definedName>
    <definedName name="IQ_EST_EPS_SEQ_GROWTH_Q" hidden="1">"c1764"</definedName>
    <definedName name="IQ_EST_EPS_SEQ_GROWTH_Q_REUT" hidden="1">"c3859"</definedName>
    <definedName name="IQ_EST_EPS_SURPRISE" hidden="1">"c1635"</definedName>
    <definedName name="IQ_EST_EPS_SURPRISE_PERCENT" hidden="1">"c1635"</definedName>
    <definedName name="IQ_EST_EPS_SURPRISE_PERCENT_REUT" hidden="1">"c5459"</definedName>
    <definedName name="IQ_EST_FFO_ADJ_DIFF" hidden="1">"c4433"</definedName>
    <definedName name="IQ_EST_FFO_ADJ_GROWTH_1YR" hidden="1">"c4421"</definedName>
    <definedName name="IQ_EST_FFO_ADJ_GROWTH_2YR" hidden="1">"c4422"</definedName>
    <definedName name="IQ_EST_FFO_ADJ_GROWTH_Q_1YR" hidden="1">"c4423"</definedName>
    <definedName name="IQ_EST_FFO_ADJ_SEQ_GROWTH_Q" hidden="1">"c4424"</definedName>
    <definedName name="IQ_EST_FFO_ADJ_SURPRISE_PERCENT" hidden="1">"c4442"</definedName>
    <definedName name="IQ_EST_FFO_DIFF" hidden="1">"c1869"</definedName>
    <definedName name="IQ_EST_FFO_DIFF_REUT" hidden="1">"c3890"</definedName>
    <definedName name="IQ_EST_FFO_GROWTH_1YR" hidden="1">"c1770"</definedName>
    <definedName name="IQ_EST_FFO_GROWTH_1YR_REUT" hidden="1">"c3874"</definedName>
    <definedName name="IQ_EST_FFO_GROWTH_2YR" hidden="1">"c1771"</definedName>
    <definedName name="IQ_EST_FFO_GROWTH_2YR_REUT" hidden="1">"c3875"</definedName>
    <definedName name="IQ_EST_FFO_GROWTH_Q_1YR" hidden="1">"c1772"</definedName>
    <definedName name="IQ_EST_FFO_GROWTH_Q_1YR_REUT" hidden="1">"c3876"</definedName>
    <definedName name="IQ_EST_FFO_SEQ_GROWTH_Q" hidden="1">"c1773"</definedName>
    <definedName name="IQ_EST_FFO_SEQ_GROWTH_Q_REUT" hidden="1">"c3877"</definedName>
    <definedName name="IQ_EST_FFO_SHARE_DIFF" hidden="1">"c4444"</definedName>
    <definedName name="IQ_EST_FFO_SHARE_GROWTH_1YR" hidden="1">"c4425"</definedName>
    <definedName name="IQ_EST_FFO_SHARE_GROWTH_2YR" hidden="1">"c4426"</definedName>
    <definedName name="IQ_EST_FFO_SHARE_GROWTH_Q_1YR" hidden="1">"c4427"</definedName>
    <definedName name="IQ_EST_FFO_SHARE_SEQ_GROWTH_Q" hidden="1">"c4428"</definedName>
    <definedName name="IQ_EST_FFO_SHARE_SHARE_DIFF_REUT" hidden="1">"c3890"</definedName>
    <definedName name="IQ_EST_FFO_SHARE_SHARE_SURPRISE_PERCENT_REUT" hidden="1">"c3891"</definedName>
    <definedName name="IQ_EST_FFO_SHARE_SURPRISE_PERCENT" hidden="1">"c4453"</definedName>
    <definedName name="IQ_EST_FFO_SURPRISE_PERCENT" hidden="1">"c1870"</definedName>
    <definedName name="IQ_EST_FFO_SURPRISE_PERCENT_REUT" hidden="1">"c3891"</definedName>
    <definedName name="IQ_EST_FOOTNOTE" hidden="1">"c4540"</definedName>
    <definedName name="IQ_EST_FOOTNOTE_REUT" hidden="1">"c5478"</definedName>
    <definedName name="IQ_EST_MAINT_CAPEX_DIFF" hidden="1">"c4456"</definedName>
    <definedName name="IQ_EST_MAINT_CAPEX_GROWTH_1YR" hidden="1">"c4429"</definedName>
    <definedName name="IQ_EST_MAINT_CAPEX_GROWTH_2YR" hidden="1">"c4430"</definedName>
    <definedName name="IQ_EST_MAINT_CAPEX_GROWTH_Q_1YR" hidden="1">"c4431"</definedName>
    <definedName name="IQ_EST_MAINT_CAPEX_SEQ_GROWTH_Q" hidden="1">"c4432"</definedName>
    <definedName name="IQ_EST_MAINT_CAPEX_SURPRISE_PERCENT" hidden="1">"c4465"</definedName>
    <definedName name="IQ_EST_NAV_DIFF" hidden="1">"c1895"</definedName>
    <definedName name="IQ_EST_NAV_SURPRISE_PERCENT" hidden="1">"c1896"</definedName>
    <definedName name="IQ_EST_NET_DEBT_DIFF" hidden="1">"c4466"</definedName>
    <definedName name="IQ_EST_NET_DEBT_SURPRISE_PERCENT" hidden="1">"c4468"</definedName>
    <definedName name="IQ_EST_NI_DIFF" hidden="1">"c1885"</definedName>
    <definedName name="IQ_EST_NI_DIFF_REUT" hidden="1">"c5423"</definedName>
    <definedName name="IQ_EST_NI_GW_DIFF" hidden="1">"c1887"</definedName>
    <definedName name="IQ_EST_NI_GW_DIFF_REUT" hidden="1">"c5425"</definedName>
    <definedName name="IQ_EST_NI_GW_SURPRISE_PERCENT" hidden="1">"c1888"</definedName>
    <definedName name="IQ_EST_NI_GW_SURPRISE_PERCENT_REUT" hidden="1">"c5426"</definedName>
    <definedName name="IQ_EST_NI_REPORT_DIFF" hidden="1">"c1889"</definedName>
    <definedName name="IQ_EST_NI_REPORT_DIFF_REUT" hidden="1">"c5427"</definedName>
    <definedName name="IQ_EST_NI_REPORT_SURPRISE_PERCENT" hidden="1">"c1890"</definedName>
    <definedName name="IQ_EST_NI_REPORT_SURPRISE_PERCENT_REUT" hidden="1">"c5428"</definedName>
    <definedName name="IQ_EST_NI_SBC_DIFF" hidden="1">"c4472"</definedName>
    <definedName name="IQ_EST_NI_SBC_GW_DIFF" hidden="1">"c4476"</definedName>
    <definedName name="IQ_EST_NI_SBC_GW_SURPRISE_PERCENT" hidden="1">"c4485"</definedName>
    <definedName name="IQ_EST_NI_SBC_SURPRISE_PERCENT" hidden="1">"c4491"</definedName>
    <definedName name="IQ_EST_NI_SURPRISE_PERCENT" hidden="1">"c1886"</definedName>
    <definedName name="IQ_EST_NI_SURPRISE_PERCENT_REUT" hidden="1">"c5424"</definedName>
    <definedName name="IQ_EST_NUM_BUY" hidden="1">"c1759"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OLD" hidden="1">"c1761"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NO_OPINION" hidden="1">"c1758"</definedName>
    <definedName name="IQ_EST_NUM_NO_OPINION_REUT" hidden="1">"c3868"</definedName>
    <definedName name="IQ_EST_NUM_OUTPERFORM" hidden="1">"c1760"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" hidden="1">"c1763"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" hidden="1">"c1762"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" hidden="1">"c1877"</definedName>
    <definedName name="IQ_EST_OPER_INC_DIFF_REUT" hidden="1">"c5415"</definedName>
    <definedName name="IQ_EST_OPER_INC_SURPRISE_PERCENT" hidden="1">"c1878"</definedName>
    <definedName name="IQ_EST_OPER_INC_SURPRISE_PERCENT_REUT" hidden="1">"c5416"</definedName>
    <definedName name="IQ_EST_PRE_TAX_DIFF" hidden="1">"c1879"</definedName>
    <definedName name="IQ_EST_PRE_TAX_DIFF_REUT" hidden="1">"c5417"</definedName>
    <definedName name="IQ_EST_PRE_TAX_GW_DIFF" hidden="1">"c1881"</definedName>
    <definedName name="IQ_EST_PRE_TAX_GW_DIFF_REUT" hidden="1">"c5419"</definedName>
    <definedName name="IQ_EST_PRE_TAX_GW_SURPRISE_PERCENT" hidden="1">"c1882"</definedName>
    <definedName name="IQ_EST_PRE_TAX_GW_SURPRISE_PERCENT_REUT" hidden="1">"c5420"</definedName>
    <definedName name="IQ_EST_PRE_TAX_REPORT_DIFF" hidden="1">"c1883"</definedName>
    <definedName name="IQ_EST_PRE_TAX_REPORT_DIFF_REUT" hidden="1">"c5421"</definedName>
    <definedName name="IQ_EST_PRE_TAX_REPORT_SURPRISE_PERCENT" hidden="1">"c1884"</definedName>
    <definedName name="IQ_EST_PRE_TAX_REPORT_SURPRISE_PERCENT_REUT" hidden="1">"c5422"</definedName>
    <definedName name="IQ_EST_PRE_TAX_SURPRISE_PERCENT" hidden="1">"c1880"</definedName>
    <definedName name="IQ_EST_PRE_TAX_SURPRISE_PERCENT_REUT" hidden="1">"c5418"</definedName>
    <definedName name="IQ_EST_RECURRING_PROFIT_SHARE_DIFF" hidden="1">"c4505"</definedName>
    <definedName name="IQ_EST_RECURRING_PROFIT_SHARE_SURPRISE_PERCENT" hidden="1">"c4515"</definedName>
    <definedName name="IQ_EST_REV_DIFF" hidden="1">"c1865"</definedName>
    <definedName name="IQ_EST_REV_DIFF_REUT" hidden="1">"c3886"</definedName>
    <definedName name="IQ_EST_REV_GROWTH_1YR" hidden="1">"c1638"</definedName>
    <definedName name="IQ_EST_REV_GROWTH_1YR_REUT" hidden="1">"c3860"</definedName>
    <definedName name="IQ_EST_REV_GROWTH_2YR" hidden="1">"c1639"</definedName>
    <definedName name="IQ_EST_REV_GROWTH_2YR_REUT" hidden="1">"c3861"</definedName>
    <definedName name="IQ_EST_REV_GROWTH_Q_1YR" hidden="1">"c1640"</definedName>
    <definedName name="IQ_EST_REV_GROWTH_Q_1YR_REUT" hidden="1">"c3862"</definedName>
    <definedName name="IQ_EST_REV_SEQ_GROWTH_Q" hidden="1">"c1765"</definedName>
    <definedName name="IQ_EST_REV_SEQ_GROWTH_Q_REUT" hidden="1">"c3863"</definedName>
    <definedName name="IQ_EST_REV_SURPRISE_PERCENT" hidden="1">"c1866"</definedName>
    <definedName name="IQ_EST_REV_SURPRISE_PERCENT_REUT" hidden="1">"c3887"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"c165"</definedName>
    <definedName name="IQ_EV_OVER_REVENUE_EST_1" hidden="1">"c166"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"019773000"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EXTRA_ITEMS_OTHER_ADJUSTMENTS_FOREIGN_FFIEC" hidden="1">"c15392"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DOM_FFIEC" hidden="1">"c15268"</definedName>
    <definedName name="IQ_FARMLAND_LOANS_FDIC" hidden="1">"c6314"</definedName>
    <definedName name="IQ_FDIC" hidden="1">"c417"</definedName>
    <definedName name="IQ_FED_FUND_PURCHASED_SEC_SOLD_REPURCHASE_FFIEC" hidden="1">"c15489"</definedName>
    <definedName name="IQ_FED_FUND_SOLD_SEC_PURCHASED_RESELL_FFIEC" hidden="1">"c15488"</definedName>
    <definedName name="IQ_FED_FUNDS_PURCH_SEC_SOLD_FAIR_VALUE_TOT_FFIEC" hidden="1">"c15406"</definedName>
    <definedName name="IQ_FED_FUNDS_PURCH_SEC_SOLD_LEVEL_1_FFIEC" hidden="1">"c15428"</definedName>
    <definedName name="IQ_FED_FUNDS_PURCH_SEC_SOLD_LEVEL_2_FFIEC" hidden="1">"c15441"</definedName>
    <definedName name="IQ_FED_FUNDS_PURCH_SEC_SOLD_LEVEL_3_FFIEC" hidden="1">"c15454"</definedName>
    <definedName name="IQ_FED_FUNDS_PURCHASED_FDIC" hidden="1">"c6343"</definedName>
    <definedName name="IQ_FED_FUNDS_SOLD_FDIC" hidden="1">"c6307"</definedName>
    <definedName name="IQ_FED_FUNDS_SOLD_SEC_PURCH_FAIR_VALUE_TOT_FFIEC" hidden="1">"c15402"</definedName>
    <definedName name="IQ_FED_FUNDS_SOLD_SEC_PURCH_LEVEL_1_FFIEC" hidden="1">"c15424"</definedName>
    <definedName name="IQ_FED_FUNDS_SOLD_SEC_PURCH_LEVEL_2_FFIEC" hidden="1">"c15437"</definedName>
    <definedName name="IQ_FED_FUNDS_SOLD_SEC_PURCH_LEVEL_3_FFIEC" hidden="1">"c15450"</definedName>
    <definedName name="IQ_FEDFUNDS_SOLD" hidden="1">"c2256"</definedName>
    <definedName name="IQ_FEES_OTHER_INCOME" hidden="1">"c15257"</definedName>
    <definedName name="IQ_FFO" hidden="1">"c1574"</definedName>
    <definedName name="IQ_FFO_ACT_OR_EST" hidden="1">"c2216"</definedName>
    <definedName name="IQ_FFO_ADJ_ACT_OR_EST" hidden="1">"c4435"</definedName>
    <definedName name="IQ_FFO_ADJ_EST" hidden="1">"c4434"</definedName>
    <definedName name="IQ_FFO_ADJ_GUIDANCE" hidden="1">"c4436"</definedName>
    <definedName name="IQ_FFO_ADJ_HIGH_EST" hidden="1">"c4437"</definedName>
    <definedName name="IQ_FFO_ADJ_HIGH_GUIDANCE" hidden="1">"c4202"</definedName>
    <definedName name="IQ_FFO_ADJ_LOW_EST" hidden="1">"c4438"</definedName>
    <definedName name="IQ_FFO_ADJ_LOW_GUIDANCE" hidden="1">"c4242"</definedName>
    <definedName name="IQ_FFO_ADJ_MEDIAN_EST" hidden="1">"c4439"</definedName>
    <definedName name="IQ_FFO_ADJ_NUM_EST" hidden="1">"c4440"</definedName>
    <definedName name="IQ_FFO_ADJ_STDDEV_EST" hidden="1">"c4441"</definedName>
    <definedName name="IQ_FFO_EST" hidden="1">"c418"</definedName>
    <definedName name="IQ_FFO_EST_DET_EST" hidden="1">"c12059"</definedName>
    <definedName name="IQ_FFO_EST_DET_EST_CURRENCY" hidden="1">"c12466"</definedName>
    <definedName name="IQ_FFO_EST_DET_EST_CURRENCY_REUT" hidden="1">"c12536"</definedName>
    <definedName name="IQ_FFO_EST_DET_EST_DATE" hidden="1">"c12212"</definedName>
    <definedName name="IQ_FFO_EST_DET_EST_DATE_REUT" hidden="1">"c12295"</definedName>
    <definedName name="IQ_FFO_EST_DET_EST_INCL" hidden="1">"c12349"</definedName>
    <definedName name="IQ_FFO_EST_DET_EST_INCL_REUT" hidden="1">"c12419"</definedName>
    <definedName name="IQ_FFO_EST_DET_EST_ORIGIN_REUT" hidden="1">"c12724"</definedName>
    <definedName name="IQ_FFO_EST_DET_EST_REUT" hidden="1">"c12153"</definedName>
    <definedName name="IQ_FFO_EST_REUT" hidden="1">"c3837"</definedName>
    <definedName name="IQ_FFO_GUIDANCE" hidden="1">"c4443"</definedName>
    <definedName name="IQ_FFO_HIGH_EST" hidden="1">"c419"</definedName>
    <definedName name="IQ_FFO_HIGH_EST_REUT" hidden="1">"c3839"</definedName>
    <definedName name="IQ_FFO_HIGH_GUIDANCE" hidden="1">"c4184"</definedName>
    <definedName name="IQ_FFO_LOW_EST" hidden="1">"c420"</definedName>
    <definedName name="IQ_FFO_LOW_EST_REUT" hidden="1">"c3840"</definedName>
    <definedName name="IQ_FFO_LOW_GUIDANCE" hidden="1">"c4224"</definedName>
    <definedName name="IQ_FFO_MEDIAN_EST" hidden="1">"c1665"</definedName>
    <definedName name="IQ_FFO_MEDIAN_EST_REUT" hidden="1">"c3838"</definedName>
    <definedName name="IQ_FFO_NO_EST" hidden="1">"c276"</definedName>
    <definedName name="IQ_FFO_NUM_EST" hidden="1">"c421"</definedName>
    <definedName name="IQ_FFO_NUM_EST_REUT" hidden="1">"c3841"</definedName>
    <definedName name="IQ_FFO_PAYOUT_RATIO" hidden="1">"c3492"</definedName>
    <definedName name="IQ_FFO_SHARE_ACT_OR_EST" hidden="1">"c4446"</definedName>
    <definedName name="IQ_FFO_SHARE_EST" hidden="1">"c4445"</definedName>
    <definedName name="IQ_FFO_SHARE_GUIDANCE" hidden="1">"c4447"</definedName>
    <definedName name="IQ_FFO_SHARE_HIGH_EST" hidden="1">"c4448"</definedName>
    <definedName name="IQ_FFO_SHARE_HIGH_GUIDANCE" hidden="1">"c4203"</definedName>
    <definedName name="IQ_FFO_SHARE_LOW_EST" hidden="1">"c4449"</definedName>
    <definedName name="IQ_FFO_SHARE_LOW_GUIDANCE" hidden="1">"c4243"</definedName>
    <definedName name="IQ_FFO_SHARE_MEDIAN_EST" hidden="1">"c4450"</definedName>
    <definedName name="IQ_FFO_SHARE_NUM_EST" hidden="1">"c4451"</definedName>
    <definedName name="IQ_FFO_SHARE_SHARE_EST_DET_EST" hidden="1">"c12059"</definedName>
    <definedName name="IQ_FFO_SHARE_SHARE_EST_DET_EST_CURRENCY" hidden="1">"c12466"</definedName>
    <definedName name="IQ_FFO_SHARE_SHARE_EST_DET_EST_CURRENCY_REUT" hidden="1">"c12536"</definedName>
    <definedName name="IQ_FFO_SHARE_SHARE_EST_DET_EST_DATE" hidden="1">"c12212"</definedName>
    <definedName name="IQ_FFO_SHARE_SHARE_EST_DET_EST_DATE_REUT" hidden="1">"c12295"</definedName>
    <definedName name="IQ_FFO_SHARE_SHARE_EST_DET_EST_INCL" hidden="1">"c12349"</definedName>
    <definedName name="IQ_FFO_SHARE_SHARE_EST_DET_EST_INCL_REUT" hidden="1">"c12419"</definedName>
    <definedName name="IQ_FFO_SHARE_SHARE_EST_DET_EST_ORIGIN_REUT" hidden="1">"c12724"</definedName>
    <definedName name="IQ_FFO_SHARE_SHARE_EST_DET_EST_REUT" hidden="1">"c12153"</definedName>
    <definedName name="IQ_FFO_SHARE_SHARE_EST_REUT" hidden="1">"c3837"</definedName>
    <definedName name="IQ_FFO_SHARE_SHARE_HIGH_EST_REUT" hidden="1">"c3839"</definedName>
    <definedName name="IQ_FFO_SHARE_SHARE_LOW_EST_REUT" hidden="1">"c3840"</definedName>
    <definedName name="IQ_FFO_SHARE_SHARE_MEDIAN_EST_REUT" hidden="1">"c3838"</definedName>
    <definedName name="IQ_FFO_SHARE_SHARE_NUM_EST_REUT" hidden="1">"c3841"</definedName>
    <definedName name="IQ_FFO_SHARE_SHARE_STDDEV_EST_REUT" hidden="1">"c3842"</definedName>
    <definedName name="IQ_FFO_SHARE_STDDEV_EST" hidden="1">"c4452"</definedName>
    <definedName name="IQ_FFO_STDDEV_EST" hidden="1">"c422"</definedName>
    <definedName name="IQ_FFO_STDDEV_EST_REUT" hidden="1">"c3842"</definedName>
    <definedName name="IQ_FH" hidden="1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_GNMA_LOANS_FFIEC" hidden="1">"c15272"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GOVT_OFFICIAL_INST_FOREIGN_DEP_FFIEC" hidden="1">"c15345"</definedName>
    <definedName name="IQ_FOREIGN_GOVT_OFFICIAL_INST_NON_TRANS_ACCTS_FFIEC" hidden="1">"c15327"</definedName>
    <definedName name="IQ_FOREIGN_GOVT_OFFICIAL_INST_TRANS_ACCTS_FFIEC" hidden="1">"c15319"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BROKERED_DEPOSITS_FFIEC" hidden="1">"c15305"</definedName>
    <definedName name="IQ_FULLY_INSURED_DEPOSITS_FDIC" hidden="1">"c6487"</definedName>
    <definedName name="IQ_FUND_NAV" hidden="1">"c15225"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FY_DATE" hidden="1">"IQ_FY_DATE"</definedName>
    <definedName name="IQ_GA_EXP" hidden="1">"c2241"</definedName>
    <definedName name="IQ_GAAP_EST_CIQ" hidden="1">"c13924"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C_BNK" hidden="1">"c488"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LOSS_HTM_AFS_SECURITIES_FOREIGN_FFIEC" hidden="1">"c15384"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ENERAL_ALLOWANCE" hidden="1">"c15248"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GW" hidden="1">"c519"</definedName>
    <definedName name="IQ_GROSS_INTAN" hidden="1">"c520"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MARGIN_ACT_OR_EST" hidden="1">"c5554"</definedName>
    <definedName name="IQ_GROSS_MARGIN_EST" hidden="1">"c5547"</definedName>
    <definedName name="IQ_GROSS_MARGIN_HIGH_EST" hidden="1">"c5549"</definedName>
    <definedName name="IQ_GROSS_MARGIN_LOW_EST" hidden="1">"c5550"</definedName>
    <definedName name="IQ_GROSS_MARGIN_MEDIAN_EST" hidden="1">"c5548"</definedName>
    <definedName name="IQ_GROSS_MARGIN_NUM_EST" hidden="1">"c5551"</definedName>
    <definedName name="IQ_GROSS_MARGIN_STDDEV_EST" hidden="1">"c5552"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DAYS_REV_OUT" hidden="1">"c5993"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SALARIES_PCT_REV" hidden="1">"c5970"</definedName>
    <definedName name="IQ_HC_SUPPLIES_PCT_REV" hidden="1">"c5971"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IGH_TARGET_PRICE" hidden="1">"c1651"</definedName>
    <definedName name="IQ_HIGH_TARGET_PRICE_REUT" hidden="1">"c5317"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HYBRID_CAPITAL" hidden="1">"c15245"</definedName>
    <definedName name="IQ_HYBRID_STRUCTURED_PRODUCTS_AVAIL_SALE_FFIEC" hidden="1">"c15265"</definedName>
    <definedName name="IQ_HYBRID_STRUCTURED_PRODUCTS_FFIEC" hidden="1">"c15262"</definedName>
    <definedName name="IQ_IB_ADVISORY_UNDERWRITING_FEES_FOREIGN_FFIEC" hidden="1">"c15378"</definedName>
    <definedName name="IQ_IBF_COMM_INDUST_LOANS_FFIEC" hidden="1">"c15298"</definedName>
    <definedName name="IQ_IBF_DEPOSIT_LIABILITIES_DUE_TO_BANKS_FFIEC" hidden="1">"c15300"</definedName>
    <definedName name="IQ_IMPAIR_OIL" hidden="1">"c547"</definedName>
    <definedName name="IQ_IMPAIRED_LOANS" hidden="1">"c15250"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_FOREIGN_FFIEC" hidden="1">"c15391"</definedName>
    <definedName name="IQ_INCOME_TAXES_FDIC" hidden="1">"c6582"</definedName>
    <definedName name="IQ_INDEX_CURRENCY" hidden="1">"c15224"</definedName>
    <definedName name="IQ_INDEX_PROVIDED_DIVIDEND" hidden="1">"c19252"</definedName>
    <definedName name="IQ_INDEX_TYPE" hidden="1">"c15223"</definedName>
    <definedName name="IQ_INDEXCONSTITUENT_CLOSEPRICE" hidden="1">"c19241"</definedName>
    <definedName name="IQ_INDIVIDUAL" hidden="1">"c15182"</definedName>
    <definedName name="IQ_INDIVIDUAL_ACTIVE_BOARD_MEMBERSHIPS" hidden="1">"c15201"</definedName>
    <definedName name="IQ_INDIVIDUAL_ACTIVE_PRO_AFFILIATIONS" hidden="1">"c15199"</definedName>
    <definedName name="IQ_INDIVIDUAL_AGE" hidden="1">"c15191"</definedName>
    <definedName name="IQ_INDIVIDUAL_ASSISTANT_EMAIL" hidden="1">"c15206"</definedName>
    <definedName name="IQ_INDIVIDUAL_ASSISTANT_FAX" hidden="1">"c15208"</definedName>
    <definedName name="IQ_INDIVIDUAL_ASSISTANT_NAME" hidden="1">"c15205"</definedName>
    <definedName name="IQ_INDIVIDUAL_ASSISTANT_PHONE" hidden="1">"c15207"</definedName>
    <definedName name="IQ_INDIVIDUAL_BACKGROUND" hidden="1">"c15184"</definedName>
    <definedName name="IQ_INDIVIDUAL_DIRECT_FAX" hidden="1">"c15189"</definedName>
    <definedName name="IQ_INDIVIDUAL_DIRECT_PHONE" hidden="1">"c15188"</definedName>
    <definedName name="IQ_INDIVIDUAL_EDUCATION" hidden="1">"c15203"</definedName>
    <definedName name="IQ_INDIVIDUAL_EMAIL" hidden="1">"c15193"</definedName>
    <definedName name="IQ_INDIVIDUAL_FAMILY_LOAN_DOM_QUARTERLY_AVG_FFIEC" hidden="1">"c15479"</definedName>
    <definedName name="IQ_INDIVIDUAL_HOME_ADDRESS" hidden="1">"c15194"</definedName>
    <definedName name="IQ_INDIVIDUAL_HOME_FAX" hidden="1">"c15196"</definedName>
    <definedName name="IQ_INDIVIDUAL_HOME_PHONE" hidden="1">"c15195"</definedName>
    <definedName name="IQ_INDIVIDUAL_MAIN_FAX" hidden="1">"c15187"</definedName>
    <definedName name="IQ_INDIVIDUAL_MAIN_PHONE" hidden="1">"c15186"</definedName>
    <definedName name="IQ_INDIVIDUAL_MOBILE" hidden="1">"c15198"</definedName>
    <definedName name="IQ_INDIVIDUAL_NICKNAME" hidden="1">"c15192"</definedName>
    <definedName name="IQ_INDIVIDUAL_NOTES" hidden="1">"c15204"</definedName>
    <definedName name="IQ_INDIVIDUAL_OFFICE_ADDRESS" hidden="1">"c15185"</definedName>
    <definedName name="IQ_INDIVIDUAL_OTHER_PHONE" hidden="1">"c15197"</definedName>
    <definedName name="IQ_INDIVIDUAL_PARTNER_CORP_NON_TRANS_ACCTS_FFIEC" hidden="1">"c15322"</definedName>
    <definedName name="IQ_INDIVIDUAL_PARTNER_CORP_TRANS_ACCTS_FFIEC" hidden="1">"c15314"</definedName>
    <definedName name="IQ_INDIVIDUAL_PARTNER_CORPS_FOREIGN_DEP_FFIEC" hidden="1">"c15342"</definedName>
    <definedName name="IQ_INDIVIDUAL_PRIOR_BOARD_MEMBERSHIPS" hidden="1">"c15202"</definedName>
    <definedName name="IQ_INDIVIDUAL_PRIOR_PRO_AFFILIATIONS" hidden="1">"c15200"</definedName>
    <definedName name="IQ_INDIVIDUAL_SPECIALTY" hidden="1">"c15190"</definedName>
    <definedName name="IQ_INDIVIDUAL_TITLE" hidden="1">"c15183"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EE_INC_ACCEPTANCE_OTHER_BANKS_DOM_FFIEC" hidden="1">"c15357"</definedName>
    <definedName name="IQ_INT_FEE_INC_AGRICULTURE_LOANS_FARMERS_DOM_FFIEC" hidden="1">"c15355"</definedName>
    <definedName name="IQ_INT_FEE_INC_COMM_IND_LOANS_DOM_FFIEC" hidden="1">"c15356"</definedName>
    <definedName name="IQ_INT_FEE_INC_CREDIT_CARDS_DOM_FFIEC" hidden="1">"c15358"</definedName>
    <definedName name="IQ_INT_FEE_INC_DEPOSITORY_LOANS_DOM_FFIEC" hidden="1">"c15354"</definedName>
    <definedName name="IQ_INT_FEE_INC_FOREIGN_GOVT_LOANS_DOM_FFIEC" hidden="1">"c15360"</definedName>
    <definedName name="IQ_INT_FEE_INC_INDIVIDUAL_LOANS_DOM_FFIEC" hidden="1">"c15359"</definedName>
    <definedName name="IQ_INT_FEE_INC_RE_LOANS_DOM_FFIEC" hidden="1">"c15353"</definedName>
    <definedName name="IQ_INT_FEE_INC_TAX_EXEMPT_OBLIGATIONS_DOM_FFIEC" hidden="1">"c15362"</definedName>
    <definedName name="IQ_INT_FEE_INC_TAXABLE_OBLIGATIONS_DOM_FFIEC" hidden="1">"c15361"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AVINGS_DEPOSITS_MMDA_DOM_FFIEC" hidden="1">"c15364"</definedName>
    <definedName name="IQ_INT_SUB_NOTES_FDIC" hidden="1">"c6568"</definedName>
    <definedName name="IQ_INT_TRANSACTION_ACCOUNTS_DOM_FFIEC" hidden="1">"c15363"</definedName>
    <definedName name="IQ_INTANGIBLES_NET" hidden="1">"c1407"</definedName>
    <definedName name="IQ_INTEL_EPS_EST" hidden="1">"c24729"</definedName>
    <definedName name="IQ_INTEREST_ACCRUED_ON_DEPOSITS_DOM_FFIEC" hidden="1">"c15277"</definedName>
    <definedName name="IQ_INTEREST_BEARING_BALANCES_FDIC" hidden="1">"c6371"</definedName>
    <definedName name="IQ_INTEREST_BEARING_BALANCES_QUARTERLY_AVG_FFIEC" hidden="1">"c15467"</definedName>
    <definedName name="IQ_INTEREST_BEARING_CASH_FFIEC" hidden="1">"c15259"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BEARING_TRANS_DOM_QUARTERLY_AVG_FFIEC" hidden="1">"c15484"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TEREST_LT_DEBT" hidden="1">"c2086"</definedName>
    <definedName name="IQ_INTEREST_RATE_CONTRACTS_FDIC" hidden="1">"c6512"</definedName>
    <definedName name="IQ_INTEREST_RATE_EXPOSURES_FDIC" hidden="1">"c6662"</definedName>
    <definedName name="IQ_INTERNAL_ALLOCATIONS_INC_EXP_FOREIGN_FFIEC" hidden="1">"c15394"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_REL_ID" hidden="1">"c15220"</definedName>
    <definedName name="IQ_INV_REL_NAME" hidden="1">"c15219"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"50"</definedName>
    <definedName name="IQ_LATESTQ" hidden="1">500</definedName>
    <definedName name="IQ_LATESTQFR" hidden="1">"100"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QUARTERLY_AVG_FFIEC" hidden="1">"c15483"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_PROVISION_FOREIGN_FFIEC" hidden="1">"c15382"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FI_FAIR_VALUE_TOT_FFIEC" hidden="1">"c15401"</definedName>
    <definedName name="IQ_LOANS_LEASES_HFI_LEVEL_1_FFIEC" hidden="1">"c15423"</definedName>
    <definedName name="IQ_LOANS_LEASES_HFI_LEVEL_2_FFIEC" hidden="1">"c15436"</definedName>
    <definedName name="IQ_LOANS_LEASES_HFI_LEVEL_3_FFIEC" hidden="1">"c15449"</definedName>
    <definedName name="IQ_LOANS_LEASES_HFS_FAIR_VALUE_TOT_FFIEC" hidden="1">"c15400"</definedName>
    <definedName name="IQ_LOANS_LEASES_HFS_LEVEL_1_FFIEC" hidden="1">"c15422"</definedName>
    <definedName name="IQ_LOANS_LEASES_HFS_LEVEL_2_FFIEC" hidden="1">"c15435"</definedName>
    <definedName name="IQ_LOANS_LEASES_HFS_LEVEL_3_FFIEC" hidden="1">"c15448"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NOTE_RECEIV" hidden="1">"c1602"</definedName>
    <definedName name="IQ_LT_SENIOR_DEBT" hidden="1">"c702"</definedName>
    <definedName name="IQ_LT_SUB_DEBT" hidden="1">"c703"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LTMMONTH" hidden="1">120000</definedName>
    <definedName name="IQ_MACHINERY" hidden="1">"c711"</definedName>
    <definedName name="IQ_MACRO_SURVEY_CONSUMER_SENTIMENT" hidden="1">"c20808"</definedName>
    <definedName name="IQ_MAINT_CAPEX" hidden="1">"c2947"</definedName>
    <definedName name="IQ_MAINT_CAPEX_ACT_OR_EST" hidden="1">"c4458"</definedName>
    <definedName name="IQ_MAINT_CAPEX_EST" hidden="1">"c4457"</definedName>
    <definedName name="IQ_MAINT_CAPEX_GUIDANCE" hidden="1">"c4459"</definedName>
    <definedName name="IQ_MAINT_CAPEX_HIGH_EST" hidden="1">"c4460"</definedName>
    <definedName name="IQ_MAINT_CAPEX_HIGH_GUIDANCE" hidden="1">"c4197"</definedName>
    <definedName name="IQ_MAINT_CAPEX_LOW_EST" hidden="1">"c4461"</definedName>
    <definedName name="IQ_MAINT_CAPEX_LOW_GUIDANCE" hidden="1">"c4237"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RKTCAP" hidden="1">"c258"</definedName>
    <definedName name="IQ_MATURITY_DATE" hidden="1">"c2146"</definedName>
    <definedName name="IQ_MATURITY_ONE_YEAR_LESS_FDIC" hidden="1">"c6425"</definedName>
    <definedName name="IQ_MBS_QUARTERLY_AVG_FFIEC" hidden="1">"c15471"</definedName>
    <definedName name="IQ_MC_RATIO" hidden="1">"c2783"</definedName>
    <definedName name="IQ_MC_STATUTORY_SURPLUS" hidden="1">"c2772"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MDA_NON_TRANS_ACCTS_FFIEC" hidden="1">"c15330"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DEBT_UNDER_CAPITAL_LEASES_FFIEC" hidden="1">"c15276"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_DOM_FFIEC" hidden="1">"c15270"</definedName>
    <definedName name="IQ_MULTIFAMILY_RESIDENTIAL_LOANS_FDIC" hidden="1">"c6311"</definedName>
    <definedName name="IQ_NAMES_REVISION_DATE_" localSheetId="1" hidden="1">41677.725474537</definedName>
    <definedName name="IQ_NAMES_REVISION_DATE_" hidden="1">42912.7543981482</definedName>
    <definedName name="IQ_NAMES_REVISION_DATE__" hidden="1">43558.745474537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BOOKING_LOCATION_ADJUSTMENT_FOREIGN_FFIEC" hidden="1">"c15385"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REUT" hidden="1">"c5473"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REUT" hidden="1">"c3976"</definedName>
    <definedName name="IQ_NET_DEBT_GUIDANCE" hidden="1">"c4467"</definedName>
    <definedName name="IQ_NET_DEBT_HIGH_EST" hidden="1">"c3518"</definedName>
    <definedName name="IQ_NET_DEBT_HIGH_EST_REUT" hidden="1">"c3978"</definedName>
    <definedName name="IQ_NET_DEBT_HIGH_GUIDANCE" hidden="1">"c4181"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REUT" hidden="1">"c3979"</definedName>
    <definedName name="IQ_NET_DEBT_LOW_GUIDANCE" hidden="1">"c4221"</definedName>
    <definedName name="IQ_NET_DEBT_MEDIAN_EST" hidden="1">"c3520"</definedName>
    <definedName name="IQ_NET_DEBT_MEDIAN_EST_REUT" hidden="1">"c3977"</definedName>
    <definedName name="IQ_NET_DEBT_NUM_EST" hidden="1">"c3515"</definedName>
    <definedName name="IQ_NET_DEBT_NUM_EST_REUT" hidden="1">"c3980"</definedName>
    <definedName name="IQ_NET_DEBT_STDDEV_EST" hidden="1">"c3516"</definedName>
    <definedName name="IQ_NET_DEBT_STDDEV_EST_REUT" hidden="1">"c3981"</definedName>
    <definedName name="IQ_NET_EARNED" hidden="1">"c2734"</definedName>
    <definedName name="IQ_NET_GAIN_LOSS_OREO_EXP_FFIEC" hidden="1">"c15370"</definedName>
    <definedName name="IQ_NET_GAIN_LOSS_OREO_INC_FFIEC" hidden="1">"c15367"</definedName>
    <definedName name="IQ_NET_GAIN_LOSS_SALES_LOANS_EXP_FFIEC" hidden="1">"c15371"</definedName>
    <definedName name="IQ_NET_GAIN_LOSS_SALES_LOANS_INC_FFIEC" hidden="1">"c15368"</definedName>
    <definedName name="IQ_NET_GAIN_SALE_PREMISES_FIXED_ASSETS_EXP_FFIEC" hidden="1">"c15372"</definedName>
    <definedName name="IQ_NET_GAIN_SALE_PREMISES_FIXED_ASSETS_INC_FFIEC" hidden="1">"c15369"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"c158"</definedName>
    <definedName name="IQ_NET_INC_GROWTH_2" hidden="1">"c162"</definedName>
    <definedName name="IQ_NET_INC_MARGIN" hidden="1">"c1398"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INC_INTERNATIONAL_OPS_FFIEC" hidden="1">"c15375"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NONINTEREST_INC_EXP_INTERNATIONAL_OPS_FFIEC" hidden="1">"c15387"</definedName>
    <definedName name="IQ_NET_OPERATING_INCOME_ASSETS_FDIC" hidden="1">"c6729"</definedName>
    <definedName name="IQ_NET_RENTAL_EXP_FN" hidden="1">"c780"</definedName>
    <definedName name="IQ_NET_SECURITIZATION_INC_FOREIGN_FFIEC" hidden="1">"c15379"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ANK_AND_NONCONTROLLING_INTEREST_FFIEC" hidden="1">"c15365"</definedName>
    <definedName name="IQ_NI_BEFORE_CAPITALIZED" hidden="1">"c792"</definedName>
    <definedName name="IQ_NI_BEFORE_INTERNAL_ALLOCATIONS_FOREIGN_FFIEC" hidden="1">"c15393"</definedName>
    <definedName name="IQ_NI_CF" hidden="1">"c793"</definedName>
    <definedName name="IQ_NI_EST" hidden="1">"c1716"</definedName>
    <definedName name="IQ_NI_EST_REUT" hidden="1">"c5368"</definedName>
    <definedName name="IQ_NI_GAAP_GUIDANCE" hidden="1">"c4470"</definedName>
    <definedName name="IQ_NI_GAAP_HIGH_GUIDANCE" hidden="1">"c4177"</definedName>
    <definedName name="IQ_NI_GAAP_LOW_GUIDANCE" hidden="1">"c4217"</definedName>
    <definedName name="IQ_NI_GUIDANCE" hidden="1">"c4469"</definedName>
    <definedName name="IQ_NI_GW_EST" hidden="1">"c1723"</definedName>
    <definedName name="IQ_NI_GW_EST_REUT" hidden="1">"c5375"</definedName>
    <definedName name="IQ_NI_GW_GUIDANCE" hidden="1">"c4471"</definedName>
    <definedName name="IQ_NI_GW_HIGH_EST" hidden="1">"c1725"</definedName>
    <definedName name="IQ_NI_GW_HIGH_EST_REUT" hidden="1">"c5377"</definedName>
    <definedName name="IQ_NI_GW_HIGH_GUIDANCE" hidden="1">"c4178"</definedName>
    <definedName name="IQ_NI_GW_LOW_EST" hidden="1">"c1726"</definedName>
    <definedName name="IQ_NI_GW_LOW_EST_REUT" hidden="1">"c5378"</definedName>
    <definedName name="IQ_NI_GW_LOW_GUIDANCE" hidden="1">"c4218"</definedName>
    <definedName name="IQ_NI_GW_MEDIAN_EST" hidden="1">"c1724"</definedName>
    <definedName name="IQ_NI_GW_MEDIAN_EST_REUT" hidden="1">"c5376"</definedName>
    <definedName name="IQ_NI_GW_NUM_EST" hidden="1">"c1727"</definedName>
    <definedName name="IQ_NI_GW_NUM_EST_REUT" hidden="1">"c5379"</definedName>
    <definedName name="IQ_NI_GW_STDDEV_EST" hidden="1">"c1728"</definedName>
    <definedName name="IQ_NI_GW_STDDEV_EST_REUT" hidden="1">"c5380"</definedName>
    <definedName name="IQ_NI_HIGH_EST" hidden="1">"c1718"</definedName>
    <definedName name="IQ_NI_HIGH_EST_REUT" hidden="1">"c5370"</definedName>
    <definedName name="IQ_NI_HIGH_GUIDANCE" hidden="1">"c4176"</definedName>
    <definedName name="IQ_NI_LOW_EST" hidden="1">"c1719"</definedName>
    <definedName name="IQ_NI_LOW_EST_REUT" hidden="1">"c5371"</definedName>
    <definedName name="IQ_NI_LOW_GUIDANCE" hidden="1">"c4216"</definedName>
    <definedName name="IQ_NI_MARGIN" hidden="1">"c794"</definedName>
    <definedName name="IQ_NI_MEDIAN_EST" hidden="1">"c1717"</definedName>
    <definedName name="IQ_NI_MEDIAN_EST_REUT" hidden="1">"c5369"</definedName>
    <definedName name="IQ_NI_NON_CONTROLLING_INTERESTS_FFIEC" hidden="1">"c15366"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REUT" hidden="1">"c5372"</definedName>
    <definedName name="IQ_NI_REPORTED_EST" hidden="1">"c1730"</definedName>
    <definedName name="IQ_NI_REPORTED_EST_REUT" hidden="1">"c5382"</definedName>
    <definedName name="IQ_NI_REPORTED_HIGH_EST" hidden="1">"c1732"</definedName>
    <definedName name="IQ_NI_REPORTED_HIGH_EST_REUT" hidden="1">"c5384"</definedName>
    <definedName name="IQ_NI_REPORTED_LOW_EST" hidden="1">"c1733"</definedName>
    <definedName name="IQ_NI_REPORTED_LOW_EST_REUT" hidden="1">"c5385"</definedName>
    <definedName name="IQ_NI_REPORTED_MEDIAN_EST" hidden="1">"c1731"</definedName>
    <definedName name="IQ_NI_REPORTED_MEDIAN_EST_REUT" hidden="1">"c5383"</definedName>
    <definedName name="IQ_NI_REPORTED_NUM_EST" hidden="1">"c1734"</definedName>
    <definedName name="IQ_NI_REPORTED_NUM_EST_REUT" hidden="1">"c5386"</definedName>
    <definedName name="IQ_NI_REPORTED_STDDEV_EST" hidden="1">"c1735"</definedName>
    <definedName name="IQ_NI_REPORTED_STDDEV_EST_REUT" hidden="1">"c5387"</definedName>
    <definedName name="IQ_NI_SBC_ACT_OR_EST" hidden="1">"c4474"</definedName>
    <definedName name="IQ_NI_SBC_EST" hidden="1">"c4473"</definedName>
    <definedName name="IQ_NI_SBC_GUIDANCE" hidden="1">"c4475"</definedName>
    <definedName name="IQ_NI_SBC_GW_ACT_OR_EST" hidden="1">"c4478"</definedName>
    <definedName name="IQ_NI_SBC_GW_EST" hidden="1">"c4477"</definedName>
    <definedName name="IQ_NI_SBC_GW_GUIDANCE" hidden="1">"c4479"</definedName>
    <definedName name="IQ_NI_SBC_GW_HIGH_EST" hidden="1">"c4480"</definedName>
    <definedName name="IQ_NI_SBC_GW_HIGH_GUIDANCE" hidden="1">"c4187"</definedName>
    <definedName name="IQ_NI_SBC_GW_LOW_EST" hidden="1">"c4481"</definedName>
    <definedName name="IQ_NI_SBC_GW_LOW_GUIDANCE" hidden="1">"c4227"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HIGH_GUIDANCE" hidden="1">"c4186"</definedName>
    <definedName name="IQ_NI_SBC_LOW_EST" hidden="1">"c4487"</definedName>
    <definedName name="IQ_NI_SBC_LOW_GUIDANCE" hidden="1">"c4226"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 hidden="1">"c795"</definedName>
    <definedName name="IQ_NI_STDDEV_EST" hidden="1">"c1721"</definedName>
    <definedName name="IQ_NI_STDDEV_EST_REUT" hidden="1">"c5373"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ASSET_SOLD_DURING_QTR_FFIEC" hidden="1">"c15350"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FARM_NONRES_DOM_FFIEC" hidden="1">"c15271"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_FOREIGN_FFIEC" hidden="1">"c15376"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OFFIC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BLIGATION_STATES_POLI_SUBD_US_LL_REC_DOM_FFIEC" hidden="1">"c15295"</definedName>
    <definedName name="IQ_OBLIGATION_STATES_POLI_SUBD_US_LL_REC_FFIEC" hidden="1">"c15294"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ACT_OR_EST_REUT" hidden="1">"c5466"</definedName>
    <definedName name="IQ_OPER_INC_BR" hidden="1">"c850"</definedName>
    <definedName name="IQ_OPER_INC_EST" hidden="1">"c1688"</definedName>
    <definedName name="IQ_OPER_INC_EST_REUT" hidden="1">"c5340"</definedName>
    <definedName name="IQ_OPER_INC_FIN" hidden="1">"c851"</definedName>
    <definedName name="IQ_OPER_INC_HIGH_EST" hidden="1">"c1690"</definedName>
    <definedName name="IQ_OPER_INC_HIGH_EST_REUT" hidden="1">"c5342"</definedName>
    <definedName name="IQ_OPER_INC_INS" hidden="1">"c852"</definedName>
    <definedName name="IQ_OPER_INC_LOW_EST" hidden="1">"c1691"</definedName>
    <definedName name="IQ_OPER_INC_LOW_EST_REUT" hidden="1">"c5343"</definedName>
    <definedName name="IQ_OPER_INC_MARGIN" hidden="1">"c1448"</definedName>
    <definedName name="IQ_OPER_INC_MEDIAN_EST" hidden="1">"c1689"</definedName>
    <definedName name="IQ_OPER_INC_MEDIAN_EST_REUT" hidden="1">"c5341"</definedName>
    <definedName name="IQ_OPER_INC_NUM_EST" hidden="1">"c1692"</definedName>
    <definedName name="IQ_OPER_INC_NUM_EST_REUT" hidden="1">"c5344"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OS" hidden="1">"c858"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FOREIGN_FFIEC" hidden="1">"c15273"</definedName>
    <definedName name="IQ_OREO_MULTI_FAMILY_RESIDENTIAL_FDIC" hidden="1">"c6455"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BORROWED_MONEY_FAIR_VALUE_TOT_FFIEC" hidden="1">"c15409"</definedName>
    <definedName name="IQ_OTHER_BORROWED_MONEY_LEVEL_1_FFIEC" hidden="1">"c15431"</definedName>
    <definedName name="IQ_OTHER_BORROWED_MONEY_LEVEL_2_FFIEC" hidden="1">"c15444"</definedName>
    <definedName name="IQ_OTHER_BORROWED_MONEY_LEVEL_3_FFIEC" hidden="1">"c15457"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BT_SECURITIES_QUARTERLY_AVG_FFIEC" hidden="1">"c15473"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BF_DEPOSIT_LIABILITIES_FFIEC" hidden="1">"c15301"</definedName>
    <definedName name="IQ_OTHER_INDIVIDUAL_FAMILY_DOM_QUARTERLY_AVG_FFIEC" hidden="1">"c15481"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INING_REVENUE_COAL" hidden="1">"c15931"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INTEREST_INC_FOREIGN_FFIEC" hidden="1">"c15380"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 hidden="1">"c6554"</definedName>
    <definedName name="IQ_OTHER_SAVINGS_DEPOSITS_NON_TRANS_ACCTS_FFIEC" hidden="1">"c15331"</definedName>
    <definedName name="IQ_OTHER_SECURITIES_QUARTERLY_AVG_FFIEC" hidden="1">"c15472"</definedName>
    <definedName name="IQ_OTHER_STRIKE_PRICE_GRANTED" hidden="1">"c2692"</definedName>
    <definedName name="IQ_OTHER_TRADING_ASSETS_FAIR_VALUE_TOT_FFIEC" hidden="1">"c15404"</definedName>
    <definedName name="IQ_OTHER_TRADING_ASSETS_LEVEL_1_FFIEC" hidden="1">"c15426"</definedName>
    <definedName name="IQ_OTHER_TRADING_ASSETS_LEVEL_2_FFIEC" hidden="1">"c15439"</definedName>
    <definedName name="IQ_OTHER_TRADING_ASSETS_LEVEL_3_FFIEC" hidden="1">"c15452"</definedName>
    <definedName name="IQ_OTHER_TRADING_LIABILITIES_FAIR_VALUE_TOT_FFIEC" hidden="1">"c15408"</definedName>
    <definedName name="IQ_OTHER_TRADING_LIABILITIES_LEVEL_1_FFIEC" hidden="1">"c15430"</definedName>
    <definedName name="IQ_OTHER_TRADING_LIABILITIES_LEVEL_2_FFIEC" hidden="1">"c15443"</definedName>
    <definedName name="IQ_OTHER_TRADING_LIABILITIES_LEVEL_3_FFIEC" hidden="1">"c15456"</definedName>
    <definedName name="IQ_OTHER_TRANSACTIONS_FDIC" hidden="1">"c6504"</definedName>
    <definedName name="IQ_OTHER_UNDRAWN" hidden="1">"c2522"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"c2127"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BV_FWD" hidden="1">"c15235"</definedName>
    <definedName name="IQ_PBV_FWD_CIQ" hidden="1">"c15236"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REUT" hidden="1">"c3959"</definedName>
    <definedName name="IQ_PERCENT_CHANGE_EST_5YR_GROWTH_RATE_18MONTHS" hidden="1">"c1853"</definedName>
    <definedName name="IQ_PERCENT_CHANGE_EST_5YR_GROWTH_RATE_18MONTHS_REUT" hidden="1">"c3960"</definedName>
    <definedName name="IQ_PERCENT_CHANGE_EST_5YR_GROWTH_RATE_3MONTHS" hidden="1">"c1849"</definedName>
    <definedName name="IQ_PERCENT_CHANGE_EST_5YR_GROWTH_RATE_3MONTHS_REUT" hidden="1">"c3956"</definedName>
    <definedName name="IQ_PERCENT_CHANGE_EST_5YR_GROWTH_RATE_6MONTHS" hidden="1">"c1850"</definedName>
    <definedName name="IQ_PERCENT_CHANGE_EST_5YR_GROWTH_RATE_6MONTHS_REUT" hidden="1">"c3957"</definedName>
    <definedName name="IQ_PERCENT_CHANGE_EST_5YR_GROWTH_RATE_9MONTHS" hidden="1">"c1851"</definedName>
    <definedName name="IQ_PERCENT_CHANGE_EST_5YR_GROWTH_RATE_9MONTHS_REUT" hidden="1">"c3958"</definedName>
    <definedName name="IQ_PERCENT_CHANGE_EST_5YR_GROWTH_RATE_DAY" hidden="1">"c1846"</definedName>
    <definedName name="IQ_PERCENT_CHANGE_EST_5YR_GROWTH_RATE_DAY_REUT" hidden="1">"c3954"</definedName>
    <definedName name="IQ_PERCENT_CHANGE_EST_5YR_GROWTH_RATE_MONTH" hidden="1">"c1848"</definedName>
    <definedName name="IQ_PERCENT_CHANGE_EST_5YR_GROWTH_RATE_MONTH_REUT" hidden="1">"c3955"</definedName>
    <definedName name="IQ_PERCENT_CHANGE_EST_5YR_GROWTH_RATE_WEEK" hidden="1">"c1847"</definedName>
    <definedName name="IQ_PERCENT_CHANGE_EST_5YR_GROWTH_RATE_WEEK_REUT" hidden="1">"c5435"</definedName>
    <definedName name="IQ_PERCENT_CHANGE_EST_CFPS_12MONTHS" hidden="1">"c1812"</definedName>
    <definedName name="IQ_PERCENT_CHANGE_EST_CFPS_12MONTHS_REUT" hidden="1">"c3924"</definedName>
    <definedName name="IQ_PERCENT_CHANGE_EST_CFPS_18MONTHS" hidden="1">"c1813"</definedName>
    <definedName name="IQ_PERCENT_CHANGE_EST_CFPS_18MONTHS_REUT" hidden="1">"c3925"</definedName>
    <definedName name="IQ_PERCENT_CHANGE_EST_CFPS_3MONTHS" hidden="1">"c1809"</definedName>
    <definedName name="IQ_PERCENT_CHANGE_EST_CFPS_3MONTHS_REUT" hidden="1">"c3921"</definedName>
    <definedName name="IQ_PERCENT_CHANGE_EST_CFPS_6MONTHS" hidden="1">"c1810"</definedName>
    <definedName name="IQ_PERCENT_CHANGE_EST_CFPS_6MONTHS_REUT" hidden="1">"c3922"</definedName>
    <definedName name="IQ_PERCENT_CHANGE_EST_CFPS_9MONTHS" hidden="1">"c1811"</definedName>
    <definedName name="IQ_PERCENT_CHANGE_EST_CFPS_9MONTHS_REUT" hidden="1">"c3923"</definedName>
    <definedName name="IQ_PERCENT_CHANGE_EST_CFPS_DAY" hidden="1">"c1806"</definedName>
    <definedName name="IQ_PERCENT_CHANGE_EST_CFPS_DAY_REUT" hidden="1">"c3919"</definedName>
    <definedName name="IQ_PERCENT_CHANGE_EST_CFPS_MONTH" hidden="1">"c1808"</definedName>
    <definedName name="IQ_PERCENT_CHANGE_EST_CFPS_MONTH_REUT" hidden="1">"c3920"</definedName>
    <definedName name="IQ_PERCENT_CHANGE_EST_CFPS_WEEK" hidden="1">"c1807"</definedName>
    <definedName name="IQ_PERCENT_CHANGE_EST_CFPS_WEEK_REUT" hidden="1">"c3962"</definedName>
    <definedName name="IQ_PERCENT_CHANGE_EST_DPS_12MONTHS" hidden="1">"c1820"</definedName>
    <definedName name="IQ_PERCENT_CHANGE_EST_DPS_12MONTHS_REUT" hidden="1">"c3931"</definedName>
    <definedName name="IQ_PERCENT_CHANGE_EST_DPS_18MONTHS" hidden="1">"c1821"</definedName>
    <definedName name="IQ_PERCENT_CHANGE_EST_DPS_18MONTHS_REUT" hidden="1">"c3932"</definedName>
    <definedName name="IQ_PERCENT_CHANGE_EST_DPS_3MONTHS" hidden="1">"c1817"</definedName>
    <definedName name="IQ_PERCENT_CHANGE_EST_DPS_3MONTHS_REUT" hidden="1">"c3928"</definedName>
    <definedName name="IQ_PERCENT_CHANGE_EST_DPS_6MONTHS" hidden="1">"c1818"</definedName>
    <definedName name="IQ_PERCENT_CHANGE_EST_DPS_6MONTHS_REUT" hidden="1">"c3929"</definedName>
    <definedName name="IQ_PERCENT_CHANGE_EST_DPS_9MONTHS" hidden="1">"c1819"</definedName>
    <definedName name="IQ_PERCENT_CHANGE_EST_DPS_9MONTHS_REUT" hidden="1">"c3930"</definedName>
    <definedName name="IQ_PERCENT_CHANGE_EST_DPS_DAY" hidden="1">"c1814"</definedName>
    <definedName name="IQ_PERCENT_CHANGE_EST_DPS_DAY_REUT" hidden="1">"c3926"</definedName>
    <definedName name="IQ_PERCENT_CHANGE_EST_DPS_MONTH" hidden="1">"c1816"</definedName>
    <definedName name="IQ_PERCENT_CHANGE_EST_DPS_MONTH_REUT" hidden="1">"c3927"</definedName>
    <definedName name="IQ_PERCENT_CHANGE_EST_DPS_WEEK" hidden="1">"c1815"</definedName>
    <definedName name="IQ_PERCENT_CHANGE_EST_DPS_WEEK_REUT" hidden="1">"c3963"</definedName>
    <definedName name="IQ_PERCENT_CHANGE_EST_EBITDA_12MONTHS" hidden="1">"c1804"</definedName>
    <definedName name="IQ_PERCENT_CHANGE_EST_EBITDA_12MONTHS_REUT" hidden="1">"c3917"</definedName>
    <definedName name="IQ_PERCENT_CHANGE_EST_EBITDA_18MONTHS" hidden="1">"c1805"</definedName>
    <definedName name="IQ_PERCENT_CHANGE_EST_EBITDA_18MONTHS_REUT" hidden="1">"c3918"</definedName>
    <definedName name="IQ_PERCENT_CHANGE_EST_EBITDA_3MONTHS" hidden="1">"c1801"</definedName>
    <definedName name="IQ_PERCENT_CHANGE_EST_EBITDA_3MONTHS_REUT" hidden="1">"c3914"</definedName>
    <definedName name="IQ_PERCENT_CHANGE_EST_EBITDA_6MONTHS" hidden="1">"c1802"</definedName>
    <definedName name="IQ_PERCENT_CHANGE_EST_EBITDA_6MONTHS_REUT" hidden="1">"c3915"</definedName>
    <definedName name="IQ_PERCENT_CHANGE_EST_EBITDA_9MONTHS" hidden="1">"c1803"</definedName>
    <definedName name="IQ_PERCENT_CHANGE_EST_EBITDA_9MONTHS_REUT" hidden="1">"c3916"</definedName>
    <definedName name="IQ_PERCENT_CHANGE_EST_EBITDA_DAY" hidden="1">"c1798"</definedName>
    <definedName name="IQ_PERCENT_CHANGE_EST_EBITDA_DAY_REUT" hidden="1">"c3912"</definedName>
    <definedName name="IQ_PERCENT_CHANGE_EST_EBITDA_MONTH" hidden="1">"c1800"</definedName>
    <definedName name="IQ_PERCENT_CHANGE_EST_EBITDA_MONTH_REUT" hidden="1">"c3913"</definedName>
    <definedName name="IQ_PERCENT_CHANGE_EST_EBITDA_WEEK" hidden="1">"c1799"</definedName>
    <definedName name="IQ_PERCENT_CHANGE_EST_EBITDA_WEEK_REUT" hidden="1">"c3961"</definedName>
    <definedName name="IQ_PERCENT_CHANGE_EST_EPS_12MONTHS" hidden="1">"c1788"</definedName>
    <definedName name="IQ_PERCENT_CHANGE_EST_EPS_12MONTHS_REUT" hidden="1">"c3902"</definedName>
    <definedName name="IQ_PERCENT_CHANGE_EST_EPS_18MONTHS" hidden="1">"c1789"</definedName>
    <definedName name="IQ_PERCENT_CHANGE_EST_EPS_18MONTHS_REUT" hidden="1">"c3903"</definedName>
    <definedName name="IQ_PERCENT_CHANGE_EST_EPS_3MONTHS" hidden="1">"c1785"</definedName>
    <definedName name="IQ_PERCENT_CHANGE_EST_EPS_3MONTHS_REUT" hidden="1">"c3899"</definedName>
    <definedName name="IQ_PERCENT_CHANGE_EST_EPS_6MONTHS" hidden="1">"c1786"</definedName>
    <definedName name="IQ_PERCENT_CHANGE_EST_EPS_6MONTHS_REUT" hidden="1">"c3900"</definedName>
    <definedName name="IQ_PERCENT_CHANGE_EST_EPS_9MONTHS" hidden="1">"c1787"</definedName>
    <definedName name="IQ_PERCENT_CHANGE_EST_EPS_9MONTHS_REUT" hidden="1">"c3901"</definedName>
    <definedName name="IQ_PERCENT_CHANGE_EST_EPS_DAY" hidden="1">"c1782"</definedName>
    <definedName name="IQ_PERCENT_CHANGE_EST_EPS_DAY_REUT" hidden="1">"c3896"</definedName>
    <definedName name="IQ_PERCENT_CHANGE_EST_EPS_MONTH" hidden="1">"c1784"</definedName>
    <definedName name="IQ_PERCENT_CHANGE_EST_EPS_MONTH_REUT" hidden="1">"c3898"</definedName>
    <definedName name="IQ_PERCENT_CHANGE_EST_EPS_WEEK" hidden="1">"c1783"</definedName>
    <definedName name="IQ_PERCENT_CHANGE_EST_EPS_WEEK_REUT" hidden="1">"c3897"</definedName>
    <definedName name="IQ_PERCENT_CHANGE_EST_FFO_12MONTHS" hidden="1">"c1828"</definedName>
    <definedName name="IQ_PERCENT_CHANGE_EST_FFO_12MONTHS_CIQ" hidden="1">"c3769"</definedName>
    <definedName name="IQ_PERCENT_CHANGE_EST_FFO_12MONTHS_REUT" hidden="1">"c3938"</definedName>
    <definedName name="IQ_PERCENT_CHANGE_EST_FFO_18MONTHS" hidden="1">"c1829"</definedName>
    <definedName name="IQ_PERCENT_CHANGE_EST_FFO_18MONTHS_CIQ" hidden="1">"c3770"</definedName>
    <definedName name="IQ_PERCENT_CHANGE_EST_FFO_18MONTHS_REUT" hidden="1">"c3939"</definedName>
    <definedName name="IQ_PERCENT_CHANGE_EST_FFO_3MONTHS" hidden="1">"c1825"</definedName>
    <definedName name="IQ_PERCENT_CHANGE_EST_FFO_3MONTHS_CIQ" hidden="1">"c3766"</definedName>
    <definedName name="IQ_PERCENT_CHANGE_EST_FFO_3MONTHS_REUT" hidden="1">"c3935"</definedName>
    <definedName name="IQ_PERCENT_CHANGE_EST_FFO_6MONTHS" hidden="1">"c1826"</definedName>
    <definedName name="IQ_PERCENT_CHANGE_EST_FFO_6MONTHS_CIQ" hidden="1">"c3767"</definedName>
    <definedName name="IQ_PERCENT_CHANGE_EST_FFO_6MONTHS_REUT" hidden="1">"c3936"</definedName>
    <definedName name="IQ_PERCENT_CHANGE_EST_FFO_9MONTHS" hidden="1">"c1827"</definedName>
    <definedName name="IQ_PERCENT_CHANGE_EST_FFO_9MONTHS_CIQ" hidden="1">"c3768"</definedName>
    <definedName name="IQ_PERCENT_CHANGE_EST_FFO_9MONTHS_REUT" hidden="1">"c3937"</definedName>
    <definedName name="IQ_PERCENT_CHANGE_EST_FFO_DAY" hidden="1">"c1822"</definedName>
    <definedName name="IQ_PERCENT_CHANGE_EST_FFO_DAY_CIQ" hidden="1">"c3764"</definedName>
    <definedName name="IQ_PERCENT_CHANGE_EST_FFO_DAY_REUT" hidden="1">"c3933"</definedName>
    <definedName name="IQ_PERCENT_CHANGE_EST_FFO_MONTH" hidden="1">"c1824"</definedName>
    <definedName name="IQ_PERCENT_CHANGE_EST_FFO_MONTH_CIQ" hidden="1">"c3765"</definedName>
    <definedName name="IQ_PERCENT_CHANGE_EST_FFO_MONTH_REUT" hidden="1">"c3934"</definedName>
    <definedName name="IQ_PERCENT_CHANGE_EST_FFO_SHARE_SHARE_12MONTHS" hidden="1">"c1828"</definedName>
    <definedName name="IQ_PERCENT_CHANGE_EST_FFO_SHARE_SHARE_12MONTHS_REUT" hidden="1">"c3938"</definedName>
    <definedName name="IQ_PERCENT_CHANGE_EST_FFO_SHARE_SHARE_18MONTHS" hidden="1">"c1829"</definedName>
    <definedName name="IQ_PERCENT_CHANGE_EST_FFO_SHARE_SHARE_18MONTHS_REUT" hidden="1">"c3939"</definedName>
    <definedName name="IQ_PERCENT_CHANGE_EST_FFO_SHARE_SHARE_3MONTHS" hidden="1">"c1825"</definedName>
    <definedName name="IQ_PERCENT_CHANGE_EST_FFO_SHARE_SHARE_3MONTHS_REUT" hidden="1">"c3935"</definedName>
    <definedName name="IQ_PERCENT_CHANGE_EST_FFO_SHARE_SHARE_6MONTHS" hidden="1">"c1826"</definedName>
    <definedName name="IQ_PERCENT_CHANGE_EST_FFO_SHARE_SHARE_6MONTHS_REUT" hidden="1">"c3936"</definedName>
    <definedName name="IQ_PERCENT_CHANGE_EST_FFO_SHARE_SHARE_9MONTHS" hidden="1">"c1827"</definedName>
    <definedName name="IQ_PERCENT_CHANGE_EST_FFO_SHARE_SHARE_9MONTHS_REUT" hidden="1">"c3937"</definedName>
    <definedName name="IQ_PERCENT_CHANGE_EST_FFO_SHARE_SHARE_DAY" hidden="1">"c1822"</definedName>
    <definedName name="IQ_PERCENT_CHANGE_EST_FFO_SHARE_SHARE_DAY_REUT" hidden="1">"c3933"</definedName>
    <definedName name="IQ_PERCENT_CHANGE_EST_FFO_SHARE_SHARE_MONTH" hidden="1">"c1824"</definedName>
    <definedName name="IQ_PERCENT_CHANGE_EST_FFO_SHARE_SHARE_MONTH_REUT" hidden="1">"c3934"</definedName>
    <definedName name="IQ_PERCENT_CHANGE_EST_FFO_SHARE_SHARE_WEEK" hidden="1">"c1823"</definedName>
    <definedName name="IQ_PERCENT_CHANGE_EST_FFO_SHARE_SHARE_WEEK_REUT" hidden="1">"c3964"</definedName>
    <definedName name="IQ_PERCENT_CHANGE_EST_FFO_WEEK" hidden="1">"c1823"</definedName>
    <definedName name="IQ_PERCENT_CHANGE_EST_FFO_WEEK_CIQ" hidden="1">"c3795"</definedName>
    <definedName name="IQ_PERCENT_CHANGE_EST_FFO_WEEK_REUT" hidden="1">"c3964"</definedName>
    <definedName name="IQ_PERCENT_CHANGE_EST_PRICE_TARGET_12MONTHS" hidden="1">"c1844"</definedName>
    <definedName name="IQ_PERCENT_CHANGE_EST_PRICE_TARGET_12MONTHS_REUT" hidden="1">"c3952"</definedName>
    <definedName name="IQ_PERCENT_CHANGE_EST_PRICE_TARGET_18MONTHS" hidden="1">"c1845"</definedName>
    <definedName name="IQ_PERCENT_CHANGE_EST_PRICE_TARGET_18MONTHS_REUT" hidden="1">"c3953"</definedName>
    <definedName name="IQ_PERCENT_CHANGE_EST_PRICE_TARGET_3MONTHS" hidden="1">"c1841"</definedName>
    <definedName name="IQ_PERCENT_CHANGE_EST_PRICE_TARGET_3MONTHS_REUT" hidden="1">"c3949"</definedName>
    <definedName name="IQ_PERCENT_CHANGE_EST_PRICE_TARGET_6MONTHS" hidden="1">"c1842"</definedName>
    <definedName name="IQ_PERCENT_CHANGE_EST_PRICE_TARGET_6MONTHS_REUT" hidden="1">"c3950"</definedName>
    <definedName name="IQ_PERCENT_CHANGE_EST_PRICE_TARGET_9MONTHS" hidden="1">"c1843"</definedName>
    <definedName name="IQ_PERCENT_CHANGE_EST_PRICE_TARGET_9MONTHS_REUT" hidden="1">"c3951"</definedName>
    <definedName name="IQ_PERCENT_CHANGE_EST_PRICE_TARGET_DAY" hidden="1">"c1838"</definedName>
    <definedName name="IQ_PERCENT_CHANGE_EST_PRICE_TARGET_DAY_REUT" hidden="1">"c3947"</definedName>
    <definedName name="IQ_PERCENT_CHANGE_EST_PRICE_TARGET_MONTH" hidden="1">"c1840"</definedName>
    <definedName name="IQ_PERCENT_CHANGE_EST_PRICE_TARGET_MONTH_REUT" hidden="1">"c3948"</definedName>
    <definedName name="IQ_PERCENT_CHANGE_EST_PRICE_TARGET_WEEK" hidden="1">"c1839"</definedName>
    <definedName name="IQ_PERCENT_CHANGE_EST_PRICE_TARGET_WEEK_REUT" hidden="1">"c3967"</definedName>
    <definedName name="IQ_PERCENT_CHANGE_EST_RECO_12MONTHS" hidden="1">"c1836"</definedName>
    <definedName name="IQ_PERCENT_CHANGE_EST_RECO_12MONTHS_REUT" hidden="1">"c3945"</definedName>
    <definedName name="IQ_PERCENT_CHANGE_EST_RECO_18MONTHS" hidden="1">"c1837"</definedName>
    <definedName name="IQ_PERCENT_CHANGE_EST_RECO_18MONTHS_REUT" hidden="1">"c3946"</definedName>
    <definedName name="IQ_PERCENT_CHANGE_EST_RECO_3MONTHS" hidden="1">"c1833"</definedName>
    <definedName name="IQ_PERCENT_CHANGE_EST_RECO_3MONTHS_REUT" hidden="1">"c3942"</definedName>
    <definedName name="IQ_PERCENT_CHANGE_EST_RECO_6MONTHS" hidden="1">"c1834"</definedName>
    <definedName name="IQ_PERCENT_CHANGE_EST_RECO_6MONTHS_REUT" hidden="1">"c3943"</definedName>
    <definedName name="IQ_PERCENT_CHANGE_EST_RECO_9MONTHS" hidden="1">"c1835"</definedName>
    <definedName name="IQ_PERCENT_CHANGE_EST_RECO_9MONTHS_REUT" hidden="1">"c3944"</definedName>
    <definedName name="IQ_PERCENT_CHANGE_EST_RECO_DAY" hidden="1">"c1830"</definedName>
    <definedName name="IQ_PERCENT_CHANGE_EST_RECO_DAY_REUT" hidden="1">"c3940"</definedName>
    <definedName name="IQ_PERCENT_CHANGE_EST_RECO_MONTH" hidden="1">"c1832"</definedName>
    <definedName name="IQ_PERCENT_CHANGE_EST_RECO_MONTH_REUT" hidden="1">"c3941"</definedName>
    <definedName name="IQ_PERCENT_CHANGE_EST_RECO_WEEK" hidden="1">"c1831"</definedName>
    <definedName name="IQ_PERCENT_CHANGE_EST_RECO_WEEK_REUT" hidden="1">"c3965"</definedName>
    <definedName name="IQ_PERCENT_CHANGE_EST_REV_12MONTHS" hidden="1">"c1796"</definedName>
    <definedName name="IQ_PERCENT_CHANGE_EST_REV_12MONTHS_REUT" hidden="1">"c3910"</definedName>
    <definedName name="IQ_PERCENT_CHANGE_EST_REV_18MONTHS" hidden="1">"c1797"</definedName>
    <definedName name="IQ_PERCENT_CHANGE_EST_REV_18MONTHS_REUT" hidden="1">"c3911"</definedName>
    <definedName name="IQ_PERCENT_CHANGE_EST_REV_3MONTHS" hidden="1">"c1793"</definedName>
    <definedName name="IQ_PERCENT_CHANGE_EST_REV_3MONTHS_REUT" hidden="1">"c3907"</definedName>
    <definedName name="IQ_PERCENT_CHANGE_EST_REV_6MONTHS" hidden="1">"c1794"</definedName>
    <definedName name="IQ_PERCENT_CHANGE_EST_REV_6MONTHS_REUT" hidden="1">"c3908"</definedName>
    <definedName name="IQ_PERCENT_CHANGE_EST_REV_9MONTHS" hidden="1">"c1795"</definedName>
    <definedName name="IQ_PERCENT_CHANGE_EST_REV_9MONTHS_REUT" hidden="1">"c3909"</definedName>
    <definedName name="IQ_PERCENT_CHANGE_EST_REV_DAY" hidden="1">"c1790"</definedName>
    <definedName name="IQ_PERCENT_CHANGE_EST_REV_DAY_REUT" hidden="1">"c3904"</definedName>
    <definedName name="IQ_PERCENT_CHANGE_EST_REV_MONTH" hidden="1">"c1792"</definedName>
    <definedName name="IQ_PERCENT_CHANGE_EST_REV_MONTH_REUT" hidden="1">"c3906"</definedName>
    <definedName name="IQ_PERCENT_CHANGE_EST_REV_WEEK" hidden="1">"c1791"</definedName>
    <definedName name="IQ_PERCENT_CHANGE_EST_REV_WEEK_REUT" hidden="1">"c3905"</definedName>
    <definedName name="IQ_PERCENT_INSURED_FDIC" hidden="1">"c6374"</definedName>
    <definedName name="IQ_PERIODDATE" hidden="1">"c1414"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REUT" hidden="1">"c3968"</definedName>
    <definedName name="IQ_PRE_OPEN_COST" hidden="1">"c1040"</definedName>
    <definedName name="IQ_PRE_TAX_ACT_OR_EST" hidden="1">"c2221"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DEPOSITS_FFIEC" hidden="1">"c15312"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SIDENT_ID" hidden="1">"c15216"</definedName>
    <definedName name="IQ_PRESIDENT_NAME" hidden="1">"c15215"</definedName>
    <definedName name="IQ_PRETAX_GW_INC_EST" hidden="1">"c1702"</definedName>
    <definedName name="IQ_PRETAX_GW_INC_EST_REUT" hidden="1">"c5354"</definedName>
    <definedName name="IQ_PRETAX_GW_INC_HIGH_EST" hidden="1">"c1704"</definedName>
    <definedName name="IQ_PRETAX_GW_INC_HIGH_EST_REUT" hidden="1">"c5356"</definedName>
    <definedName name="IQ_PRETAX_GW_INC_LOW_EST" hidden="1">"c1705"</definedName>
    <definedName name="IQ_PRETAX_GW_INC_LOW_EST_REUT" hidden="1">"c5357"</definedName>
    <definedName name="IQ_PRETAX_GW_INC_MEDIAN_EST" hidden="1">"c1703"</definedName>
    <definedName name="IQ_PRETAX_GW_INC_MEDIAN_EST_REUT" hidden="1">"c5355"</definedName>
    <definedName name="IQ_PRETAX_GW_INC_NUM_EST" hidden="1">"c1706"</definedName>
    <definedName name="IQ_PRETAX_GW_INC_NUM_EST_REUT" hidden="1">"c5358"</definedName>
    <definedName name="IQ_PRETAX_GW_INC_STDDEV_EST" hidden="1">"c1707"</definedName>
    <definedName name="IQ_PRETAX_GW_INC_STDDEV_EST_REUT" hidden="1">"c5359"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AFTER_CAP_ALLOCATION_FOREIGN_FFIEC" hidden="1">"c15390"</definedName>
    <definedName name="IQ_PRETAX_INC_BEFORE_CAP_ALLOCATION_FOREIGN_FFIEC" hidden="1">"c15388"</definedName>
    <definedName name="IQ_PRETAX_INC_EST" hidden="1">"c1695"</definedName>
    <definedName name="IQ_PRETAX_INC_EST_REUT" hidden="1">"c5347"</definedName>
    <definedName name="IQ_PRETAX_INC_HIGH_EST" hidden="1">"c1697"</definedName>
    <definedName name="IQ_PRETAX_INC_HIGH_EST_REUT" hidden="1">"c5349"</definedName>
    <definedName name="IQ_PRETAX_INC_LOW_EST" hidden="1">"c1698"</definedName>
    <definedName name="IQ_PRETAX_INC_LOW_EST_REUT" hidden="1">"c5350"</definedName>
    <definedName name="IQ_PRETAX_INC_MEDIAN_EST" hidden="1">"c1696"</definedName>
    <definedName name="IQ_PRETAX_INC_MEDIAN_EST_REUT" hidden="1">"c5348"</definedName>
    <definedName name="IQ_PRETAX_INC_NUM_EST" hidden="1">"c1699"</definedName>
    <definedName name="IQ_PRETAX_INC_NUM_EST_REUT" hidden="1">"c5351"</definedName>
    <definedName name="IQ_PRETAX_INC_STDDEV_EST" hidden="1">"c1700"</definedName>
    <definedName name="IQ_PRETAX_INC_STDDEV_EST_REUT" hidden="1">"c5352"</definedName>
    <definedName name="IQ_PRETAX_REPORT_INC_EST" hidden="1">"c1709"</definedName>
    <definedName name="IQ_PRETAX_REPORT_INC_EST_REUT" hidden="1">"c5361"</definedName>
    <definedName name="IQ_PRETAX_REPORT_INC_HIGH_EST" hidden="1">"c1711"</definedName>
    <definedName name="IQ_PRETAX_REPORT_INC_HIGH_EST_REUT" hidden="1">"c5363"</definedName>
    <definedName name="IQ_PRETAX_REPORT_INC_LOW_EST" hidden="1">"c1712"</definedName>
    <definedName name="IQ_PRETAX_REPORT_INC_LOW_EST_REUT" hidden="1">"c5364"</definedName>
    <definedName name="IQ_PRETAX_REPORT_INC_MEDIAN_EST" hidden="1">"c1710"</definedName>
    <definedName name="IQ_PRETAX_REPORT_INC_MEDIAN_EST_REUT" hidden="1">"c5362"</definedName>
    <definedName name="IQ_PRETAX_REPORT_INC_NUM_EST" hidden="1">"c1713"</definedName>
    <definedName name="IQ_PRETAX_REPORT_INC_NUM_EST_REUT" hidden="1">"c5365"</definedName>
    <definedName name="IQ_PRETAX_REPORT_INC_STDDEV_EST" hidden="1">"c1714"</definedName>
    <definedName name="IQ_PRETAX_REPORT_INC_STDDEV_EST_REUT" hidden="1">"c5366"</definedName>
    <definedName name="IQ_PRETAX_RETURN_ASSETS_FDIC" hidden="1">"c6731"</definedName>
    <definedName name="IQ_PRICE_CFPS_FWD" hidden="1">"c2237"</definedName>
    <definedName name="IQ_PRICE_CFPS_FWD_REUT" hidden="1">"c4053"</definedName>
    <definedName name="IQ_PRICE_OVER_BVPS" hidden="1">"c1412"</definedName>
    <definedName name="IQ_PRICE_OVER_EPS_EST" hidden="1">"c174"</definedName>
    <definedName name="IQ_PRICE_OVER_EPS_EST_1" hidden="1">"c175"</definedName>
    <definedName name="IQ_PRICE_OVER_LTM_EPS" hidden="1">"c1413"</definedName>
    <definedName name="IQ_PRICE_TARGET" hidden="1">"c82"</definedName>
    <definedName name="IQ_PRICE_TARGET_BOTTOM_UP" hidden="1">"c5486"</definedName>
    <definedName name="IQ_PRICE_TARGET_BOTTOM_UP_REUT" hidden="1">"c5494"</definedName>
    <definedName name="IQ_PRICE_TARGET_REUT" hidden="1">"c3631"</definedName>
    <definedName name="IQ_PRICE_VOLATILITY_EST" hidden="1">"c4492"</definedName>
    <definedName name="IQ_PRICE_VOLATILITY_HIGH" hidden="1">"c4493"</definedName>
    <definedName name="IQ_PRICE_VOLATILITY_LOW" hidden="1">"c4494"</definedName>
    <definedName name="IQ_PRICE_VOLATILITY_MEDIAN" hidden="1">"c4495"</definedName>
    <definedName name="IQ_PRICE_VOLATILITY_NUM" hidden="1">"c4496"</definedName>
    <definedName name="IQ_PRICE_VOLATILITY_STDDEV" hidden="1">"c4497"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" hidden="1">"c4498"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ASSISTANT_EMAIL" hidden="1">"c15169"</definedName>
    <definedName name="IQ_PROFESSIONAL_ASSISTANT_FAX" hidden="1">"c15171"</definedName>
    <definedName name="IQ_PROFESSIONAL_ASSISTANT_NAME" hidden="1">"c15168"</definedName>
    <definedName name="IQ_PROFESSIONAL_ASSISTANT_PHONE" hidden="1">"c15170"</definedName>
    <definedName name="IQ_PROFESSIONAL_BACKGROUND" hidden="1">"c15161"</definedName>
    <definedName name="IQ_PROFESSIONAL_DIRECT_FAX" hidden="1">"c15166"</definedName>
    <definedName name="IQ_PROFESSIONAL_DIRECT_PHONE" hidden="1">"c15165"</definedName>
    <definedName name="IQ_PROFESSIONAL_EMAIL" hidden="1">"c15167"</definedName>
    <definedName name="IQ_PROFESSIONAL_MAIN_FAX" hidden="1">"c15164"</definedName>
    <definedName name="IQ_PROFESSIONAL_MAIN_PHONE" hidden="1">"c15163"</definedName>
    <definedName name="IQ_PROFESSIONAL_OFFICE_ADDRESS" hidden="1">"c15162"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_QUARTERLY_AVG_FFIEC" hidden="1">"c15476"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EST" hidden="1">"c4499"</definedName>
    <definedName name="IQ_RECURRING_PROFIT_GUIDANCE" hidden="1">"c4500"</definedName>
    <definedName name="IQ_RECURRING_PROFIT_HIGH_EST" hidden="1">"c4501"</definedName>
    <definedName name="IQ_RECURRING_PROFIT_HIGH_GUIDANCE" hidden="1">"c4179"</definedName>
    <definedName name="IQ_RECURRING_PROFIT_LOW_EST" hidden="1">"c4502"</definedName>
    <definedName name="IQ_RECURRING_PROFIT_LOW_GUIDANCE" hidden="1">"c4219"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EST" hidden="1">"c4506"</definedName>
    <definedName name="IQ_RECURRING_PROFIT_SHARE_GUIDANCE" hidden="1">"c4509"</definedName>
    <definedName name="IQ_RECURRING_PROFIT_SHARE_HIGH_EST" hidden="1">"c4510"</definedName>
    <definedName name="IQ_RECURRING_PROFIT_SHARE_HIGH_GUIDANCE" hidden="1">"c4200"</definedName>
    <definedName name="IQ_RECURRING_PROFIT_SHARE_LOW_EST" hidden="1">"c4511"</definedName>
    <definedName name="IQ_RECURRING_PROFIT_SHARE_LOW_GUIDANCE" hidden="1">"c4240"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ACT_OR_EST" hidden="1">"c3585"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GUIDANCE" hidden="1">"c4517"</definedName>
    <definedName name="IQ_RETURN_ASSETS_HIGH_EST" hidden="1">"c3530"</definedName>
    <definedName name="IQ_RETURN_ASSETS_HIGH_EST_REUT" hidden="1">"c3992"</definedName>
    <definedName name="IQ_RETURN_ASSETS_HIGH_GUIDANCE" hidden="1">"c4183"</definedName>
    <definedName name="IQ_RETURN_ASSETS_LOW_EST" hidden="1">"c3531"</definedName>
    <definedName name="IQ_RETURN_ASSETS_LOW_EST_REUT" hidden="1">"c3993"</definedName>
    <definedName name="IQ_RETURN_ASSETS_LOW_GUIDANCE" hidden="1">"c4223"</definedName>
    <definedName name="IQ_RETURN_ASSETS_MEDIAN_EST" hidden="1">"c3532"</definedName>
    <definedName name="IQ_RETURN_ASSETS_MEDIAN_EST_REUT" hidden="1">"c3991"</definedName>
    <definedName name="IQ_RETURN_ASSETS_NUM_EST" hidden="1">"c3527"</definedName>
    <definedName name="IQ_RETURN_ASSETS_NUM_EST_REUT" hidden="1">"c3994"</definedName>
    <definedName name="IQ_RETURN_ASSETS_STDDEV_EST" hidden="1">"c3528"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" hidden="1">"c3586"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GUIDANCE" hidden="1">"c4518"</definedName>
    <definedName name="IQ_RETURN_EQUITY_HIGH_EST" hidden="1">"c3536"</definedName>
    <definedName name="IQ_RETURN_EQUITY_HIGH_EST_REUT" hidden="1">"c3985"</definedName>
    <definedName name="IQ_RETURN_EQUITY_HIGH_GUIDANCE" hidden="1">"c4182"</definedName>
    <definedName name="IQ_RETURN_EQUITY_LOW_EST" hidden="1">"c3537"</definedName>
    <definedName name="IQ_RETURN_EQUITY_LOW_EST_REUT" hidden="1">"c3986"</definedName>
    <definedName name="IQ_RETURN_EQUITY_LOW_GUIDANCE" hidden="1">"c4222"</definedName>
    <definedName name="IQ_RETURN_EQUITY_MEDIAN_EST" hidden="1">"c3538"</definedName>
    <definedName name="IQ_RETURN_EQUITY_MEDIAN_EST_REUT" hidden="1">"c3984"</definedName>
    <definedName name="IQ_RETURN_EQUITY_NUM_EST" hidden="1">"c3533"</definedName>
    <definedName name="IQ_RETURN_EQUITY_NUM_EST_REUT" hidden="1">"c3987"</definedName>
    <definedName name="IQ_RETURN_EQUITY_STDDEV_EST" hidden="1">"c3534"</definedName>
    <definedName name="IQ_RETURN_EQUITY_STDDEV_EST_REUT" hidden="1">"c3988"</definedName>
    <definedName name="IQ_RETURN_INVESTMENT" hidden="1">"c1421"</definedName>
    <definedName name="IQ_REV" hidden="1">"c1122"</definedName>
    <definedName name="IQ_REV_BEFORE_LL" hidden="1">"c1123"</definedName>
    <definedName name="IQ_REV_BEFORE_LOAN_LOSS_FOREIGN_FFIEC" hidden="1">"c15381"</definedName>
    <definedName name="IQ_REV_STDDEV_EST" hidden="1">"c1124"</definedName>
    <definedName name="IQ_REV_STDDEV_EST_REUT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ACT_OR_EST_REUT" hidden="1">"c5461"</definedName>
    <definedName name="IQ_REVENUE_EST" hidden="1">"c1126"</definedName>
    <definedName name="IQ_REVENUE_EST_1" hidden="1">"IQ_REVENUE_EST_1"</definedName>
    <definedName name="IQ_REVENUE_EST_BOTTOM_UP" hidden="1">"c5488"</definedName>
    <definedName name="IQ_REVENUE_EST_BOTTOM_UP_REUT" hidden="1">"c5496"</definedName>
    <definedName name="IQ_REVENUE_EST_REUT" hidden="1">"c3634"</definedName>
    <definedName name="IQ_REVENUE_GROWTH_1" hidden="1">"c155"</definedName>
    <definedName name="IQ_REVENUE_GROWTH_2" hidden="1">"c159"</definedName>
    <definedName name="IQ_REVENUE_GUIDANCE" hidden="1">"c4519"</definedName>
    <definedName name="IQ_REVENUE_HIGH_EST" hidden="1">"c1127"</definedName>
    <definedName name="IQ_REVENUE_HIGH_EST_REUT" hidden="1">"c3636"</definedName>
    <definedName name="IQ_REVENUE_HIGH_GUIDANCE" hidden="1">"c4169"</definedName>
    <definedName name="IQ_REVENUE_LOW_EST" hidden="1">"c1128"</definedName>
    <definedName name="IQ_REVENUE_LOW_EST_REUT" hidden="1">"c3637"</definedName>
    <definedName name="IQ_REVENUE_LOW_GUIDANCE" hidden="1">"c4209"</definedName>
    <definedName name="IQ_REVENUE_MEDIAN_EST" hidden="1">"c1662"</definedName>
    <definedName name="IQ_REVENUE_MEDIAN_EST_REUT" hidden="1">"c3635"</definedName>
    <definedName name="IQ_REVENUE_NO_EST" hidden="1">"c263"</definedName>
    <definedName name="IQ_REVENUE_NUM_EST" hidden="1">"c1129"</definedName>
    <definedName name="IQ_REVENUE_NUM_EST_REUT" hidden="1">"c3638"</definedName>
    <definedName name="IQ_REVISION_DATE_" hidden="1">38971.4766666667</definedName>
    <definedName name="IQ_REVOLVING_SECURED_1_4_NON_ACCRUAL_FFIEC" hidden="1">"c13314"</definedName>
    <definedName name="IQ_REVOLVING_SECURED_1_–4_NON_ACCRUAL_FFIEC" hidden="1">"c13314"</definedName>
    <definedName name="IQ_RISK_ADJ_BANK_ASSETS" hidden="1">"c2670"</definedName>
    <definedName name="IQ_RISK_WEIGHTED_ASSETS_FDIC" hidden="1">"c6370"</definedName>
    <definedName name="IQ_ROYALTY_REVENUE_COAL" hidden="1">"c15932"</definedName>
    <definedName name="IQ_SALARY" hidden="1">"c1130"</definedName>
    <definedName name="IQ_SALARY_FDIC" hidden="1">"c6576"</definedName>
    <definedName name="IQ_SALE_CONVERSION_ACQUISITION_NET_COMMON_FFIEC" hidden="1">"c15351"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DEPOSITS_NON_TRANS_ACCTS_FFIEC" hidden="1">"c15329"</definedName>
    <definedName name="IQ_SAVINGS_DEPOSITS_QUARTERLY_AVG_FFIEC" hidden="1">"c15485"</definedName>
    <definedName name="IQ_SEC_OTHER_NONFARM_NONRES_NON_ACCRUAL_FFIEC" hidden="1">"c15462"</definedName>
    <definedName name="IQ_SEC_OWNER_NONFARM_NONRES_NON_ACCRUAL_FFIEC" hidden="1">"c15461"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STATE_POLI_SUBD_QUARTERLY_AVG_FFIEC" hidden="1">"c15470"</definedName>
    <definedName name="IQ_SECURITIES_UNDERWRITING_FDIC" hidden="1">"c6529"</definedName>
    <definedName name="IQ_SECURITY_ACTIVE_STATUS" hidden="1">"c15160"</definedName>
    <definedName name="IQ_SECURITY_BORROW" hidden="1">"c1152"</definedName>
    <definedName name="IQ_SECURITY_LEVEL" hidden="1">"c2159"</definedName>
    <definedName name="IQ_SECURITY_NAME" hidden="1">"c15159"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C_ACTION" hidden="1">"c2644"</definedName>
    <definedName name="IQ_SP_ISSUE_LC_DATE" hidden="1">"c2643"</definedName>
    <definedName name="IQ_SP_ISSUE_LC_LT" hidden="1">"c2645"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PECIFIC_ALLOWANCE" hidden="1">"c15247"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NDBY_LOC_FHLB_BANK_BEHALF_OFF_BS_FFIEC" hidden="1">"c15412"</definedName>
    <definedName name="IQ_STATE" hidden="1">"c1200"</definedName>
    <definedName name="IQ_STATES_NONTRANSACTION_ACCOUNTS_FDIC" hidden="1">"c6547"</definedName>
    <definedName name="IQ_STATES_POLI_SUBD_US_NON_TRANS_ACCTS_FFIEC" hidden="1">"c15324"</definedName>
    <definedName name="IQ_STATES_POLI_SUBD_US_TRANS_ACCTS_FFIEC" hidden="1">"c15316"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GA" hidden="1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AIR_VALUE_TOT_FFIEC" hidden="1">"c15410"</definedName>
    <definedName name="IQ_SUB_NOTES_DEBENTURES_LEVEL_1_FFIEC" hidden="1">"c15432"</definedName>
    <definedName name="IQ_SUB_NOTES_DEBENTURES_LEVEL_2_FFIEC" hidden="1">"c15445"</definedName>
    <definedName name="IQ_SUB_NOTES_DEBENTURES_LEVEL_3_FFIEC" hidden="1">"c15458"</definedName>
    <definedName name="IQ_SURPLUS_FDIC" hidden="1">"c6351"</definedName>
    <definedName name="IQ_SVA" hidden="1">"c1214"</definedName>
    <definedName name="IQ_SYNTHETIC_STRUCTURED_PRODUCTS_AVAIL_SALE_FFIEC" hidden="1">"c15264"</definedName>
    <definedName name="IQ_SYNTHETIC_STRUCTURED_PRODUCTS_FFIEC" hidden="1">"c15261"</definedName>
    <definedName name="IQ_TARGET_PRICE_LASTCLOSE" hidden="1">"c1855"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EST" hidden="1">"c4526"</definedName>
    <definedName name="IQ_TEV_HIGH_EST" hidden="1">"c4527"</definedName>
    <definedName name="IQ_TEV_LOW_EST" hidden="1">"c4528"</definedName>
    <definedName name="IQ_TEV_MEDIAN_EST" hidden="1">"c4529"</definedName>
    <definedName name="IQ_TEV_NUM_EST" hidden="1">"c4530"</definedName>
    <definedName name="IQ_TEV_STDDEV_EST" hidden="1">"c4531"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ER_TWO_CAPITAL_RATIO" hidden="1">"c15241"</definedName>
    <definedName name="IQ_TIME_DEP" hidden="1">"c1230"</definedName>
    <definedName name="IQ_TIME_DEPOSIT_LESS_100000_QUARTERLY_AVG_FFIEC" hidden="1">"c15487"</definedName>
    <definedName name="IQ_TIME_DEPOSIT_MORE_100000_QUARTERLY_AVG_FFIEC" hidden="1">"c15486"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AIR_VALUE_TOT_FFIEC" hidden="1">"c15405"</definedName>
    <definedName name="IQ_TOTAL_ASSETS_FDIC" hidden="1">"c6339"</definedName>
    <definedName name="IQ_TOTAL_ASSETS_LEVEL_1_FFIEC" hidden="1">"c15427"</definedName>
    <definedName name="IQ_TOTAL_ASSETS_LEVEL_2_FFIEC" hidden="1">"c15440"</definedName>
    <definedName name="IQ_TOTAL_ASSETS_LEVEL_3_FFIEC" hidden="1">"c15453"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ROKERED_DEPOSIT_FFIEC" hidden="1">"c15304"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DUE_DEPOSITORY_INSTIT_DOM_FFIEC" hidden="1">"c15291"</definedName>
    <definedName name="IQ_TOTAL_CASH_DUE_DEPOSITORY_INSTIT_FFIEC" hidden="1">"c15285"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XCL_FIN" hidden="1">"c2937"</definedName>
    <definedName name="IQ_TOTAL_DEBT_GUIDANCE" hidden="1">"c4533"</definedName>
    <definedName name="IQ_TOTAL_DEBT_HIGH_EST" hidden="1">"c4534"</definedName>
    <definedName name="IQ_TOTAL_DEBT_HIGH_GUIDANCE" hidden="1">"c4196"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GUIDANCE" hidden="1">"c4236"</definedName>
    <definedName name="IQ_TOTAL_DEBT_MEDIAN_EST" hidden="1">"c4536"</definedName>
    <definedName name="IQ_TOTAL_DEBT_NUM_EST" hidden="1">"c4537"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BT_STDDEV_EST" hidden="1">"c4538"</definedName>
    <definedName name="IQ_TOTAL_DEPOSITS" hidden="1">"c1265"</definedName>
    <definedName name="IQ_TOTAL_DEPOSITS_DOM_FFIEC" hidden="1">"c15313"</definedName>
    <definedName name="IQ_TOTAL_DEPOSITS_FDIC" hidden="1">"c6342"</definedName>
    <definedName name="IQ_TOTAL_DEPOSITS_SUPPLE" hidden="1">"c15253"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INCL_MINORITY_INTEREST_FFIEC" hidden="1">"c15278"</definedName>
    <definedName name="IQ_TOTAL_FOREIGN_DEPOSITS_FFIEC" hidden="1">"c15348"</definedName>
    <definedName name="IQ_TOTAL_FOREIGN_LOANS_QUARTERLY_AVG_FFIEC" hidden="1">"c15482"</definedName>
    <definedName name="IQ_TOTAL_IBF_ASSETS_CONSOL_BANK_FFIEC" hidden="1">"c15299"</definedName>
    <definedName name="IQ_TOTAL_IBF_LIABILITIES_FFIEC" hidden="1">"c15302"</definedName>
    <definedName name="IQ_TOTAL_IBF_LL_REC_FFIEC" hidden="1">"c15297"</definedName>
    <definedName name="IQ_TOTAL_INTEREST_EXP" hidden="1">"c1382"</definedName>
    <definedName name="IQ_TOTAL_INTEREST_EXP_FOREIGN_FFIEC" hidden="1">"c15374"</definedName>
    <definedName name="IQ_TOTAL_INTEREST_INC_FOREIGN_FFIEC" hidden="1">"c15373"</definedName>
    <definedName name="IQ_TOTAL_INVENTORY" hidden="1">"c1385"</definedName>
    <definedName name="IQ_TOTAL_INVEST" hidden="1">"c1275"</definedName>
    <definedName name="IQ_TOTAL_IRA_KEOGH_PLAN_ACCOUNTS_FFIEC" hidden="1">"c15303"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AIR_VALUE_TOT_FFIEC" hidden="1">"c15411"</definedName>
    <definedName name="IQ_TOTAL_LIABILITIES_FDIC" hidden="1">"c6348"</definedName>
    <definedName name="IQ_TOTAL_LIABILITIES_LEVEL_1_FFIEC" hidden="1">"c15433"</definedName>
    <definedName name="IQ_TOTAL_LIABILITIES_LEVEL_2_FFIEC" hidden="1">"c15446"</definedName>
    <definedName name="IQ_TOTAL_LIABILITIES_LEVEL_3_FFIEC" hidden="1">"c15459"</definedName>
    <definedName name="IQ_TOTAL_LOANS" hidden="1">"c5653"</definedName>
    <definedName name="IQ_TOTAL_LOANS_DOM_QUARTERLY_AVG_FFIEC" hidden="1">"c15475"</definedName>
    <definedName name="IQ_TOTAL_LOANS_LEASES_AND_OTHER_DUE_30_89_FFIEC" hidden="1">"c15416"</definedName>
    <definedName name="IQ_TOTAL_LOANS_LEASES_AND_OTHER_DUE_90_FFIEC" hidden="1">"c15420"</definedName>
    <definedName name="IQ_TOTAL_LOANS_LEASES_AND_OTHER_NON_ACCRUAL_FFIEC" hidden="1">"c15466"</definedName>
    <definedName name="IQ_TOTAL_LONG_DEBT" hidden="1">"c1617"</definedName>
    <definedName name="IQ_TOTAL_NON_REC" hidden="1">"c1444"</definedName>
    <definedName name="IQ_TOTAL_NON_TRANS_ACCTS_FFIEC" hidden="1">"c15328"</definedName>
    <definedName name="IQ_TOTAL_NONINTEREST_EXPENSE_FOREIGN_FFIEC" hidden="1">"c15386"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EVENUE_FOREIGN_FFIEC" hidden="1">"c15383"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LESS_100000_1_TO_3_YEARS_FFIEC" hidden="1">"c15335"</definedName>
    <definedName name="IQ_TOTAL_TIME_LESS_100000_3_MONTHS_LESS_FFIEC" hidden="1">"c15333"</definedName>
    <definedName name="IQ_TOTAL_TIME_LESS_100000_3_TO_12_MONTHS_FFIEC" hidden="1">"c15334"</definedName>
    <definedName name="IQ_TOTAL_TIME_LESS_100000_FFIEC" hidden="1">"c15332"</definedName>
    <definedName name="IQ_TOTAL_TIME_LESS_100000_OVER_3_YEARS_FFIEC" hidden="1">"c15336"</definedName>
    <definedName name="IQ_TOTAL_TIME_MORE_100000_1_TO_3_YEARS_FFIEC" hidden="1">"c15340"</definedName>
    <definedName name="IQ_TOTAL_TIME_MORE_100000_3_MONTHS_LESS_FFIEC" hidden="1">"c15338"</definedName>
    <definedName name="IQ_TOTAL_TIME_MORE_100000_3_TO_12_MONTHS_FFIEC" hidden="1">"c15339"</definedName>
    <definedName name="IQ_TOTAL_TIME_MORE_100000_FFIEC" hidden="1">"c15337"</definedName>
    <definedName name="IQ_TOTAL_TIME_MORE_100000_OVER_3_YEARS_FFIEC" hidden="1">"c15341"</definedName>
    <definedName name="IQ_TOTAL_TIME_SAVINGS_DEPOSITS_FDIC" hidden="1">"c6498"</definedName>
    <definedName name="IQ_TOTAL_TRADING_LIAB_FOREIGN_FFIEC" hidden="1">"c15296"</definedName>
    <definedName name="IQ_TOTAL_TRANS_ACCTS_FFIEC" hidden="1">"c15321"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ADVISORS" hidden="1">"c2387"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ADVISORS" hidden="1">"c2388"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BDEBT" hidden="1">"c2370"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ADVISORS" hidden="1">"c2386"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DING_REV_FOREIGN_FFIEC" hidden="1">"c15377"</definedName>
    <definedName name="IQ_TRANSACTION_ACCOUNTS_FDIC" hidden="1">"c6544"</definedName>
    <definedName name="IQ_TRANSACTION_LIST" hidden="1">"c15126"</definedName>
    <definedName name="IQ_TRANSACTION_LIST_BANKRUPTCY" hidden="1">"c15131"</definedName>
    <definedName name="IQ_TRANSACTION_LIST_BUYBACK" hidden="1">"c15129"</definedName>
    <definedName name="IQ_TRANSACTION_LIST_INCL_SUBS" hidden="1">"c15132"</definedName>
    <definedName name="IQ_TRANSACTION_LIST_INCL_SUBS_BANKRUPTCY" hidden="1">"c15137"</definedName>
    <definedName name="IQ_TRANSACTION_LIST_INCL_SUBS_BUYBACK" hidden="1">"c15135"</definedName>
    <definedName name="IQ_TRANSACTION_LIST_INCL_SUBS_MA" hidden="1">"c15133"</definedName>
    <definedName name="IQ_TRANSACTION_LIST_INCL_SUBS_PO" hidden="1">"c15136"</definedName>
    <definedName name="IQ_TRANSACTION_LIST_INCL_SUBS_PP" hidden="1">"c15134"</definedName>
    <definedName name="IQ_TRANSACTION_LIST_MA" hidden="1">"c15127"</definedName>
    <definedName name="IQ_TRANSACTION_LIST_PO" hidden="1">"c15130"</definedName>
    <definedName name="IQ_TRANSACTION_LIST_PP" hidden="1">"c15128"</definedName>
    <definedName name="IQ_TREASURER_ID" hidden="1">"c15214"</definedName>
    <definedName name="IQ_TREASURER_NAME" hidden="1">"c15213"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EASURY_STOCK_TRANSACTIONS_FFIEC" hidden="1">"c15352"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ANKS_OTHER_INST_FOREIGN_DEP_FFIEC" hidden="1">"c15343"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" hidden="1">"c2930"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" hidden="1">"c2932"</definedName>
    <definedName name="IQ_US_GAAP_CL_ADJ" hidden="1">"c2927"</definedName>
    <definedName name="IQ_US_GAAP_COST_REV" hidden="1">"c2965"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" hidden="1">"c2973"</definedName>
    <definedName name="IQ_US_GAAP_DO_ADJ" hidden="1">"c2959"</definedName>
    <definedName name="IQ_US_GAAP_EXTRA_ACC_ITEMS" hidden="1">"c2972"</definedName>
    <definedName name="IQ_US_GAAP_EXTRA_ACC_ITEMS_ADJ" hidden="1">"c2958"</definedName>
    <definedName name="IQ_US_GAAP_INC_TAX" hidden="1">"c2975"</definedName>
    <definedName name="IQ_US_GAAP_INC_TAX_ADJ" hidden="1">"c2961"</definedName>
    <definedName name="IQ_US_GAAP_INTEREST_EXP" hidden="1">"c2971"</definedName>
    <definedName name="IQ_US_GAAP_INTEREST_EXP_ADJ" hidden="1">"c2957"</definedName>
    <definedName name="IQ_US_GAAP_LIAB_LT" hidden="1">"c2933"</definedName>
    <definedName name="IQ_US_GAAP_LIAB_LT_ADJ" hidden="1">"c2928"</definedName>
    <definedName name="IQ_US_GAAP_LIAB_TOTAL_LIAB" hidden="1">"c2933"</definedName>
    <definedName name="IQ_US_GAAP_MINORITY_INTEREST_IS" hidden="1">"c2974"</definedName>
    <definedName name="IQ_US_GAAP_MINORITY_INTEREST_IS_ADJ" hidden="1">"c2960"</definedName>
    <definedName name="IQ_US_GAAP_NCA" hidden="1">"c2931"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EXCL" hidden="1">"c2977"</definedName>
    <definedName name="IQ_US_GAAP_NI_AVAIL_INCL" hidden="1">"c2978"</definedName>
    <definedName name="IQ_US_GAAP_OTHER_ADJ_ADJ" hidden="1">"c2962"</definedName>
    <definedName name="IQ_US_GAAP_OTHER_NON_OPER" hidden="1">"c2969"</definedName>
    <definedName name="IQ_US_GAAP_OTHER_NON_OPER_ADJ" hidden="1">"c2955"</definedName>
    <definedName name="IQ_US_GAAP_OTHER_OPER" hidden="1">"c2968"</definedName>
    <definedName name="IQ_US_GAAP_OTHER_OPER_ADJ" hidden="1">"c2954"</definedName>
    <definedName name="IQ_US_GAAP_RD" hidden="1">"c2967"</definedName>
    <definedName name="IQ_US_GAAP_RD_ADJ" hidden="1">"c2953"</definedName>
    <definedName name="IQ_US_GAAP_SGA" hidden="1">"c2966"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" hidden="1">"c2964"</definedName>
    <definedName name="IQ_US_GAAP_TOTAL_REV_ADJ" hidden="1">"c2950"</definedName>
    <definedName name="IQ_US_GAAP_TOTAL_UNUSUAL" hidden="1">"c2970"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GOVT_NON_TRANS_ACCTS_FFIEC" hidden="1">"c15323"</definedName>
    <definedName name="IQ_US_GOVT_STATE_POLI_SUBD_IN_US_FOREIGN_DEP_FFIEC" hidden="1">"c15346"</definedName>
    <definedName name="IQ_US_GOVT_TRANS_ACCTS_FFIEC" hidden="1">"c15315"</definedName>
    <definedName name="IQ_US_TREASURY_SECURITIES_FDIC" hidden="1">"c6298"</definedName>
    <definedName name="IQ_UST_SEC_GOVT_AGENCY_CORP_QUARTERLY_AVG_FFIEC" hidden="1">"c15469"</definedName>
    <definedName name="IQ_UST_SECURITIES_GOVT_AGENCY_QUARTERLY_AVG_FFIEC" hidden="1">"c15468"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LOANS" hidden="1">"c15249"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1</definedName>
    <definedName name="IQB_BOOKMARK_LOCATION_0" hidden="1">#REF!</definedName>
    <definedName name="IQRA10" hidden="1">"$A$11:$A$262"</definedName>
    <definedName name="IQRA14" hidden="1">"$A$15:$A$99"</definedName>
    <definedName name="IQRA8" hidden="1">"$A$9:$A$763"</definedName>
    <definedName name="IQRA9" hidden="1">"$A$10:$A$46"</definedName>
    <definedName name="IQRAF17" hidden="1">"$AF$18:$AF$270"</definedName>
    <definedName name="IQRAP17" hidden="1">"$AP$18"</definedName>
    <definedName name="IQRAP89" hidden="1">"$AP$90"</definedName>
    <definedName name="IQRAQ17" hidden="1">"$AQ$18"</definedName>
    <definedName name="IQRAQ89" hidden="1">"$AQ$90"</definedName>
    <definedName name="IQRAR89" hidden="1">"$AR$90"</definedName>
    <definedName name="IQRAS17" hidden="1">"$AS$18:$AS$25"</definedName>
    <definedName name="IQRAS89" hidden="1">"$AS$90:$AS$93"</definedName>
    <definedName name="IQRAT17" hidden="1">"$AT$18:$AT$25"</definedName>
    <definedName name="IQRAT89" hidden="1">"$AT$90"</definedName>
    <definedName name="IQRAU17" hidden="1">"$AU$18"</definedName>
    <definedName name="IQRAV89" hidden="1">"$AV$90"</definedName>
    <definedName name="IQRAX89" hidden="1">"$AX$90"</definedName>
    <definedName name="IQRAZ17" hidden="1">"$AZ$18:$AZ$19"</definedName>
    <definedName name="IQRB11" hidden="1">"$B$12:$B$1616"</definedName>
    <definedName name="IQRB6" hidden="1">"$B$7:$B$258"</definedName>
    <definedName name="IQRB7" hidden="1">"$B$8:$B$103"</definedName>
    <definedName name="IQRB8" hidden="1">"$B$9:$B$262"</definedName>
    <definedName name="IQRBA17" hidden="1">"$BA$18"</definedName>
    <definedName name="IQRC8" hidden="1">"$C$9:$C$260"</definedName>
    <definedName name="IQRD32" hidden="1">"$D$33:$D$37"</definedName>
    <definedName name="IQRD33" hidden="1">"$D$34:$D$38"</definedName>
    <definedName name="IQRD34" hidden="1">"$D$35:$D$39"</definedName>
    <definedName name="IQRD35" hidden="1">"$D$36:$D$40"</definedName>
    <definedName name="IQRD36" hidden="1">"$D$37:$D$41"</definedName>
    <definedName name="IQRD37" hidden="1">"$D$38:$D$42"</definedName>
    <definedName name="IQRD38" hidden="1">"$D$39:$D$295"</definedName>
    <definedName name="IQRD39" hidden="1">"$D$40:$D$44"</definedName>
    <definedName name="IQRD40" hidden="1">"$D$41:$D$45"</definedName>
    <definedName name="IQRD41" hidden="1">"$D$42:$D$46"</definedName>
    <definedName name="IQRD42" hidden="1">"$D$43:$D$299"</definedName>
    <definedName name="IQRD43" hidden="1">"$D$44:$D$299"</definedName>
    <definedName name="IQRD44" hidden="1">"$D$45:$D$49"</definedName>
    <definedName name="IQRD45" hidden="1">"$D$46:$D$50"</definedName>
    <definedName name="IQRD46" hidden="1">"$D$47:$D$51"</definedName>
    <definedName name="IQRD48" hidden="1">"$D$49:$D$53"</definedName>
    <definedName name="IQRD49" hidden="1">"$D$50:$D$54"</definedName>
    <definedName name="IQRD50" hidden="1">"$D$51:$D$55"</definedName>
    <definedName name="IQRD51" hidden="1">"$D$52:$D$303"</definedName>
    <definedName name="IQRD52" hidden="1">"$D$53:$D$57"</definedName>
    <definedName name="IQRD53" hidden="1">"$D$54:$D$58"</definedName>
    <definedName name="IQRD54" hidden="1">"$D$55:$D$59"</definedName>
    <definedName name="IQRD55" hidden="1">"$D$56:$D$60"</definedName>
    <definedName name="IQRD56" hidden="1">"$D$57:$D$61"</definedName>
    <definedName name="IQRD57" hidden="1">"$D$58:$D$62"</definedName>
    <definedName name="IQRD58" hidden="1">"$D$59:$D$63"</definedName>
    <definedName name="IQRD59" hidden="1">"$D$60:$D$64"</definedName>
    <definedName name="IQRD60" hidden="1">"$D$61:$D$65"</definedName>
    <definedName name="IQRD61" hidden="1">"$D$62:$D$66"</definedName>
    <definedName name="IQRD62" hidden="1">"$D$63:$D$67"</definedName>
    <definedName name="IQRD63" hidden="1">"$D$64:$D$68"</definedName>
    <definedName name="IQRD64" hidden="1">"$D$65:$D$69"</definedName>
    <definedName name="IQRD65" hidden="1">"$D$66:$D$70"</definedName>
    <definedName name="IQRD66" hidden="1">"$D$67:$D$71"</definedName>
    <definedName name="IQRD67" hidden="1">"$D$68:$D$72"</definedName>
    <definedName name="IQRD68" hidden="1">"$D$69:$D$73"</definedName>
    <definedName name="IQRD69" hidden="1">"$D$70:$D$74"</definedName>
    <definedName name="IQRD70" hidden="1">"$D$71:$D$75"</definedName>
    <definedName name="IQRD71" hidden="1">"$D$72:$D$76"</definedName>
    <definedName name="IQRD72" hidden="1">"$D$73:$D$77"</definedName>
    <definedName name="IQRD73" hidden="1">"$D$74:$D$78"</definedName>
    <definedName name="IQRD74" hidden="1">"$D$75:$D$79"</definedName>
    <definedName name="IQRD75" hidden="1">"$D$76:$D$80"</definedName>
    <definedName name="IQRD76" hidden="1">"$D$77:$D$81"</definedName>
    <definedName name="IQRD77" hidden="1">"$D$78:$D$82"</definedName>
    <definedName name="IQRD78" hidden="1">"$D$79:$D$83"</definedName>
    <definedName name="IQRD79" hidden="1">"$D$80:$D$84"</definedName>
    <definedName name="IQRD80" hidden="1">"$D$81:$D$85"</definedName>
    <definedName name="IQRD81" hidden="1">"$D$82:$D$86"</definedName>
    <definedName name="IQRD82" hidden="1">"$D$83:$D$87"</definedName>
    <definedName name="IQRD83" hidden="1">"$D$84:$D$88"</definedName>
    <definedName name="IQRD84" hidden="1">"$D$85:$D$89"</definedName>
    <definedName name="IQRD85" hidden="1">"$D$86:$D$90"</definedName>
    <definedName name="IQRD86" hidden="1">"$D$87:$D$91"</definedName>
    <definedName name="IQRD87" hidden="1">"$D$88:$D$92"</definedName>
    <definedName name="IQRD88" hidden="1">"$D$89:$D$93"</definedName>
    <definedName name="IQRD89" hidden="1">"$D$90:$D$94"</definedName>
    <definedName name="IQRD90" hidden="1">"$D$91:$D$95"</definedName>
    <definedName name="IQRD91" hidden="1">"$D$92:$D$96"</definedName>
    <definedName name="IQRD92" hidden="1">"$D$93:$D$97"</definedName>
    <definedName name="IQRD93" hidden="1">"$D$94:$D$98"</definedName>
    <definedName name="IQRD94" hidden="1">"$D$95:$D$99"</definedName>
    <definedName name="IQRD95" hidden="1">"$D$96:$D$100"</definedName>
    <definedName name="IQRD96" hidden="1">"$D$97:$D$101"</definedName>
    <definedName name="IQRD97" hidden="1">"$D$98:$D$102"</definedName>
    <definedName name="IQRD98" hidden="1">"$D$99:$D$103"</definedName>
    <definedName name="IQRE10" hidden="1">"$E$11:$E$15"</definedName>
    <definedName name="IQRE11" hidden="1">"$E$12:$E$16"</definedName>
    <definedName name="IQRE12" hidden="1">"$E$13:$E$17"</definedName>
    <definedName name="IQRE13" hidden="1">"$E$14:$E$18"</definedName>
    <definedName name="IQRE14" hidden="1">"$E$15:$E$19"</definedName>
    <definedName name="IQRE15" hidden="1">"$E$16:$E$20"</definedName>
    <definedName name="IQRE16" hidden="1">"$E$17:$E$18"</definedName>
    <definedName name="IQRE7" hidden="1">"$E$8:$E$12"</definedName>
    <definedName name="IQRE8" hidden="1">"$E$9:$E$13"</definedName>
    <definedName name="IQRE9" hidden="1">"$E$10:$E$14"</definedName>
    <definedName name="IQRF12" hidden="1">"$F$13:$F$17"</definedName>
    <definedName name="IQRF13" hidden="1">"$F$14:$F$18"</definedName>
    <definedName name="IQRF14" hidden="1">"$F$15:$F$19"</definedName>
    <definedName name="IQRF15" hidden="1">"$F$16:$F$20"</definedName>
    <definedName name="IQRF16" hidden="1">"$F$17:$F$21"</definedName>
    <definedName name="IQRF17" hidden="1">"$F$18:$F$22"</definedName>
    <definedName name="IQRF18" hidden="1">"$F$19:$F$23"</definedName>
    <definedName name="IQRF19" hidden="1">"$F$20:$F$24"</definedName>
    <definedName name="IQRF20" hidden="1">"$F$21:$F$25"</definedName>
    <definedName name="IQRF21" hidden="1">"$F$22:$F$23"</definedName>
    <definedName name="IQRG26" hidden="1">"$G$27:$G$31"</definedName>
    <definedName name="IQRI2" hidden="1">"$I$3:$I$264"</definedName>
    <definedName name="IQRJ8" hidden="1">"$J$9:$J$260"</definedName>
    <definedName name="IQRK8" hidden="1">"$K$9:$K$261"</definedName>
    <definedName name="IQRM67" hidden="1">"$M$68:$M$320"</definedName>
    <definedName name="IQRM68" hidden="1">"$M$69:$M$321"</definedName>
    <definedName name="IQRM69" hidden="1">"$M$70:$M$322"</definedName>
    <definedName name="IQRM70" hidden="1">"$M$71:$M$323"</definedName>
    <definedName name="IQRO9" hidden="1">"$O$10"</definedName>
    <definedName name="IQRP9" hidden="1">"$P$10:$P$64"</definedName>
    <definedName name="IQRQ35" hidden="1">"$Q$36:$Q$227"</definedName>
    <definedName name="IQRR67" hidden="1">"$R$68:$R$320"</definedName>
    <definedName name="IQRS68" hidden="1">"$S$69:$S$321"</definedName>
    <definedName name="Jeep" localSheetId="1" hidden="1">{"overall",#N/A,FALSE,"Taylor";"Jul24Sum",#N/A,FALSE,"Finance";"Jul24COS",#N/A,FALSE,"Finance";"Jul24C3",#N/A,FALSE,"Finance";"jul24tax&amp;debtcalcs",#N/A,FALSE,"Finance";"jeepsum",#N/A,FALSE,"Finance";"taysum1",#N/A,FALSE,"Taylor";"BS",#N/A,FALSE,"Taylor";"backup",#N/A,FALSE,"Taylor";"jeepop",#N/A,FALSE,"Operating costs"}</definedName>
    <definedName name="Jeep" hidden="1">{"overall",#N/A,FALSE,"Taylor";"Jul24Sum",#N/A,FALSE,"Finance";"Jul24COS",#N/A,FALSE,"Finance";"Jul24C3",#N/A,FALSE,"Finance";"jul24tax&amp;debtcalcs",#N/A,FALSE,"Finance";"jeepsum",#N/A,FALSE,"Finance";"taysum1",#N/A,FALSE,"Taylor";"BS",#N/A,FALSE,"Taylor";"backup",#N/A,FALSE,"Taylor";"jeepop",#N/A,FALSE,"Operating costs"}</definedName>
    <definedName name="ListOffset" hidden="1">1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_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_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_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__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__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__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_PlaceofPath" hidden="1">"F:\MREGAN\win\EXL\CO\HVAC\WLV\WLV_vdf.xls"</definedName>
    <definedName name="MLNK0c9445f2645d4a1093dbe137a2574261" hidden="1">#REF!</definedName>
    <definedName name="MLNK39324e12ea41496aa030b0a5d2cd4844" hidden="1">#REF!</definedName>
    <definedName name="MLNK430769720e454fd2a44b2e97b9b1d09e" hidden="1">#REF!</definedName>
    <definedName name="MLNK7c324a6d604349da9cf8ffb1c22b8c82" hidden="1">#REF!</definedName>
    <definedName name="MLNKc56fd6ce82704d1dae96810cfbcecb05" hidden="1">#REF!</definedName>
    <definedName name="MLNKce70daba1d3c440e94a6e8ebd0809296" hidden="1">#REF!</definedName>
    <definedName name="MLNKd7ea5fc1d5ba4187aae5345e775f20ab" hidden="1">#REF!</definedName>
    <definedName name="MLNKde3e725730d44f498290c34986afa042" hidden="1">#REF!</definedName>
    <definedName name="MLNKe67864e4353e4c1687a89fc2aa54e040" hidden="1">#REF!</definedName>
    <definedName name="MLNKff48372a8aa1404baba3a00b1f000f31" hidden="1">#REF!</definedName>
    <definedName name="oldkey1" hidden="1">#REF!</definedName>
    <definedName name="oldsort" hidden="1">#REF!</definedName>
    <definedName name="P11P12P13" hidden="1">#REF!</definedName>
    <definedName name="PriceRange" hidden="1">#N/A</definedName>
    <definedName name="PriceRangeMain" hidden="1">#REF!</definedName>
    <definedName name="_xlnm.Print_Area" localSheetId="1">'Financials from CIP'!$A$2:$G$82</definedName>
    <definedName name="_xlnm.Print_Area" localSheetId="2">'Step 1'!$A$1:$M$77</definedName>
    <definedName name="REP7P01" hidden="1">#REF!</definedName>
    <definedName name="REP7P02" hidden="1">#REF!</definedName>
    <definedName name="REP7P03" hidden="1">#REF!</definedName>
    <definedName name="ReportGroup" hidden="1">6</definedName>
    <definedName name="SAPBEXdnldView" hidden="1">"48D4APZ6RE52FPA89IW8VMM22"</definedName>
    <definedName name="SAPBEXrevision" hidden="1">1</definedName>
    <definedName name="SAPBEXsysID" hidden="1">"BWP"</definedName>
    <definedName name="SAPBEXwbID" hidden="1">"3MIIGAE7VHTLTPJLQTSR9TQD9"</definedName>
    <definedName name="sencount" hidden="1">2</definedName>
    <definedName name="solver_adj" hidden="1">#REF!</definedName>
    <definedName name="solver_lhs1" hidden="1">#REF!</definedName>
    <definedName name="solver_lin" hidden="1">0</definedName>
    <definedName name="solver_num" hidden="1">1</definedName>
    <definedName name="solver_opt" hidden="1">#REF!</definedName>
    <definedName name="solver_rel1" hidden="1">1</definedName>
    <definedName name="solver_rhs1" hidden="1">0.15</definedName>
    <definedName name="solver_tmp" hidden="1">0.15</definedName>
    <definedName name="solver_typ" hidden="1">3</definedName>
    <definedName name="solver_val" hidden="1">0.25</definedName>
    <definedName name="SuppressPressed" hidden="1">FALSE</definedName>
    <definedName name="TextRefCopyRangeCount" hidden="1">13</definedName>
    <definedName name="Val" hidden="1">39273.5911689815</definedName>
    <definedName name="VersionNumber" hidden="1">"4.8.6710"</definedName>
    <definedName name="VI7_AxisOffset" localSheetId="2" hidden="1">_xll.ContributionAxisOffset(#REF!,#REF!,#REF!,0)</definedName>
    <definedName name="VI7_AxisOffset" hidden="1">_xll.ContributionAxisOffset(#REF!,#REF!,#REF!,0)</definedName>
    <definedName name="VI7_BaseColumn" hidden="1">"#NA"</definedName>
    <definedName name="VI7_CategoriesClass1" hidden="1">#REF!</definedName>
    <definedName name="VI7_CategoriesColumn" hidden="1">#REF!</definedName>
    <definedName name="VI7_ComparisonColumn1" hidden="1">#REF!</definedName>
    <definedName name="VI7_Cumulative" localSheetId="2" hidden="1">_xll.ContributionCumulative(#REF!,#REF!,#REF!)</definedName>
    <definedName name="VI7_Cumulative" hidden="1">_xll.ContributionCumulative(#REF!,#REF!,#REF!)</definedName>
    <definedName name="VI7_Difference1CalculatedIndex1" localSheetId="2" hidden="1">_xll.DifferenceCalculatedIndex(#REF!,#REF!,#REF!,#REF!)</definedName>
    <definedName name="VI7_Difference1CalculatedIndex1" hidden="1">_xll.DifferenceCalculatedIndex(#REF!,#REF!,#REF!,#REF!)</definedName>
    <definedName name="VI7_Difference1CalculatedIndex2" localSheetId="2" hidden="1">_xll.DifferenceCalculatedIndex(#REF!,#REF!,#REF!,#REF!)</definedName>
    <definedName name="VI7_Difference1CalculatedIndex2" hidden="1">_xll.DifferenceCalculatedIndex(#REF!,#REF!,#REF!,#REF!)</definedName>
    <definedName name="VI7_Difference1Category1" hidden="1">"FY16"</definedName>
    <definedName name="VI7_Difference1Category2" hidden="1">"FY17"</definedName>
    <definedName name="VI7_Difference1Index1" hidden="1">1</definedName>
    <definedName name="VI7_Difference1Index2" hidden="1">1</definedName>
    <definedName name="VI7_Difference1LabelY1" localSheetId="2" hidden="1">_xll.ContributionDifferenceY(#REF!,#REF!,0,0,0)</definedName>
    <definedName name="VI7_Difference1LabelY1" hidden="1">_xll.ContributionDifferenceY(#REF!,#REF!,0,0,0)</definedName>
    <definedName name="VI7_Difference1LabelY2" localSheetId="2" hidden="1">_xll.ContributionDifferenceY(#REF!,#REF!,0,0,0)</definedName>
    <definedName name="VI7_Difference1LabelY2" hidden="1">_xll.ContributionDifferenceY(#REF!,#REF!,0,0,0)</definedName>
    <definedName name="VI7_LabelOffsetMax" localSheetId="2" hidden="1">_xll.LabelOffset(#REF!,#REF!,204,10,"$#,##0.0",1,0,0)</definedName>
    <definedName name="VI7_LabelOffsetMax" hidden="1">_xll.LabelOffset(#REF!,#REF!,204,10,"$#,##0.0",1,0,0)</definedName>
    <definedName name="VI7_LabelOffsetMin" localSheetId="2" hidden="1">_xll.LabelOffset(#REF!,#REF!,204,10,"$#,##0.0",0,0,0)</definedName>
    <definedName name="VI7_LabelOffsetMin" hidden="1">_xll.LabelOffset(#REF!,#REF!,204,10,"$#,##0.0",0,0,0)</definedName>
    <definedName name="VI7_Max" localSheetId="2" hidden="1">_xll.MaxFromSeriesWithBreak(#REF!,#REF!,0)</definedName>
    <definedName name="VI7_Max" hidden="1">_xll.MaxFromSeriesWithBreak(#REF!,#REF!,0)</definedName>
    <definedName name="VI7_Min" localSheetId="2" hidden="1">_xll.MinFromSeries(#REF!)</definedName>
    <definedName name="VI7_Min" hidden="1">_xll.MinFromSeries(#REF!)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pple." hidden="1">{#N/A,#N/A,FALSE,"Quarterlies";#N/A,#N/A,FALSE,"Annual";#N/A,#N/A,FALSE,"Balance";#N/A,#N/A,FALSE,"Cash Flow";#N/A,#N/A,FALSE,"Store Openings";#N/A,#N/A,FALSE,"Comps"}</definedName>
    <definedName name="wrn.Cracker." hidden="1">{#N/A,#N/A,FALSE,"Quarts";#N/A,#N/A,FALSE,"Annual";#N/A,#N/A,FALSE,"Balance";#N/A,#N/A,FALSE,"Cash Flow";#N/A,#N/A,FALSE,"Comps";#N/A,#N/A,FALSE,"Stores"}</definedName>
    <definedName name="wrn.Darden." hidden="1">{#N/A,#N/A,FALSE,"Annual";#N/A,#N/A,FALSE,"Balance";#N/A,#N/A,FALSE,"Stores"}</definedName>
    <definedName name="wrn.IND." hidden="1">{#N/A,#N/A,FALSE,"Cover 1";#N/A,#N/A,FALSE,"APPB";#N/A,#N/A,FALSE,"BOBE";#N/A,#N/A,FALSE,"EAT";#N/A,#N/A,FALSE,"CBRL";#N/A,#N/A,FALSE,"DRI";#N/A,#N/A,FALSE,"MCD";#N/A,#N/A,FALSE,"RI";#N/A,#N/A,FALSE,"WEN"}</definedName>
    <definedName name="wrn.jeep." localSheetId="1" hidden="1">{"taysum1",#N/A,FALSE,"Taylor";"jeepsum1",#N/A,FALSE,"Finance";"BS",#N/A,FALSE,"Taylor";"Tay",#N/A,FALSE,"Taylor";"ConsolLoan",#N/A,FALSE,"Taylor";"Jeep1",#N/A,FALSE,"Finance";"Jeep2",#N/A,FALSE,"Finance";"jeep3",#N/A,FALSE,"Finance";"jeep4",#N/A,FALSE,"Finance";"Jeepprod",#N/A,FALSE,"Production";"jeepop",#N/A,FALSE,"Operating costs"}</definedName>
    <definedName name="wrn.jeep." hidden="1">{"taysum1",#N/A,FALSE,"Taylor";"jeepsum1",#N/A,FALSE,"Finance";"BS",#N/A,FALSE,"Taylor";"Tay",#N/A,FALSE,"Taylor";"ConsolLoan",#N/A,FALSE,"Taylor";"Jeep1",#N/A,FALSE,"Finance";"Jeep2",#N/A,FALSE,"Finance";"jeep3",#N/A,FALSE,"Finance";"jeep4",#N/A,FALSE,"Finance";"Jeepprod",#N/A,FALSE,"Production";"jeepop",#N/A,FALSE,"Operating costs"}</definedName>
    <definedName name="wrn.jeepJul24." localSheetId="1" hidden="1">{"overall",#N/A,FALSE,"Taylor";"Jul24Sum",#N/A,FALSE,"Finance";"Jul24COS",#N/A,FALSE,"Finance";"Jul24C3",#N/A,FALSE,"Finance";"jul24tax&amp;debtcalcs",#N/A,FALSE,"Finance";"jeepsum",#N/A,FALSE,"Finance";"taysum1",#N/A,FALSE,"Taylor";"BS",#N/A,FALSE,"Taylor";"backup",#N/A,FALSE,"Taylor";"jeepop",#N/A,FALSE,"Operating costs"}</definedName>
    <definedName name="wrn.jeepJul24." hidden="1">{"overall",#N/A,FALSE,"Taylor";"Jul24Sum",#N/A,FALSE,"Finance";"Jul24COS",#N/A,FALSE,"Finance";"Jul24C3",#N/A,FALSE,"Finance";"jul24tax&amp;debtcalcs",#N/A,FALSE,"Finance";"jeepsum",#N/A,FALSE,"Finance";"taysum1",#N/A,FALSE,"Taylor";"BS",#N/A,FALSE,"Taylor";"backup",#N/A,FALSE,"Taylor";"jeepop",#N/A,FALSE,"Operating costs"}</definedName>
    <definedName name="wrn.Morrison." hidden="1">{#N/A,#N/A,FALSE,"Quarts";#N/A,#N/A,FALSE,"Annual";#N/A,#N/A,FALSE,"Balance";#N/A,#N/A,FALSE,"Cash Flow";#N/A,#N/A,FALSE,"Store Openings"}</definedName>
    <definedName name="wrn.Wendy." hidden="1">{#N/A,#N/A,FALSE,"Quarts";#N/A,#N/A,FALSE,"Annual";#N/A,#N/A,FALSE,"Cash Flow";#N/A,#N/A,FALSE,"Dividends";#N/A,#N/A,FALSE,"Stats"}</definedName>
    <definedName name="xdif_ActivateOnOpen" hidden="1">TRUE</definedName>
    <definedName name="xdif_AutomationClearCache" hidden="1">TRUE</definedName>
    <definedName name="xdif_AutomationCreateFolderStructure" hidden="1">FALSE</definedName>
    <definedName name="xdif_AutomationDropFormulas" hidden="1">"DropIncludingOtherWorkbookFormulas"</definedName>
    <definedName name="xdif_AutomationEmailSubject" hidden="1">"Automated workbook email from SmartView"</definedName>
    <definedName name="xdif_AutomationIgnoreHiddenRows" hidden="1">TRUE</definedName>
    <definedName name="xdif_AutomationMode" hidden="1">"AutomationSheet"</definedName>
    <definedName name="xdif_AutomationProtection" hidden="1">FALSE</definedName>
    <definedName name="xdif_AutomationRange" hidden="1">#REF!</definedName>
    <definedName name="xdif_AutomationSuppressZeros" hidden="1">TRUE</definedName>
    <definedName name="xdif_AutomationType01" hidden="1">"MultipleSheets"</definedName>
    <definedName name="xdif_AutomationType02" hidden="1">"SingleSheet"</definedName>
    <definedName name="xdif_AutomationUpdateLists" hidden="1">FALSE</definedName>
    <definedName name="xdif_RefreshIncludeLists" hidden="1">FALSE</definedName>
    <definedName name="xdif_RefreshOnOpen" hidden="1">FALSE</definedName>
    <definedName name="xdif_SheetToAutomate01" hidden="1">#REF!</definedName>
    <definedName name="xdif_SheetToAutomate02" hidden="1">#REF!</definedName>
    <definedName name="xdifExcludeHiddenBudgetUpload" hidden="1">TRUE</definedName>
    <definedName name="xdifSelectedSheetsBudgetUpload" localSheetId="1" hidden="1">{"BK Brand Summary"}</definedName>
    <definedName name="xdifSelectedSheetsBudgetUpload" hidden="1">{"BK Brand Summary"}</definedName>
    <definedName name="xjey1" hidden="1">#REF!</definedName>
    <definedName name="XREF_COLUMN_1" hidden="1">#REF!</definedName>
    <definedName name="XREF_COLUMN_12" hidden="1">#REF!</definedName>
    <definedName name="XREF_COLUMN_13" hidden="1">#REF!</definedName>
    <definedName name="XREF_COLUMN_2" hidden="1">#REF!</definedName>
    <definedName name="XREF_COLUMN_22" hidden="1">#REF!</definedName>
    <definedName name="XREF_COLUMN_3" hidden="1">#REF!</definedName>
    <definedName name="XREF_COLUMN_4" hidden="1">#REF!</definedName>
    <definedName name="XRefActiveRow" hidden="1">#REF!</definedName>
    <definedName name="XRefColumnsCount" hidden="1">1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1</definedName>
    <definedName name="XRefPaste1" hidden="1">#REF!</definedName>
    <definedName name="XRefPaste12Row" hidden="1">#REF!</definedName>
    <definedName name="XRefPaste17Row" hidden="1">#REF!</definedName>
    <definedName name="XRefPaste18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RangeCount" hidden="1">11</definedName>
    <definedName name="xsort2" hidden="1">#REF!</definedName>
    <definedName name="xxxxxx" localSheetId="1" hidden="1">{"taysum1",#N/A,FALSE,"Taylor";"jeepsum1",#N/A,FALSE,"Finance";"BS",#N/A,FALSE,"Taylor";"Tay",#N/A,FALSE,"Taylor";"ConsolLoan",#N/A,FALSE,"Taylor";"Jeep1",#N/A,FALSE,"Finance";"Jeep2",#N/A,FALSE,"Finance";"jeep3",#N/A,FALSE,"Finance";"jeep4",#N/A,FALSE,"Finance";"Jeepprod",#N/A,FALSE,"Production";"jeepop",#N/A,FALSE,"Operating costs"}</definedName>
    <definedName name="xxxxxx" hidden="1">{"taysum1",#N/A,FALSE,"Taylor";"jeepsum1",#N/A,FALSE,"Finance";"BS",#N/A,FALSE,"Taylor";"Tay",#N/A,FALSE,"Taylor";"ConsolLoan",#N/A,FALSE,"Taylor";"Jeep1",#N/A,FALSE,"Finance";"Jeep2",#N/A,FALSE,"Finance";"jeep3",#N/A,FALSE,"Finance";"jeep4",#N/A,FALSE,"Finance";"Jeepprod",#N/A,FALSE,"Production";"jeepop",#N/A,FALSE,"Operating costs"}</definedName>
    <definedName name="yyyyyy" localSheetId="1" hidden="1">{"overall",#N/A,FALSE,"Taylor";"Jul24Sum",#N/A,FALSE,"Finance";"Jul24COS",#N/A,FALSE,"Finance";"Jul24C3",#N/A,FALSE,"Finance";"jul24tax&amp;debtcalcs",#N/A,FALSE,"Finance";"jeepsum",#N/A,FALSE,"Finance";"taysum1",#N/A,FALSE,"Taylor";"BS",#N/A,FALSE,"Taylor";"backup",#N/A,FALSE,"Taylor";"jeepop",#N/A,FALSE,"Operating costs"}</definedName>
    <definedName name="yyyyyy" hidden="1">{"overall",#N/A,FALSE,"Taylor";"Jul24Sum",#N/A,FALSE,"Finance";"Jul24COS",#N/A,FALSE,"Finance";"Jul24C3",#N/A,FALSE,"Finance";"jul24tax&amp;debtcalcs",#N/A,FALSE,"Finance";"jeepsum",#N/A,FALSE,"Finance";"taysum1",#N/A,FALSE,"Taylor";"BS",#N/A,FALSE,"Taylor";"backup",#N/A,FALSE,"Taylor";"jeepop",#N/A,FALSE,"Operating costs"}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9" i="3" l="1"/>
  <c r="G71" i="3" s="1"/>
  <c r="G74" i="3" s="1"/>
  <c r="F69" i="3"/>
  <c r="G64" i="3"/>
  <c r="F64" i="3"/>
  <c r="F71" i="3" s="1"/>
  <c r="F74" i="3" s="1"/>
  <c r="G51" i="3"/>
  <c r="G57" i="3" s="1"/>
  <c r="F51" i="3"/>
  <c r="F57" i="3" s="1"/>
  <c r="H43" i="3"/>
  <c r="G43" i="3"/>
  <c r="F43" i="3"/>
  <c r="C28" i="3"/>
  <c r="C27" i="3"/>
  <c r="C26" i="3"/>
  <c r="G18" i="3"/>
  <c r="G19" i="3" s="1"/>
  <c r="F18" i="3"/>
  <c r="G16" i="3"/>
  <c r="F16" i="3"/>
  <c r="G15" i="3"/>
  <c r="F15" i="3"/>
  <c r="H11" i="3"/>
  <c r="I11" i="3" s="1"/>
  <c r="F11" i="3"/>
  <c r="E79" i="2"/>
  <c r="E73" i="2"/>
  <c r="D73" i="2"/>
  <c r="E61" i="2"/>
  <c r="D61" i="2"/>
  <c r="E56" i="2"/>
  <c r="D56" i="2"/>
  <c r="E51" i="2"/>
  <c r="D51" i="2"/>
  <c r="D45" i="2"/>
  <c r="E45" i="2" s="1"/>
  <c r="E30" i="2"/>
  <c r="D30" i="2"/>
  <c r="E19" i="2"/>
  <c r="E13" i="2"/>
  <c r="D13" i="2"/>
  <c r="F22" i="3" l="1"/>
  <c r="F31" i="3" s="1"/>
  <c r="F33" i="3" s="1"/>
  <c r="F34" i="3" s="1"/>
  <c r="F19" i="3"/>
  <c r="J11" i="3"/>
  <c r="I43" i="3"/>
  <c r="D19" i="2"/>
  <c r="E34" i="2"/>
  <c r="E21" i="2"/>
  <c r="D79" i="2"/>
  <c r="D69" i="2"/>
  <c r="G22" i="3"/>
  <c r="G31" i="3" s="1"/>
  <c r="G33" i="3" s="1"/>
  <c r="G34" i="3" s="1"/>
  <c r="E69" i="2"/>
  <c r="D78" i="2"/>
  <c r="E78" i="2"/>
  <c r="D76" i="2" l="1"/>
  <c r="D81" i="2" s="1"/>
  <c r="K11" i="3"/>
  <c r="J43" i="3"/>
  <c r="E39" i="2"/>
  <c r="E36" i="2"/>
  <c r="D34" i="2"/>
  <c r="D21" i="2"/>
  <c r="E76" i="2"/>
  <c r="E81" i="2" s="1"/>
  <c r="D39" i="2" l="1"/>
  <c r="D36" i="2"/>
  <c r="K43" i="3"/>
  <c r="L11" i="3"/>
  <c r="L43" i="3" s="1"/>
  <c r="E40" i="2"/>
  <c r="D40" i="2" l="1"/>
</calcChain>
</file>

<file path=xl/sharedStrings.xml><?xml version="1.0" encoding="utf-8"?>
<sst xmlns="http://schemas.openxmlformats.org/spreadsheetml/2006/main" count="139" uniqueCount="104">
  <si>
    <t>Project Athena</t>
  </si>
  <si>
    <t>Quarterly and Annual Financial Statements</t>
  </si>
  <si>
    <t>($s in 000s)</t>
  </si>
  <si>
    <t>Income Statement</t>
  </si>
  <si>
    <t>FY</t>
  </si>
  <si>
    <t>Service Revenues</t>
  </si>
  <si>
    <t>Parts &amp; Other</t>
  </si>
  <si>
    <t>Total Revenue</t>
  </si>
  <si>
    <t>Labor</t>
  </si>
  <si>
    <t>Materials</t>
  </si>
  <si>
    <t>Other CoGS</t>
  </si>
  <si>
    <t>Total Gross Profit</t>
  </si>
  <si>
    <t>Total Gross Margin %</t>
  </si>
  <si>
    <t>Payroll &amp; Related Expenses</t>
  </si>
  <si>
    <t>Rent &amp; Occupancy</t>
  </si>
  <si>
    <t>Depreciation</t>
  </si>
  <si>
    <t>Amortization</t>
  </si>
  <si>
    <t>Interest</t>
  </si>
  <si>
    <t>Other SG&amp;A</t>
  </si>
  <si>
    <t>Income Taxes</t>
  </si>
  <si>
    <t>Total SG&amp;A</t>
  </si>
  <si>
    <t>Other Expense (Income)</t>
  </si>
  <si>
    <t>Net Income</t>
  </si>
  <si>
    <t>EBITDA, Unadjusted</t>
  </si>
  <si>
    <t>Total Profit Margin %</t>
  </si>
  <si>
    <t>Total EBITDA Margin %</t>
  </si>
  <si>
    <t>Balance Sheet</t>
  </si>
  <si>
    <t>YE</t>
  </si>
  <si>
    <t>Cash &amp; Cash Equivalents</t>
  </si>
  <si>
    <t>Accounts Receivable, Gross</t>
  </si>
  <si>
    <t>Allowance for Doubtful Accounts</t>
  </si>
  <si>
    <t>Inventory</t>
  </si>
  <si>
    <t>Prepaids &amp; Other</t>
  </si>
  <si>
    <t>Total Current Assets</t>
  </si>
  <si>
    <t>PP&amp;E, Net</t>
  </si>
  <si>
    <t>Long-Term Intangible Assets</t>
  </si>
  <si>
    <t>Total Assets</t>
  </si>
  <si>
    <t>Accounts Payable</t>
  </si>
  <si>
    <t>Wages Payable</t>
  </si>
  <si>
    <t>Accrued Expenses &amp; Other</t>
  </si>
  <si>
    <t>Total Current Liabilities</t>
  </si>
  <si>
    <t>Revolver</t>
  </si>
  <si>
    <t>Term Loan A</t>
  </si>
  <si>
    <t>Subordinated Debt - Note 1</t>
  </si>
  <si>
    <t>Subordinated Debt - Note 2</t>
  </si>
  <si>
    <t>Other Long-Term Liabilities</t>
  </si>
  <si>
    <t xml:space="preserve">Total Liabilities </t>
  </si>
  <si>
    <t>Common Stock</t>
  </si>
  <si>
    <t>Retained Earnings</t>
  </si>
  <si>
    <t>Total Equity</t>
  </si>
  <si>
    <t>Total Liabilities and Equity</t>
  </si>
  <si>
    <t>Net Working Capital</t>
  </si>
  <si>
    <t>Net Working Capital, less Cash</t>
  </si>
  <si>
    <t>Check</t>
  </si>
  <si>
    <t>Athena Modeling Exercise</t>
  </si>
  <si>
    <t>Step 1 - Historicals</t>
  </si>
  <si>
    <t>Black font = Calculation</t>
  </si>
  <si>
    <t>YELLOWS ARE FILLS</t>
  </si>
  <si>
    <t>SKIP FOR NOW</t>
  </si>
  <si>
    <t>Blue font = Hardcoded Input/Assumption</t>
  </si>
  <si>
    <t>Green font = Pulled from another Sheet</t>
  </si>
  <si>
    <t>x</t>
  </si>
  <si>
    <t>Use the historical financial statements (Income Statement and Balance Sheet) to get started. Copy the financial statements as they appear from your research</t>
  </si>
  <si>
    <t>MRY</t>
  </si>
  <si>
    <t>Fiscal Years Ending December 31,</t>
  </si>
  <si>
    <t>($ in millions)</t>
  </si>
  <si>
    <t>COGS</t>
  </si>
  <si>
    <t>Gross Profit</t>
  </si>
  <si>
    <t>Gross Margin (%)</t>
  </si>
  <si>
    <t>SG&amp;A</t>
  </si>
  <si>
    <t>EBITDA</t>
  </si>
  <si>
    <t>EBITDA Margin (%)</t>
  </si>
  <si>
    <t>EBIT</t>
  </si>
  <si>
    <t>Interest (Income) / Expense</t>
  </si>
  <si>
    <t>Revolver – Interest</t>
  </si>
  <si>
    <t>Revolver – Undrawn Commitment Fee</t>
  </si>
  <si>
    <t>Other (Income) / Expense</t>
  </si>
  <si>
    <t>Income Before Taxes</t>
  </si>
  <si>
    <t>Provision for Tax</t>
  </si>
  <si>
    <t>Profit Margin (%)</t>
  </si>
  <si>
    <t>Capital Expenditures</t>
  </si>
  <si>
    <t>Assets</t>
  </si>
  <si>
    <t>Cash and Equivalents</t>
  </si>
  <si>
    <t>Accounts Receivable, net</t>
  </si>
  <si>
    <t>Prepaids and Other Current Assets</t>
  </si>
  <si>
    <t>PP&amp;E, Gross</t>
  </si>
  <si>
    <t>( – ) Accumulated Depreciation</t>
  </si>
  <si>
    <t>Goodwill</t>
  </si>
  <si>
    <t>Intangible and Long-Term Other Assets</t>
  </si>
  <si>
    <t>Liabilities &amp; Shareholders' Equity</t>
  </si>
  <si>
    <t>Subordinated - Note 1</t>
  </si>
  <si>
    <t>Subordinated - Note 2</t>
  </si>
  <si>
    <t>Total Debt</t>
  </si>
  <si>
    <t>Other Long-term Liabilities</t>
  </si>
  <si>
    <t>Total liabilities</t>
  </si>
  <si>
    <t>Total Liabilities &amp; Shareholders' Equity</t>
  </si>
  <si>
    <t>Checks to Source</t>
  </si>
  <si>
    <t>Revenue</t>
  </si>
  <si>
    <t>Cash</t>
  </si>
  <si>
    <t>Current Assets</t>
  </si>
  <si>
    <t>Current Liabilities</t>
  </si>
  <si>
    <t>Total Liabilities</t>
  </si>
  <si>
    <t>Internal Checks</t>
  </si>
  <si>
    <t>A= L +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</si>
</sst>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(* #,##0_);_(* \(#,##0\);_(* &quot;-&quot;_);_(@_)"/>
    <numFmt numFmtId="43" formatCode="_(* #,##0.00_);_(* \(#,##0.00\);_(* &quot;-&quot;??_);_(@_)"/>
    <numFmt numFmtId="164" formatCode="&quot;ERROR&quot;;&quot;ERROR&quot;;&quot;OK&quot;"/>
    <numFmt numFmtId="165" formatCode="[$-409]mmm\-yy;@"/>
    <numFmt numFmtId="166" formatCode="_(* #,##0.0_);_(* \(#,##0.0\);_(* &quot;-&quot;?_);_(@_)"/>
    <numFmt numFmtId="167" formatCode="0.0%"/>
    <numFmt numFmtId="168" formatCode="0_)_%;_(\(0\)_%;0_)_%;@_(_%"/>
    <numFmt numFmtId="169" formatCode="_(#,##0.00_)_%;_(\(#,##0.00\)_%;_(&quot;–&quot;_)_%;@_(_%"/>
    <numFmt numFmtId="170" formatCode="_(#,##0.0_)_%;_(\(#,##0.0\)_%;_(&quot;–&quot;_)_%;@_(_%"/>
    <numFmt numFmtId="171" formatCode="yyyy"/>
    <numFmt numFmtId="172" formatCode="mm/dd/yy;@"/>
    <numFmt numFmtId="173" formatCode="&quot;$&quot;#,##0.0_);\(&quot;$&quot;#,##0.0\);&quot;$&quot;#,##0.0_);@_)"/>
    <numFmt numFmtId="174" formatCode="&quot;$&quot;#,##0.0"/>
    <numFmt numFmtId="175" formatCode="#,##0.0_);\(#,##0.0\);#,##0.0_);@_)"/>
    <numFmt numFmtId="176" formatCode="_(#,##0_)_%;_(\(#,##0\)_%;_(&quot;–&quot;_)_%;@_(_%"/>
    <numFmt numFmtId="177" formatCode="_(&quot;$&quot;#,##0.0_)_%;_(\(&quot;$&quot;#,##0.0\)_%;_(&quot;–&quot;_)_%;@_(_%"/>
    <numFmt numFmtId="178" formatCode="_([$$]#,##0.0_)_%;\([$$]#,##0.0\)_%;_(&quot;–&quot;_)_%;@_)_%"/>
    <numFmt numFmtId="179" formatCode="&quot;$&quot;#,##0.0_);\(&quot;$&quot;#,##0.0\)"/>
    <numFmt numFmtId="180" formatCode="_(#,##0.000_)_%;_(\(#,##0.000\)_%;_(&quot;–&quot;_)_%;@_(_%"/>
    <numFmt numFmtId="181" formatCode="_(0.0%_);\(0.0%\);_(&quot;–&quot;_)_%;@_(_%"/>
  </numFmts>
  <fonts count="54">
    <font>
      <sz val="10"/>
      <color indexed="16"/>
      <name val="Credit Suisse Type Roman"/>
      <family val="2"/>
    </font>
    <font>
      <sz val="11"/>
      <color theme="1"/>
      <name val="Open Sans"/>
      <family val="2"/>
    </font>
    <font>
      <b/>
      <sz val="11"/>
      <color theme="0"/>
      <name val="Open Sans"/>
      <family val="2"/>
    </font>
    <font>
      <b/>
      <sz val="11"/>
      <color theme="1"/>
      <name val="Open Sans"/>
      <family val="2"/>
    </font>
    <font>
      <sz val="11"/>
      <color theme="1"/>
      <name val="Calibri"/>
      <family val="2"/>
      <scheme val="minor"/>
    </font>
    <font>
      <b/>
      <sz val="10"/>
      <color theme="1"/>
      <name val="Open Sans"/>
      <family val="2"/>
    </font>
    <font>
      <sz val="11"/>
      <color theme="1"/>
      <name val="Book Antiqua"/>
      <family val="2"/>
    </font>
    <font>
      <i/>
      <sz val="10"/>
      <color theme="0"/>
      <name val="Open Sans"/>
      <family val="2"/>
    </font>
    <font>
      <b/>
      <sz val="11"/>
      <color rgb="FF535456"/>
      <name val="Open Sans"/>
      <family val="2"/>
    </font>
    <font>
      <sz val="11"/>
      <color rgb="FF535456"/>
      <name val="Open Sans"/>
      <family val="2"/>
    </font>
    <font>
      <b/>
      <u/>
      <sz val="11"/>
      <color theme="1"/>
      <name val="Open Sans"/>
      <family val="2"/>
    </font>
    <font>
      <i/>
      <sz val="10"/>
      <color theme="1"/>
      <name val="Open Sans"/>
      <family val="2"/>
    </font>
    <font>
      <sz val="10"/>
      <color theme="1"/>
      <name val="Open Sans"/>
      <family val="2"/>
    </font>
    <font>
      <i/>
      <sz val="11"/>
      <color theme="1"/>
      <name val="Open Sans"/>
      <family val="2"/>
    </font>
    <font>
      <sz val="10"/>
      <color indexed="16"/>
      <name val="Open Sans"/>
      <family val="2"/>
    </font>
    <font>
      <b/>
      <sz val="10"/>
      <color indexed="16"/>
      <name val="Open Sans"/>
      <family val="2"/>
    </font>
    <font>
      <b/>
      <sz val="10"/>
      <color indexed="9"/>
      <name val="Open Sans"/>
      <family val="2"/>
    </font>
    <font>
      <sz val="12"/>
      <color indexed="16"/>
      <name val="Open Sans"/>
      <family val="2"/>
    </font>
    <font>
      <b/>
      <sz val="14"/>
      <color theme="0"/>
      <name val="Open Sans"/>
      <family val="2"/>
    </font>
    <font>
      <sz val="14"/>
      <color theme="0"/>
      <name val="Open Sans"/>
      <family val="2"/>
    </font>
    <font>
      <b/>
      <sz val="10"/>
      <color theme="0"/>
      <name val="Open Sans"/>
      <family val="2"/>
    </font>
    <font>
      <b/>
      <sz val="10"/>
      <name val="Open Sans"/>
      <family val="2"/>
    </font>
    <font>
      <b/>
      <i/>
      <sz val="10"/>
      <color rgb="FF0000FF"/>
      <name val="Open Sans"/>
      <family val="2"/>
    </font>
    <font>
      <sz val="12"/>
      <color rgb="FF0000FF"/>
      <name val="Open Sans"/>
      <family val="2"/>
    </font>
    <font>
      <sz val="12"/>
      <color indexed="9"/>
      <name val="Open Sans"/>
      <family val="2"/>
    </font>
    <font>
      <b/>
      <sz val="10"/>
      <color rgb="FF000000"/>
      <name val="Open Sans"/>
      <family val="2"/>
    </font>
    <font>
      <b/>
      <sz val="10"/>
      <color rgb="FF0000FF"/>
      <name val="Open Sans"/>
      <family val="2"/>
    </font>
    <font>
      <b/>
      <sz val="10"/>
      <color rgb="FF007E00"/>
      <name val="Open Sans"/>
      <family val="2"/>
    </font>
    <font>
      <b/>
      <sz val="14"/>
      <color rgb="FFFFFFFF"/>
      <name val="Open Sans"/>
      <family val="2"/>
    </font>
    <font>
      <b/>
      <sz val="12"/>
      <color indexed="16"/>
      <name val="Open Sans"/>
      <family val="2"/>
    </font>
    <font>
      <b/>
      <sz val="10"/>
      <color rgb="FF416D89"/>
      <name val="Open Sans"/>
      <family val="2"/>
    </font>
    <font>
      <sz val="8"/>
      <color indexed="16"/>
      <name val="Open Sans"/>
      <family val="2"/>
    </font>
    <font>
      <sz val="7"/>
      <color indexed="16"/>
      <name val="Open Sans"/>
      <family val="2"/>
    </font>
    <font>
      <b/>
      <sz val="10"/>
      <color rgb="FF003868"/>
      <name val="Open Sans"/>
      <family val="2"/>
    </font>
    <font>
      <b/>
      <sz val="10"/>
      <color rgb="FF003769"/>
      <name val="Open Sans"/>
      <family val="2"/>
    </font>
    <font>
      <b/>
      <u val="singleAccounting"/>
      <sz val="10"/>
      <color rgb="FF003769"/>
      <name val="Open Sans"/>
      <family val="2"/>
    </font>
    <font>
      <sz val="8"/>
      <color rgb="FF000000"/>
      <name val="Open Sans"/>
      <family val="2"/>
    </font>
    <font>
      <b/>
      <sz val="10"/>
      <color indexed="53"/>
      <name val="Open Sans"/>
      <family val="2"/>
    </font>
    <font>
      <sz val="10"/>
      <name val="Open Sans"/>
      <family val="2"/>
    </font>
    <font>
      <sz val="10"/>
      <color rgb="FF007E00"/>
      <name val="Open Sans"/>
      <family val="2"/>
    </font>
    <font>
      <sz val="10"/>
      <color rgb="FF000000"/>
      <name val="Open Sans"/>
      <family val="2"/>
    </font>
    <font>
      <i/>
      <sz val="10"/>
      <name val="Open Sans"/>
      <family val="2"/>
    </font>
    <font>
      <i/>
      <sz val="10"/>
      <color rgb="FF000000"/>
      <name val="Open Sans"/>
      <family val="2"/>
    </font>
    <font>
      <i/>
      <u/>
      <sz val="10"/>
      <name val="Open Sans"/>
      <family val="2"/>
    </font>
    <font>
      <i/>
      <sz val="10"/>
      <color rgb="FF007E00"/>
      <name val="Open Sans"/>
      <family val="2"/>
    </font>
    <font>
      <sz val="10"/>
      <color rgb="FF0000FF"/>
      <name val="Open Sans"/>
      <family val="2"/>
    </font>
    <font>
      <i/>
      <sz val="10"/>
      <color indexed="16"/>
      <name val="Open Sans"/>
      <family val="2"/>
    </font>
    <font>
      <i/>
      <sz val="8"/>
      <color indexed="60"/>
      <name val="Open Sans"/>
      <family val="2"/>
    </font>
    <font>
      <i/>
      <sz val="12"/>
      <color rgb="FFC00000"/>
      <name val="Open Sans"/>
      <family val="2"/>
    </font>
    <font>
      <i/>
      <sz val="10"/>
      <color rgb="FFC00000"/>
      <name val="Open Sans"/>
      <family val="2"/>
    </font>
    <font>
      <i/>
      <sz val="10"/>
      <color rgb="FFC23841"/>
      <name val="Open Sans"/>
      <family val="2"/>
    </font>
    <font>
      <b/>
      <u/>
      <sz val="10"/>
      <color indexed="16"/>
      <name val="Open Sans"/>
      <family val="2"/>
    </font>
    <font>
      <i/>
      <u/>
      <sz val="10"/>
      <color indexed="16"/>
      <name val="Open Sans"/>
      <family val="2"/>
    </font>
    <font>
      <u/>
      <sz val="10"/>
      <color indexed="16"/>
      <name val="Open Sans"/>
      <family val="2"/>
    </font>
  </fonts>
  <fills count="7">
    <fill>
      <patternFill patternType="none"/>
    </fill>
    <fill>
      <patternFill patternType="gray125"/>
    </fill>
    <fill>
      <patternFill patternType="solid">
        <fgColor rgb="FF416D89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DCDC"/>
        <bgColor indexed="64"/>
      </patternFill>
    </fill>
    <fill>
      <patternFill patternType="solid">
        <fgColor rgb="FF005A9F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ck">
        <color theme="0"/>
      </top>
      <bottom/>
      <diagonal/>
    </border>
    <border>
      <left/>
      <right/>
      <top/>
      <bottom style="medium">
        <color rgb="FF235A8C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rgb="FFB4C3D2"/>
      </left>
      <right/>
      <top style="thin">
        <color rgb="FFB4C3D2"/>
      </top>
      <bottom style="thin">
        <color rgb="FFB4C3D2"/>
      </bottom>
      <diagonal/>
    </border>
    <border>
      <left/>
      <right/>
      <top style="thin">
        <color rgb="FFB4C3D2"/>
      </top>
      <bottom style="thin">
        <color rgb="FFB4C3D2"/>
      </bottom>
      <diagonal/>
    </border>
    <border>
      <left/>
      <right style="thin">
        <color rgb="FFB4C3D2"/>
      </right>
      <top style="thin">
        <color rgb="FFB4C3D2"/>
      </top>
      <bottom style="thin">
        <color rgb="FFB4C3D2"/>
      </bottom>
      <diagonal/>
    </border>
    <border>
      <left/>
      <right/>
      <top/>
      <bottom style="thin">
        <color rgb="FFB4C3D2"/>
      </bottom>
      <diagonal/>
    </border>
  </borders>
  <cellStyleXfs count="3">
    <xf numFmtId="0" fontId="0" fillId="0" borderId="0"/>
    <xf numFmtId="0" fontId="4" fillId="0" borderId="0"/>
    <xf numFmtId="0" fontId="6" fillId="0" borderId="0"/>
  </cellStyleXfs>
  <cellXfs count="125">
    <xf numFmtId="0" fontId="0" fillId="0" borderId="0" xfId="0"/>
    <xf numFmtId="164" fontId="5" fillId="0" borderId="0" xfId="1" applyNumberFormat="1" applyFont="1" applyAlignment="1">
      <alignment horizontal="centerContinuous"/>
    </xf>
    <xf numFmtId="0" fontId="1" fillId="0" borderId="0" xfId="2" applyFont="1"/>
    <xf numFmtId="0" fontId="2" fillId="2" borderId="0" xfId="1" applyFont="1" applyFill="1"/>
    <xf numFmtId="0" fontId="7" fillId="2" borderId="0" xfId="1" applyFont="1" applyFill="1"/>
    <xf numFmtId="0" fontId="8" fillId="3" borderId="0" xfId="2" applyFont="1" applyFill="1"/>
    <xf numFmtId="0" fontId="9" fillId="3" borderId="0" xfId="2" applyFont="1" applyFill="1"/>
    <xf numFmtId="165" fontId="1" fillId="0" borderId="0" xfId="2" applyNumberFormat="1" applyFont="1"/>
    <xf numFmtId="0" fontId="10" fillId="0" borderId="0" xfId="2" applyFont="1" applyAlignment="1">
      <alignment horizontal="center"/>
    </xf>
    <xf numFmtId="0" fontId="1" fillId="0" borderId="0" xfId="2" applyFont="1" applyAlignment="1">
      <alignment wrapText="1"/>
    </xf>
    <xf numFmtId="0" fontId="1" fillId="0" borderId="0" xfId="2" applyFont="1" applyAlignment="1">
      <alignment horizontal="left" indent="1"/>
    </xf>
    <xf numFmtId="166" fontId="1" fillId="0" borderId="0" xfId="2" applyNumberFormat="1" applyFont="1"/>
    <xf numFmtId="43" fontId="1" fillId="0" borderId="0" xfId="2" applyNumberFormat="1" applyFont="1"/>
    <xf numFmtId="0" fontId="3" fillId="0" borderId="1" xfId="2" applyFont="1" applyBorder="1"/>
    <xf numFmtId="0" fontId="1" fillId="0" borderId="1" xfId="2" applyFont="1" applyBorder="1"/>
    <xf numFmtId="166" fontId="3" fillId="0" borderId="1" xfId="2" applyNumberFormat="1" applyFont="1" applyBorder="1"/>
    <xf numFmtId="0" fontId="3" fillId="0" borderId="0" xfId="2" applyFont="1"/>
    <xf numFmtId="166" fontId="3" fillId="0" borderId="0" xfId="2" applyNumberFormat="1" applyFont="1"/>
    <xf numFmtId="0" fontId="11" fillId="0" borderId="0" xfId="2" applyFont="1" applyAlignment="1">
      <alignment horizontal="left" indent="2"/>
    </xf>
    <xf numFmtId="0" fontId="12" fillId="0" borderId="0" xfId="2" applyFont="1"/>
    <xf numFmtId="167" fontId="11" fillId="0" borderId="0" xfId="2" applyNumberFormat="1" applyFont="1"/>
    <xf numFmtId="167" fontId="13" fillId="0" borderId="0" xfId="2" applyNumberFormat="1" applyFont="1"/>
    <xf numFmtId="0" fontId="3" fillId="0" borderId="0" xfId="2" applyFont="1" applyAlignment="1">
      <alignment horizontal="left"/>
    </xf>
    <xf numFmtId="0" fontId="10" fillId="0" borderId="0" xfId="2" applyFont="1" applyAlignment="1">
      <alignment horizontal="right" indent="1"/>
    </xf>
    <xf numFmtId="0" fontId="1" fillId="0" borderId="0" xfId="2" applyFont="1" applyAlignment="1">
      <alignment horizontal="left" indent="2"/>
    </xf>
    <xf numFmtId="0" fontId="1" fillId="0" borderId="0" xfId="2" applyFont="1" applyAlignment="1">
      <alignment horizontal="left"/>
    </xf>
    <xf numFmtId="0" fontId="13" fillId="0" borderId="0" xfId="2" applyFont="1"/>
    <xf numFmtId="166" fontId="13" fillId="0" borderId="0" xfId="2" applyNumberFormat="1" applyFont="1"/>
    <xf numFmtId="0" fontId="13" fillId="0" borderId="0" xfId="2" applyFont="1" applyAlignment="1">
      <alignment horizontal="left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168" fontId="16" fillId="0" borderId="0" xfId="0" applyNumberFormat="1" applyFont="1" applyAlignment="1">
      <alignment horizontal="right" vertical="center"/>
    </xf>
    <xf numFmtId="0" fontId="17" fillId="0" borderId="0" xfId="0" applyFont="1" applyAlignment="1">
      <alignment vertical="center"/>
    </xf>
    <xf numFmtId="0" fontId="18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168" fontId="19" fillId="2" borderId="0" xfId="0" applyNumberFormat="1" applyFont="1" applyFill="1" applyAlignment="1">
      <alignment horizontal="right" vertical="center"/>
    </xf>
    <xf numFmtId="169" fontId="19" fillId="2" borderId="0" xfId="0" applyNumberFormat="1" applyFont="1" applyFill="1" applyAlignment="1">
      <alignment horizontal="right" vertical="center"/>
    </xf>
    <xf numFmtId="0" fontId="20" fillId="2" borderId="0" xfId="0" applyFont="1" applyFill="1" applyAlignment="1">
      <alignment vertical="center"/>
    </xf>
    <xf numFmtId="168" fontId="18" fillId="2" borderId="0" xfId="0" applyNumberFormat="1" applyFont="1" applyFill="1" applyAlignment="1">
      <alignment horizontal="right" vertical="center"/>
    </xf>
    <xf numFmtId="0" fontId="21" fillId="0" borderId="0" xfId="0" applyFont="1" applyAlignment="1">
      <alignment vertical="center"/>
    </xf>
    <xf numFmtId="0" fontId="22" fillId="4" borderId="0" xfId="0" applyFont="1" applyFill="1" applyAlignment="1">
      <alignment vertical="center"/>
    </xf>
    <xf numFmtId="0" fontId="23" fillId="4" borderId="0" xfId="0" applyFont="1" applyFill="1" applyAlignment="1">
      <alignment vertical="center"/>
    </xf>
    <xf numFmtId="168" fontId="24" fillId="0" borderId="0" xfId="0" applyNumberFormat="1" applyFont="1" applyAlignment="1">
      <alignment horizontal="right" vertical="center"/>
    </xf>
    <xf numFmtId="170" fontId="25" fillId="5" borderId="0" xfId="0" applyNumberFormat="1" applyFont="1" applyFill="1" applyAlignment="1">
      <alignment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14" fillId="0" borderId="2" xfId="0" applyFont="1" applyBorder="1" applyAlignment="1">
      <alignment horizontal="center" vertical="center"/>
    </xf>
    <xf numFmtId="0" fontId="28" fillId="6" borderId="2" xfId="0" applyFont="1" applyFill="1" applyBorder="1" applyAlignment="1">
      <alignment vertical="center"/>
    </xf>
    <xf numFmtId="0" fontId="29" fillId="6" borderId="2" xfId="0" applyFont="1" applyFill="1" applyBorder="1" applyAlignment="1">
      <alignment vertical="center"/>
    </xf>
    <xf numFmtId="0" fontId="14" fillId="6" borderId="2" xfId="0" applyFont="1" applyFill="1" applyBorder="1" applyAlignment="1">
      <alignment vertical="center"/>
    </xf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33" fillId="0" borderId="0" xfId="0" applyFont="1" applyAlignment="1">
      <alignment horizontal="left" vertical="center"/>
    </xf>
    <xf numFmtId="0" fontId="34" fillId="0" borderId="0" xfId="0" applyFont="1" applyAlignment="1">
      <alignment horizontal="center" vertical="center"/>
    </xf>
    <xf numFmtId="49" fontId="35" fillId="0" borderId="0" xfId="0" applyNumberFormat="1" applyFont="1" applyAlignment="1">
      <alignment horizontal="centerContinuous" vertical="center"/>
    </xf>
    <xf numFmtId="0" fontId="36" fillId="0" borderId="3" xfId="0" applyFont="1" applyBorder="1" applyAlignment="1">
      <alignment horizontal="left" vertical="center"/>
    </xf>
    <xf numFmtId="0" fontId="33" fillId="0" borderId="3" xfId="0" applyFont="1" applyBorder="1" applyAlignment="1">
      <alignment horizontal="left" vertical="center"/>
    </xf>
    <xf numFmtId="171" fontId="34" fillId="0" borderId="3" xfId="0" applyNumberFormat="1" applyFont="1" applyBorder="1" applyAlignment="1">
      <alignment horizontal="center" vertical="center"/>
    </xf>
    <xf numFmtId="0" fontId="37" fillId="0" borderId="0" xfId="0" applyFont="1" applyAlignment="1">
      <alignment horizontal="left" vertical="center"/>
    </xf>
    <xf numFmtId="172" fontId="37" fillId="0" borderId="0" xfId="0" applyNumberFormat="1" applyFont="1" applyAlignment="1">
      <alignment horizontal="center" vertical="center"/>
    </xf>
    <xf numFmtId="173" fontId="21" fillId="0" borderId="0" xfId="0" applyNumberFormat="1" applyFont="1" applyAlignment="1">
      <alignment vertical="center"/>
    </xf>
    <xf numFmtId="174" fontId="27" fillId="4" borderId="0" xfId="0" applyNumberFormat="1" applyFont="1" applyFill="1" applyAlignment="1">
      <alignment vertical="center"/>
    </xf>
    <xf numFmtId="175" fontId="38" fillId="0" borderId="0" xfId="0" applyNumberFormat="1" applyFont="1" applyAlignment="1">
      <alignment vertical="center"/>
    </xf>
    <xf numFmtId="166" fontId="39" fillId="4" borderId="0" xfId="0" applyNumberFormat="1" applyFont="1" applyFill="1" applyAlignment="1">
      <alignment vertical="center"/>
    </xf>
    <xf numFmtId="0" fontId="38" fillId="0" borderId="4" xfId="0" applyFont="1" applyBorder="1" applyAlignment="1">
      <alignment vertical="center"/>
    </xf>
    <xf numFmtId="166" fontId="40" fillId="0" borderId="4" xfId="0" applyNumberFormat="1" applyFont="1" applyBorder="1" applyAlignment="1">
      <alignment vertical="center"/>
    </xf>
    <xf numFmtId="0" fontId="41" fillId="0" borderId="0" xfId="0" applyFont="1" applyAlignment="1">
      <alignment horizontal="left" vertical="center" indent="1"/>
    </xf>
    <xf numFmtId="0" fontId="38" fillId="0" borderId="0" xfId="0" applyFont="1" applyAlignment="1">
      <alignment vertical="center"/>
    </xf>
    <xf numFmtId="167" fontId="42" fillId="0" borderId="0" xfId="0" applyNumberFormat="1" applyFont="1" applyAlignment="1">
      <alignment horizontal="right" vertical="center"/>
    </xf>
    <xf numFmtId="0" fontId="21" fillId="0" borderId="4" xfId="0" applyFont="1" applyBorder="1" applyAlignment="1">
      <alignment vertical="center"/>
    </xf>
    <xf numFmtId="174" fontId="25" fillId="0" borderId="4" xfId="0" applyNumberFormat="1" applyFont="1" applyBorder="1" applyAlignment="1">
      <alignment vertical="center"/>
    </xf>
    <xf numFmtId="0" fontId="43" fillId="0" borderId="0" xfId="0" applyFont="1" applyAlignment="1">
      <alignment vertical="center"/>
    </xf>
    <xf numFmtId="167" fontId="44" fillId="0" borderId="0" xfId="0" applyNumberFormat="1" applyFont="1" applyAlignment="1">
      <alignment vertical="center"/>
    </xf>
    <xf numFmtId="175" fontId="38" fillId="0" borderId="0" xfId="0" applyNumberFormat="1" applyFont="1" applyAlignment="1">
      <alignment horizontal="left" vertical="center" indent="1"/>
    </xf>
    <xf numFmtId="170" fontId="39" fillId="0" borderId="0" xfId="0" applyNumberFormat="1" applyFont="1" applyAlignment="1">
      <alignment horizontal="right" vertical="center"/>
    </xf>
    <xf numFmtId="0" fontId="38" fillId="0" borderId="4" xfId="0" applyFont="1" applyBorder="1" applyAlignment="1">
      <alignment horizontal="left" vertical="center"/>
    </xf>
    <xf numFmtId="0" fontId="14" fillId="0" borderId="4" xfId="0" applyFont="1" applyBorder="1" applyAlignment="1">
      <alignment horizontal="left" vertical="center"/>
    </xf>
    <xf numFmtId="166" fontId="39" fillId="4" borderId="4" xfId="0" applyNumberFormat="1" applyFont="1" applyFill="1" applyBorder="1" applyAlignment="1">
      <alignment horizontal="right" vertical="center"/>
    </xf>
    <xf numFmtId="176" fontId="21" fillId="0" borderId="4" xfId="0" applyNumberFormat="1" applyFont="1" applyBorder="1" applyAlignment="1">
      <alignment vertical="center"/>
    </xf>
    <xf numFmtId="173" fontId="38" fillId="0" borderId="0" xfId="0" applyNumberFormat="1" applyFont="1" applyAlignment="1">
      <alignment vertical="center"/>
    </xf>
    <xf numFmtId="177" fontId="45" fillId="0" borderId="0" xfId="0" applyNumberFormat="1" applyFont="1" applyAlignment="1">
      <alignment vertical="center"/>
    </xf>
    <xf numFmtId="0" fontId="14" fillId="0" borderId="0" xfId="0" applyFont="1"/>
    <xf numFmtId="0" fontId="14" fillId="0" borderId="5" xfId="0" applyFont="1" applyBorder="1" applyAlignment="1">
      <alignment vertical="center"/>
    </xf>
    <xf numFmtId="0" fontId="20" fillId="2" borderId="6" xfId="0" applyFont="1" applyFill="1" applyBorder="1" applyAlignment="1">
      <alignment horizontal="left" vertical="center"/>
    </xf>
    <xf numFmtId="0" fontId="20" fillId="2" borderId="7" xfId="0" applyFont="1" applyFill="1" applyBorder="1" applyAlignment="1">
      <alignment horizontal="left" vertical="center" indent="1"/>
    </xf>
    <xf numFmtId="0" fontId="20" fillId="2" borderId="7" xfId="0" applyFont="1" applyFill="1" applyBorder="1" applyAlignment="1">
      <alignment horizontal="left" vertical="center"/>
    </xf>
    <xf numFmtId="0" fontId="20" fillId="2" borderId="8" xfId="0" applyFont="1" applyFill="1" applyBorder="1" applyAlignment="1">
      <alignment horizontal="left" vertical="center"/>
    </xf>
    <xf numFmtId="0" fontId="21" fillId="0" borderId="0" xfId="0" applyFont="1" applyAlignment="1">
      <alignment horizontal="left" vertical="center" indent="1"/>
    </xf>
    <xf numFmtId="174" fontId="27" fillId="4" borderId="0" xfId="0" applyNumberFormat="1" applyFont="1" applyFill="1" applyAlignment="1">
      <alignment horizontal="right" vertical="center"/>
    </xf>
    <xf numFmtId="178" fontId="14" fillId="0" borderId="0" xfId="0" applyNumberFormat="1" applyFont="1" applyAlignment="1">
      <alignment horizontal="right" vertical="center"/>
    </xf>
    <xf numFmtId="0" fontId="38" fillId="0" borderId="0" xfId="0" applyFont="1" applyAlignment="1">
      <alignment horizontal="left" vertical="center" indent="1"/>
    </xf>
    <xf numFmtId="166" fontId="39" fillId="4" borderId="0" xfId="0" applyNumberFormat="1" applyFont="1" applyFill="1" applyAlignment="1">
      <alignment horizontal="right" vertical="center"/>
    </xf>
    <xf numFmtId="166" fontId="38" fillId="0" borderId="4" xfId="0" applyNumberFormat="1" applyFont="1" applyBorder="1" applyAlignment="1">
      <alignment horizontal="right" vertical="center"/>
    </xf>
    <xf numFmtId="170" fontId="14" fillId="0" borderId="0" xfId="0" applyNumberFormat="1" applyFont="1" applyAlignment="1">
      <alignment horizontal="right" vertical="center"/>
    </xf>
    <xf numFmtId="0" fontId="14" fillId="0" borderId="0" xfId="0" applyFont="1" applyAlignment="1">
      <alignment horizontal="left" vertical="center"/>
    </xf>
    <xf numFmtId="166" fontId="39" fillId="0" borderId="0" xfId="0" applyNumberFormat="1" applyFont="1" applyAlignment="1">
      <alignment horizontal="right" vertical="center"/>
    </xf>
    <xf numFmtId="170" fontId="40" fillId="0" borderId="0" xfId="0" applyNumberFormat="1" applyFont="1" applyAlignment="1">
      <alignment horizontal="right" vertical="center"/>
    </xf>
    <xf numFmtId="0" fontId="38" fillId="0" borderId="0" xfId="0" applyFont="1" applyAlignment="1">
      <alignment horizontal="left" vertical="center"/>
    </xf>
    <xf numFmtId="166" fontId="45" fillId="0" borderId="0" xfId="0" applyNumberFormat="1" applyFont="1" applyAlignment="1">
      <alignment horizontal="right" vertical="center"/>
    </xf>
    <xf numFmtId="0" fontId="2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174" fontId="21" fillId="0" borderId="1" xfId="0" applyNumberFormat="1" applyFont="1" applyBorder="1" applyAlignment="1">
      <alignment horizontal="right" vertical="center"/>
    </xf>
    <xf numFmtId="178" fontId="15" fillId="0" borderId="0" xfId="0" applyNumberFormat="1" applyFont="1" applyAlignment="1">
      <alignment horizontal="right" vertical="center"/>
    </xf>
    <xf numFmtId="0" fontId="14" fillId="0" borderId="9" xfId="0" applyFont="1" applyBorder="1" applyAlignment="1">
      <alignment vertical="center"/>
    </xf>
    <xf numFmtId="179" fontId="21" fillId="0" borderId="1" xfId="0" applyNumberFormat="1" applyFont="1" applyBorder="1" applyAlignment="1">
      <alignment horizontal="right" vertical="center"/>
    </xf>
    <xf numFmtId="0" fontId="46" fillId="0" borderId="0" xfId="0" applyFont="1" applyAlignment="1">
      <alignment vertical="center"/>
    </xf>
    <xf numFmtId="0" fontId="47" fillId="0" borderId="0" xfId="0" applyFont="1" applyAlignment="1">
      <alignment horizontal="left" vertical="center" indent="1"/>
    </xf>
    <xf numFmtId="0" fontId="47" fillId="0" borderId="0" xfId="0" applyFont="1" applyAlignment="1">
      <alignment horizontal="left" vertical="center"/>
    </xf>
    <xf numFmtId="170" fontId="47" fillId="0" borderId="0" xfId="0" applyNumberFormat="1" applyFont="1" applyAlignment="1">
      <alignment horizontal="right" vertical="center"/>
    </xf>
    <xf numFmtId="0" fontId="48" fillId="0" borderId="0" xfId="0" applyFont="1" applyAlignment="1">
      <alignment vertical="center"/>
    </xf>
    <xf numFmtId="0" fontId="49" fillId="0" borderId="0" xfId="0" applyFont="1" applyAlignment="1">
      <alignment horizontal="left" vertical="center"/>
    </xf>
    <xf numFmtId="170" fontId="49" fillId="0" borderId="0" xfId="0" applyNumberFormat="1" applyFont="1" applyAlignment="1">
      <alignment horizontal="right" vertical="center"/>
    </xf>
    <xf numFmtId="180" fontId="49" fillId="0" borderId="0" xfId="0" applyNumberFormat="1" applyFont="1" applyAlignment="1">
      <alignment horizontal="right" vertical="center"/>
    </xf>
    <xf numFmtId="0" fontId="49" fillId="0" borderId="0" xfId="0" applyFont="1" applyAlignment="1">
      <alignment vertical="center"/>
    </xf>
    <xf numFmtId="0" fontId="38" fillId="0" borderId="5" xfId="0" applyFont="1" applyBorder="1" applyAlignment="1">
      <alignment vertical="center"/>
    </xf>
    <xf numFmtId="181" fontId="50" fillId="0" borderId="5" xfId="0" applyNumberFormat="1" applyFont="1" applyBorder="1" applyAlignment="1">
      <alignment vertical="center"/>
    </xf>
    <xf numFmtId="181" fontId="50" fillId="0" borderId="0" xfId="0" applyNumberFormat="1" applyFont="1" applyAlignment="1">
      <alignment vertical="center"/>
    </xf>
    <xf numFmtId="0" fontId="37" fillId="0" borderId="0" xfId="0" applyFont="1" applyAlignment="1">
      <alignment vertical="center"/>
    </xf>
    <xf numFmtId="0" fontId="51" fillId="0" borderId="0" xfId="0" applyFont="1"/>
    <xf numFmtId="0" fontId="52" fillId="0" borderId="0" xfId="0" applyFont="1"/>
    <xf numFmtId="0" fontId="46" fillId="0" borderId="0" xfId="0" applyFont="1"/>
    <xf numFmtId="41" fontId="14" fillId="0" borderId="0" xfId="0" applyNumberFormat="1" applyFont="1"/>
    <xf numFmtId="0" fontId="53" fillId="0" borderId="0" xfId="0" applyFont="1"/>
    <xf numFmtId="43" fontId="14" fillId="0" borderId="0" xfId="0" applyNumberFormat="1" applyFont="1"/>
  </cellXfs>
  <cellStyles count="3">
    <cellStyle name="Normal" xfId="0" builtinId="0"/>
    <cellStyle name="Normal 10 2" xfId="1" xr:uid="{72F8DEEC-2B71-4EE8-BD43-13F79DC7B708}"/>
    <cellStyle name="Normal 5 2" xfId="2" xr:uid="{0E6D6010-9EC5-49A6-AAD7-94F09F30B2AE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thenape.sharepoint.com/sites/AthenaDocuments/Shared%20Documents/_DOCS/_Teaching%20Content/Model%20Examples/Nine%20Step%20Model%20Valuation%20Build%20-%20VIDEO.xlsx" TargetMode="External"/><Relationship Id="rId1" Type="http://schemas.openxmlformats.org/officeDocument/2006/relationships/externalLinkPath" Target="/sites/AthenaDocuments/Shared%20Documents/_DOCS/_Teaching%20Content/Model%20Examples/Nine%20Step%20Model%20Valuation%20Build%20-%20VIDE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RT I - MODEL BUILD &gt;&gt;&gt;"/>
      <sheetName val="Financials from CIP"/>
      <sheetName val="Step 1"/>
      <sheetName val="Step 1 Answer Key"/>
      <sheetName val="Step 2"/>
      <sheetName val="Step 2 Answer Key"/>
      <sheetName val="Step 3"/>
      <sheetName val="Step 3 Answer Key"/>
      <sheetName val="Step 4"/>
      <sheetName val="Step 4 Answer Key"/>
      <sheetName val="Step 5"/>
      <sheetName val="Step 5 Answer Key"/>
      <sheetName val="Step 6"/>
      <sheetName val="Step 6 Answer Key"/>
      <sheetName val="Step 7"/>
      <sheetName val="Step 7 Answer Key"/>
      <sheetName val="Step 8"/>
      <sheetName val="Step 8 Answer Key"/>
      <sheetName val="Step 9"/>
      <sheetName val="Step 9 Answer Key"/>
      <sheetName val="PART II - VALUATION BUILD &gt;&gt;&gt;"/>
      <sheetName val="Step 1 - Replacement Valuation"/>
      <sheetName val="Step 1 - Replacement Answer Key"/>
      <sheetName val="Step 2 - Comps"/>
      <sheetName val="Step 2 - Comps Answer Key"/>
      <sheetName val="Step 3 - DCF"/>
      <sheetName val="Step 3 - DCF Answer Key"/>
      <sheetName val="Step 4 - LBO"/>
      <sheetName val="Step 4 - LBO Answer Key"/>
      <sheetName val="Step 5 - Football Field Answ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B19BC-DD9B-4D57-9654-3FDAD3E08DF1}">
  <sheetPr>
    <tabColor theme="1"/>
  </sheetPr>
  <dimension ref="A1"/>
  <sheetViews>
    <sheetView topLeftCell="XFD1" zoomScaleNormal="100" workbookViewId="0">
      <selection activeCell="C2" sqref="C2"/>
    </sheetView>
  </sheetViews>
  <sheetFormatPr defaultColWidth="0" defaultRowHeight="12.75"/>
  <cols>
    <col min="1" max="16384" width="9.140625" hidden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8DE9A-0426-44D7-B00D-61E95F7DD0BB}">
  <sheetPr>
    <tabColor rgb="FF005A9F"/>
    <pageSetUpPr fitToPage="1"/>
  </sheetPr>
  <dimension ref="B1:O94"/>
  <sheetViews>
    <sheetView showGridLines="0" view="pageBreakPreview" zoomScaleNormal="85" zoomScaleSheetLayoutView="100" workbookViewId="0">
      <pane xSplit="3" ySplit="10" topLeftCell="D11" activePane="bottomRight" state="frozen"/>
      <selection activeCell="C2" sqref="C2"/>
      <selection pane="topRight" activeCell="C2" sqref="C2"/>
      <selection pane="bottomLeft" activeCell="C2" sqref="C2"/>
      <selection pane="bottomRight" activeCell="B3" sqref="B3"/>
    </sheetView>
  </sheetViews>
  <sheetFormatPr defaultRowHeight="16.5" outlineLevelRow="1"/>
  <cols>
    <col min="1" max="1" width="9.140625" style="2"/>
    <col min="2" max="2" width="47" style="2" customWidth="1"/>
    <col min="3" max="3" width="3" style="2" customWidth="1"/>
    <col min="4" max="4" width="14.5703125" style="2" bestFit="1" customWidth="1"/>
    <col min="5" max="5" width="12.85546875" style="2" bestFit="1" customWidth="1"/>
    <col min="6" max="6" width="3" style="2" customWidth="1"/>
    <col min="7" max="7" width="2.85546875" style="2" customWidth="1"/>
    <col min="8" max="8" width="9.140625" style="2"/>
    <col min="9" max="9" width="12.5703125" style="2" bestFit="1" customWidth="1"/>
    <col min="10" max="10" width="18.5703125" style="2" bestFit="1" customWidth="1"/>
    <col min="11" max="11" width="12.5703125" style="2" bestFit="1" customWidth="1"/>
    <col min="12" max="12" width="9.140625" style="2"/>
    <col min="13" max="13" width="12.5703125" style="2" bestFit="1" customWidth="1"/>
    <col min="14" max="16384" width="9.140625" style="2"/>
  </cols>
  <sheetData>
    <row r="1" spans="2:11">
      <c r="B1" s="1"/>
    </row>
    <row r="3" spans="2:11">
      <c r="B3" s="3" t="s">
        <v>0</v>
      </c>
      <c r="C3" s="3"/>
      <c r="D3" s="3"/>
      <c r="E3" s="3"/>
      <c r="F3" s="3"/>
    </row>
    <row r="4" spans="2:11">
      <c r="B4" s="3" t="s">
        <v>1</v>
      </c>
      <c r="C4" s="3"/>
      <c r="D4" s="3"/>
      <c r="E4" s="3"/>
      <c r="F4" s="3"/>
    </row>
    <row r="5" spans="2:11">
      <c r="B5" s="4" t="s">
        <v>2</v>
      </c>
      <c r="C5" s="4"/>
      <c r="D5" s="4"/>
      <c r="E5" s="4"/>
      <c r="F5" s="4"/>
    </row>
    <row r="7" spans="2:11">
      <c r="B7" s="5" t="s">
        <v>3</v>
      </c>
      <c r="C7" s="6"/>
      <c r="D7" s="6"/>
      <c r="E7" s="6"/>
      <c r="F7" s="6"/>
      <c r="H7" s="7"/>
      <c r="I7" s="7"/>
      <c r="J7" s="7"/>
      <c r="K7" s="7"/>
    </row>
    <row r="8" spans="2:11">
      <c r="H8" s="7"/>
      <c r="I8" s="7"/>
      <c r="J8" s="7"/>
      <c r="K8" s="7"/>
    </row>
    <row r="9" spans="2:11">
      <c r="D9" s="8" t="s">
        <v>4</v>
      </c>
      <c r="E9" s="8" t="s">
        <v>4</v>
      </c>
    </row>
    <row r="10" spans="2:11">
      <c r="D10" s="8">
        <v>2023</v>
      </c>
      <c r="E10" s="8">
        <v>2024</v>
      </c>
      <c r="F10" s="9"/>
    </row>
    <row r="11" spans="2:11">
      <c r="B11" s="10" t="s">
        <v>5</v>
      </c>
      <c r="D11" s="11">
        <v>67988.161999999997</v>
      </c>
      <c r="E11" s="11">
        <v>74320.331999999995</v>
      </c>
      <c r="I11" s="12"/>
      <c r="J11" s="12"/>
      <c r="K11" s="12"/>
    </row>
    <row r="12" spans="2:11">
      <c r="B12" s="10" t="s">
        <v>6</v>
      </c>
      <c r="D12" s="11">
        <v>10577.513999999999</v>
      </c>
      <c r="E12" s="11">
        <v>16293.675999999999</v>
      </c>
      <c r="I12" s="12"/>
      <c r="J12" s="12"/>
      <c r="K12" s="12"/>
    </row>
    <row r="13" spans="2:11">
      <c r="B13" s="13" t="s">
        <v>7</v>
      </c>
      <c r="C13" s="14"/>
      <c r="D13" s="15">
        <f>+SUM(D11:D12)</f>
        <v>78565.675999999992</v>
      </c>
      <c r="E13" s="15">
        <f>+SUM(E11:E12)</f>
        <v>90614.008000000002</v>
      </c>
    </row>
    <row r="15" spans="2:11">
      <c r="B15" s="10" t="s">
        <v>8</v>
      </c>
      <c r="D15" s="11">
        <v>41584.93</v>
      </c>
      <c r="E15" s="11">
        <v>49665.089</v>
      </c>
      <c r="I15" s="12"/>
      <c r="J15" s="12"/>
      <c r="K15" s="12"/>
    </row>
    <row r="16" spans="2:11">
      <c r="B16" s="10" t="s">
        <v>9</v>
      </c>
      <c r="D16" s="11">
        <v>8321.4680000000008</v>
      </c>
      <c r="E16" s="11">
        <v>9548.8639999999996</v>
      </c>
      <c r="I16" s="12"/>
      <c r="J16" s="12"/>
      <c r="K16" s="12"/>
    </row>
    <row r="17" spans="2:15">
      <c r="B17" s="10" t="s">
        <v>10</v>
      </c>
      <c r="D17" s="11">
        <v>1655.7909999999999</v>
      </c>
      <c r="E17" s="11">
        <v>2404.723</v>
      </c>
      <c r="I17" s="12"/>
      <c r="J17" s="12"/>
      <c r="K17" s="12"/>
    </row>
    <row r="18" spans="2:15" ht="5.0999999999999996" customHeight="1">
      <c r="B18" s="10"/>
      <c r="D18" s="11"/>
      <c r="E18" s="11"/>
    </row>
    <row r="19" spans="2:15">
      <c r="B19" s="13" t="s">
        <v>11</v>
      </c>
      <c r="C19" s="14"/>
      <c r="D19" s="15">
        <f>+D13-SUM(D15:D18)</f>
        <v>27003.486999999994</v>
      </c>
      <c r="E19" s="15">
        <f t="shared" ref="E19" si="0">+E13-SUM(E15:E18)</f>
        <v>28995.332000000002</v>
      </c>
    </row>
    <row r="20" spans="2:15" ht="5.0999999999999996" customHeight="1">
      <c r="B20" s="16"/>
      <c r="D20" s="17"/>
      <c r="E20" s="17"/>
    </row>
    <row r="21" spans="2:15" s="19" customFormat="1" ht="15">
      <c r="B21" s="18" t="s">
        <v>12</v>
      </c>
      <c r="D21" s="20">
        <f>+D19/D$13</f>
        <v>0.34370590790818112</v>
      </c>
      <c r="E21" s="20">
        <f>+E19/E$13</f>
        <v>0.31998730262543956</v>
      </c>
    </row>
    <row r="22" spans="2:15" ht="5.0999999999999996" customHeight="1"/>
    <row r="23" spans="2:15">
      <c r="B23" s="10" t="s">
        <v>13</v>
      </c>
      <c r="D23" s="11">
        <v>10567.612999999999</v>
      </c>
      <c r="E23" s="11">
        <v>11023.057000000001</v>
      </c>
      <c r="I23" s="12"/>
      <c r="J23" s="12"/>
      <c r="K23" s="12"/>
      <c r="M23" s="12"/>
      <c r="N23" s="12"/>
      <c r="O23" s="12"/>
    </row>
    <row r="24" spans="2:15">
      <c r="B24" s="10" t="s">
        <v>14</v>
      </c>
      <c r="D24" s="11">
        <v>3246.1469999999999</v>
      </c>
      <c r="E24" s="11">
        <v>4150.1989395000001</v>
      </c>
      <c r="I24" s="12"/>
      <c r="J24" s="12"/>
      <c r="K24" s="12"/>
    </row>
    <row r="25" spans="2:15">
      <c r="B25" s="10" t="s">
        <v>15</v>
      </c>
      <c r="D25" s="11">
        <v>1180.1621</v>
      </c>
      <c r="E25" s="11">
        <v>1161.7642799999999</v>
      </c>
      <c r="I25" s="12"/>
      <c r="J25" s="12"/>
      <c r="K25" s="12"/>
    </row>
    <row r="26" spans="2:15">
      <c r="B26" s="10" t="s">
        <v>16</v>
      </c>
      <c r="D26" s="11">
        <v>208.26400000000001</v>
      </c>
      <c r="E26" s="11">
        <v>237.952</v>
      </c>
      <c r="I26" s="12"/>
      <c r="J26" s="12"/>
      <c r="K26" s="12"/>
    </row>
    <row r="27" spans="2:15">
      <c r="B27" s="10" t="s">
        <v>17</v>
      </c>
      <c r="D27" s="11">
        <v>2224.9549999999999</v>
      </c>
      <c r="E27" s="11">
        <v>1472.7629999999999</v>
      </c>
      <c r="I27" s="12"/>
      <c r="J27" s="12"/>
      <c r="K27" s="12"/>
    </row>
    <row r="28" spans="2:15">
      <c r="B28" s="10" t="s">
        <v>18</v>
      </c>
      <c r="D28" s="11">
        <v>366.15499999999997</v>
      </c>
      <c r="E28" s="11">
        <v>263.43299999999999</v>
      </c>
      <c r="I28" s="12"/>
      <c r="J28" s="12"/>
      <c r="K28" s="12"/>
      <c r="M28" s="12"/>
      <c r="N28" s="12"/>
      <c r="O28" s="12"/>
    </row>
    <row r="29" spans="2:15">
      <c r="B29" s="10" t="s">
        <v>19</v>
      </c>
      <c r="D29" s="11">
        <v>3201.0390000000002</v>
      </c>
      <c r="E29" s="11">
        <v>2809.107</v>
      </c>
      <c r="I29" s="12"/>
      <c r="J29" s="12"/>
      <c r="K29" s="12"/>
    </row>
    <row r="30" spans="2:15">
      <c r="B30" s="13" t="s">
        <v>20</v>
      </c>
      <c r="C30" s="14"/>
      <c r="D30" s="15">
        <f>+SUM(D23:D29)</f>
        <v>20994.335099999997</v>
      </c>
      <c r="E30" s="15">
        <f>+SUM(E23:E29)</f>
        <v>21118.275219499999</v>
      </c>
    </row>
    <row r="32" spans="2:15">
      <c r="B32" s="10" t="s">
        <v>21</v>
      </c>
      <c r="D32" s="11">
        <v>147.37100000000001</v>
      </c>
      <c r="E32" s="11">
        <v>273.43900000000002</v>
      </c>
      <c r="I32" s="12"/>
      <c r="J32" s="12"/>
      <c r="K32" s="12"/>
    </row>
    <row r="33" spans="2:11" ht="5.0999999999999996" customHeight="1"/>
    <row r="34" spans="2:11">
      <c r="B34" s="13" t="s">
        <v>22</v>
      </c>
      <c r="C34" s="14"/>
      <c r="D34" s="15">
        <f>+D19-D30-D32</f>
        <v>5861.780899999997</v>
      </c>
      <c r="E34" s="15">
        <f>+E19-E30-E32</f>
        <v>7603.6177805000025</v>
      </c>
      <c r="I34" s="21"/>
      <c r="J34" s="21"/>
      <c r="K34" s="21"/>
    </row>
    <row r="36" spans="2:11">
      <c r="B36" s="22" t="s">
        <v>23</v>
      </c>
      <c r="D36" s="17">
        <f>+D34+D25+D27+D29+D26+D32</f>
        <v>12823.571999999996</v>
      </c>
      <c r="E36" s="17">
        <f t="shared" ref="E36" si="1">+E34+E25+E27+E29+E26+E32</f>
        <v>13558.643060500002</v>
      </c>
      <c r="I36" s="21"/>
      <c r="J36" s="21"/>
      <c r="K36" s="21"/>
    </row>
    <row r="37" spans="2:11" ht="5.0999999999999996" customHeight="1">
      <c r="B37" s="22"/>
      <c r="D37" s="17"/>
      <c r="E37" s="17"/>
    </row>
    <row r="38" spans="2:11" ht="5.0999999999999996" customHeight="1">
      <c r="B38" s="16"/>
      <c r="D38" s="17"/>
      <c r="E38" s="17"/>
    </row>
    <row r="39" spans="2:11" s="19" customFormat="1" ht="15">
      <c r="B39" s="18" t="s">
        <v>24</v>
      </c>
      <c r="D39" s="20">
        <f>D34/D$13</f>
        <v>7.4609946715153294E-2</v>
      </c>
      <c r="E39" s="20">
        <f t="shared" ref="E39" si="2">E34/E$13</f>
        <v>8.3912167095621715E-2</v>
      </c>
    </row>
    <row r="40" spans="2:11" s="19" customFormat="1" ht="15">
      <c r="B40" s="18" t="s">
        <v>25</v>
      </c>
      <c r="D40" s="20">
        <f>D36/D$13</f>
        <v>0.16322104833668075</v>
      </c>
      <c r="E40" s="20">
        <f t="shared" ref="E40" si="3">E36/E$13</f>
        <v>0.14963076195128686</v>
      </c>
    </row>
    <row r="42" spans="2:11">
      <c r="B42" s="5" t="s">
        <v>26</v>
      </c>
      <c r="C42" s="6"/>
      <c r="D42" s="6"/>
      <c r="E42" s="6"/>
      <c r="F42" s="6"/>
    </row>
    <row r="44" spans="2:11">
      <c r="D44" s="8" t="s">
        <v>27</v>
      </c>
      <c r="E44" s="8" t="s">
        <v>27</v>
      </c>
    </row>
    <row r="45" spans="2:11">
      <c r="D45" s="23">
        <f>+D10</f>
        <v>2023</v>
      </c>
      <c r="E45" s="23">
        <f>+D45+1</f>
        <v>2024</v>
      </c>
    </row>
    <row r="46" spans="2:11">
      <c r="B46" s="10" t="s">
        <v>28</v>
      </c>
      <c r="D46" s="11">
        <v>7105.652</v>
      </c>
      <c r="E46" s="11">
        <v>2957.9920000000002</v>
      </c>
      <c r="I46" s="11"/>
    </row>
    <row r="47" spans="2:11">
      <c r="B47" s="10" t="s">
        <v>29</v>
      </c>
      <c r="D47" s="11">
        <v>17300.432000000001</v>
      </c>
      <c r="E47" s="11">
        <v>22973.94</v>
      </c>
      <c r="I47" s="12"/>
      <c r="J47" s="12"/>
      <c r="K47" s="12"/>
    </row>
    <row r="48" spans="2:11">
      <c r="B48" s="24" t="s">
        <v>30</v>
      </c>
      <c r="D48" s="11">
        <v>-519.01300000000003</v>
      </c>
      <c r="E48" s="11">
        <v>-689.21799999999996</v>
      </c>
      <c r="I48" s="12"/>
      <c r="J48" s="12"/>
      <c r="K48" s="12"/>
    </row>
    <row r="49" spans="2:11">
      <c r="B49" s="10" t="s">
        <v>31</v>
      </c>
      <c r="D49" s="11">
        <v>804.90099999999995</v>
      </c>
      <c r="E49" s="11">
        <v>1161.057</v>
      </c>
      <c r="I49" s="12"/>
      <c r="J49" s="12"/>
      <c r="K49" s="12"/>
    </row>
    <row r="50" spans="2:11">
      <c r="B50" s="10" t="s">
        <v>32</v>
      </c>
      <c r="D50" s="11">
        <v>269.78399999999999</v>
      </c>
      <c r="E50" s="11">
        <v>344.91899999999998</v>
      </c>
      <c r="I50" s="12"/>
      <c r="J50" s="12"/>
      <c r="K50" s="12"/>
    </row>
    <row r="51" spans="2:11">
      <c r="B51" s="13" t="s">
        <v>33</v>
      </c>
      <c r="C51" s="14"/>
      <c r="D51" s="15">
        <f>+SUM(D46:D50)</f>
        <v>24961.756000000005</v>
      </c>
      <c r="E51" s="15">
        <f>+SUM(E46:E50)</f>
        <v>26748.690000000002</v>
      </c>
    </row>
    <row r="52" spans="2:11">
      <c r="B52" s="25"/>
    </row>
    <row r="53" spans="2:11">
      <c r="B53" s="10" t="s">
        <v>34</v>
      </c>
      <c r="D53" s="11">
        <v>54584.7</v>
      </c>
      <c r="E53" s="11">
        <v>55684.983999999997</v>
      </c>
      <c r="I53" s="12"/>
      <c r="J53" s="12"/>
      <c r="K53" s="12"/>
    </row>
    <row r="54" spans="2:11">
      <c r="B54" s="10" t="s">
        <v>35</v>
      </c>
      <c r="D54" s="11">
        <v>4378.482</v>
      </c>
      <c r="E54" s="11">
        <v>4504.37</v>
      </c>
      <c r="I54" s="12"/>
      <c r="J54" s="12"/>
      <c r="K54" s="12"/>
    </row>
    <row r="55" spans="2:11" ht="5.0999999999999996" customHeight="1">
      <c r="B55" s="25"/>
    </row>
    <row r="56" spans="2:11">
      <c r="B56" s="13" t="s">
        <v>36</v>
      </c>
      <c r="C56" s="14"/>
      <c r="D56" s="15">
        <f t="shared" ref="D56:E56" si="4">+SUM(D51:D55)</f>
        <v>83924.938000000009</v>
      </c>
      <c r="E56" s="15">
        <f t="shared" si="4"/>
        <v>86938.043999999994</v>
      </c>
    </row>
    <row r="57" spans="2:11">
      <c r="B57" s="25"/>
    </row>
    <row r="58" spans="2:11">
      <c r="B58" s="10" t="s">
        <v>37</v>
      </c>
      <c r="D58" s="11">
        <v>2805.817</v>
      </c>
      <c r="E58" s="11">
        <v>2360.71</v>
      </c>
      <c r="I58" s="12"/>
      <c r="J58" s="12"/>
      <c r="K58" s="12"/>
    </row>
    <row r="59" spans="2:11">
      <c r="B59" s="10" t="s">
        <v>38</v>
      </c>
      <c r="D59" s="11">
        <v>2383.933</v>
      </c>
      <c r="E59" s="11">
        <v>2788.038</v>
      </c>
      <c r="I59" s="12"/>
      <c r="J59" s="12"/>
      <c r="K59" s="12"/>
    </row>
    <row r="60" spans="2:11">
      <c r="B60" s="10" t="s">
        <v>39</v>
      </c>
      <c r="D60" s="11">
        <v>2057.9079999999999</v>
      </c>
      <c r="E60" s="11">
        <v>3202.0309999999999</v>
      </c>
      <c r="I60" s="12"/>
      <c r="J60" s="12"/>
      <c r="K60" s="12"/>
    </row>
    <row r="61" spans="2:11">
      <c r="B61" s="13" t="s">
        <v>40</v>
      </c>
      <c r="C61" s="14"/>
      <c r="D61" s="15">
        <f t="shared" ref="D61:E61" si="5">+SUM(D58:D60)</f>
        <v>7247.6579999999994</v>
      </c>
      <c r="E61" s="15">
        <f t="shared" si="5"/>
        <v>8350.7789999999986</v>
      </c>
    </row>
    <row r="62" spans="2:11">
      <c r="B62" s="25"/>
    </row>
    <row r="63" spans="2:11">
      <c r="B63" s="25" t="s">
        <v>41</v>
      </c>
      <c r="D63" s="11">
        <v>645.88300000000004</v>
      </c>
      <c r="E63" s="11">
        <v>1289.3</v>
      </c>
    </row>
    <row r="64" spans="2:11">
      <c r="B64" s="25" t="s">
        <v>42</v>
      </c>
      <c r="D64" s="11">
        <v>18943.222000000002</v>
      </c>
      <c r="E64" s="11">
        <v>12001.450999999999</v>
      </c>
    </row>
    <row r="65" spans="2:5">
      <c r="B65" s="25" t="s">
        <v>43</v>
      </c>
      <c r="D65" s="11">
        <v>545.33299999999997</v>
      </c>
      <c r="E65" s="11">
        <v>85.337999999999994</v>
      </c>
    </row>
    <row r="66" spans="2:5">
      <c r="B66" s="25" t="s">
        <v>44</v>
      </c>
      <c r="D66" s="11">
        <v>92.447999999999993</v>
      </c>
      <c r="E66" s="11">
        <v>12.667</v>
      </c>
    </row>
    <row r="67" spans="2:5">
      <c r="B67" s="25" t="s">
        <v>45</v>
      </c>
      <c r="D67" s="11">
        <v>417.87400000000002</v>
      </c>
      <c r="E67" s="11">
        <v>429.88799999999998</v>
      </c>
    </row>
    <row r="68" spans="2:5" ht="5.0999999999999996" customHeight="1">
      <c r="B68" s="25"/>
    </row>
    <row r="69" spans="2:5">
      <c r="B69" s="13" t="s">
        <v>46</v>
      </c>
      <c r="C69" s="14"/>
      <c r="D69" s="15">
        <f>+SUM(D61:D68)</f>
        <v>27892.417999999998</v>
      </c>
      <c r="E69" s="15">
        <f>+SUM(E61:E68)</f>
        <v>22169.422999999999</v>
      </c>
    </row>
    <row r="70" spans="2:5">
      <c r="B70" s="25"/>
    </row>
    <row r="71" spans="2:5">
      <c r="B71" s="10" t="s">
        <v>47</v>
      </c>
      <c r="D71" s="11">
        <v>7783.6338279007268</v>
      </c>
      <c r="E71" s="11">
        <v>8916.115715308184</v>
      </c>
    </row>
    <row r="72" spans="2:5">
      <c r="B72" s="10" t="s">
        <v>48</v>
      </c>
      <c r="D72" s="11">
        <v>48248.887000000002</v>
      </c>
      <c r="E72" s="11">
        <v>55852.504780500007</v>
      </c>
    </row>
    <row r="73" spans="2:5">
      <c r="B73" s="13" t="s">
        <v>49</v>
      </c>
      <c r="C73" s="14"/>
      <c r="D73" s="15">
        <f>+SUM(D71:D72)</f>
        <v>56032.520827900727</v>
      </c>
      <c r="E73" s="15">
        <f>+SUM(E71:E72)</f>
        <v>64768.620495808194</v>
      </c>
    </row>
    <row r="74" spans="2:5">
      <c r="B74" s="16"/>
      <c r="D74" s="11"/>
      <c r="E74" s="11"/>
    </row>
    <row r="75" spans="2:5" ht="5.0999999999999996" customHeight="1">
      <c r="B75" s="25"/>
    </row>
    <row r="76" spans="2:5">
      <c r="B76" s="13" t="s">
        <v>50</v>
      </c>
      <c r="C76" s="14"/>
      <c r="D76" s="15">
        <f>+D73+D69</f>
        <v>83924.938827900725</v>
      </c>
      <c r="E76" s="15">
        <f>+E73+E69</f>
        <v>86938.04349580819</v>
      </c>
    </row>
    <row r="77" spans="2:5">
      <c r="B77" s="16"/>
      <c r="D77" s="17"/>
      <c r="E77" s="17"/>
    </row>
    <row r="78" spans="2:5">
      <c r="B78" s="26" t="s">
        <v>51</v>
      </c>
      <c r="C78" s="26"/>
      <c r="D78" s="27">
        <f>D51-D61</f>
        <v>17714.098000000005</v>
      </c>
      <c r="E78" s="27">
        <f>E51-E61</f>
        <v>18397.911000000004</v>
      </c>
    </row>
    <row r="79" spans="2:5">
      <c r="B79" s="26" t="s">
        <v>52</v>
      </c>
      <c r="D79" s="27">
        <f>(D51-D46)-D61</f>
        <v>10608.446000000007</v>
      </c>
      <c r="E79" s="27">
        <f>(E51-E46)-E61</f>
        <v>15439.919000000005</v>
      </c>
    </row>
    <row r="80" spans="2:5">
      <c r="B80" s="25"/>
    </row>
    <row r="81" spans="2:5" hidden="1" outlineLevel="1">
      <c r="B81" s="28" t="s">
        <v>53</v>
      </c>
      <c r="C81" s="26"/>
      <c r="D81" s="27">
        <f>+D76-D56</f>
        <v>8.2790071610361338E-4</v>
      </c>
      <c r="E81" s="27">
        <f>+E76-E56</f>
        <v>-5.0419180479366332E-4</v>
      </c>
    </row>
    <row r="82" spans="2:5" hidden="1" outlineLevel="1">
      <c r="B82" s="25"/>
      <c r="E82" s="11"/>
    </row>
    <row r="83" spans="2:5" collapsed="1"/>
    <row r="85" spans="2:5">
      <c r="E85" s="11"/>
    </row>
    <row r="86" spans="2:5">
      <c r="D86" s="12"/>
      <c r="E86" s="12"/>
    </row>
    <row r="87" spans="2:5">
      <c r="E87" s="11"/>
    </row>
    <row r="88" spans="2:5">
      <c r="E88" s="11"/>
    </row>
    <row r="89" spans="2:5">
      <c r="E89" s="11"/>
    </row>
    <row r="90" spans="2:5">
      <c r="E90" s="12"/>
    </row>
    <row r="91" spans="2:5">
      <c r="E91" s="11"/>
    </row>
    <row r="92" spans="2:5">
      <c r="E92" s="11"/>
    </row>
    <row r="93" spans="2:5">
      <c r="E93" s="11"/>
    </row>
    <row r="94" spans="2:5">
      <c r="E94" s="11"/>
    </row>
  </sheetData>
  <conditionalFormatting sqref="B1">
    <cfRule type="cellIs" dxfId="2" priority="1" operator="equal">
      <formula>0</formula>
    </cfRule>
    <cfRule type="cellIs" dxfId="1" priority="2" operator="lessThan">
      <formula>0</formula>
    </cfRule>
    <cfRule type="cellIs" dxfId="0" priority="3" operator="greaterThan">
      <formula>0</formula>
    </cfRule>
  </conditionalFormatting>
  <pageMargins left="0.7" right="0.7" top="0.75" bottom="0.75" header="0.3" footer="0.3"/>
  <pageSetup scale="59" orientation="portrait" r:id="rId1"/>
  <ignoredErrors>
    <ignoredError sqref="D13:E1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60E2E-DF97-40B3-BA9A-098A9D128BEC}">
  <sheetPr>
    <outlinePr summaryBelow="0"/>
    <pageSetUpPr fitToPage="1"/>
  </sheetPr>
  <dimension ref="A1:S115"/>
  <sheetViews>
    <sheetView showGridLines="0" tabSelected="1" zoomScale="115" zoomScaleNormal="115" zoomScaleSheetLayoutView="85" workbookViewId="0">
      <selection activeCell="C2" sqref="C2"/>
    </sheetView>
  </sheetViews>
  <sheetFormatPr defaultColWidth="9.140625" defaultRowHeight="13.5" customHeight="1" outlineLevelRow="1"/>
  <cols>
    <col min="1" max="1" width="0.85546875" style="29" customWidth="1"/>
    <col min="2" max="2" width="2.7109375" style="29" customWidth="1"/>
    <col min="3" max="4" width="11.7109375" style="29" customWidth="1"/>
    <col min="5" max="5" width="14.85546875" style="29" customWidth="1"/>
    <col min="6" max="7" width="11.7109375" style="29" customWidth="1"/>
    <col min="8" max="12" width="13" style="29" customWidth="1"/>
    <col min="13" max="16384" width="9.140625" style="29"/>
  </cols>
  <sheetData>
    <row r="1" spans="2:13" ht="13.5" customHeight="1">
      <c r="C1" s="30"/>
      <c r="E1" s="31"/>
      <c r="F1" s="31"/>
      <c r="G1" s="31"/>
    </row>
    <row r="2" spans="2:13" ht="21" outlineLevel="1">
      <c r="B2" s="32"/>
      <c r="C2" s="33" t="s">
        <v>54</v>
      </c>
      <c r="D2" s="34"/>
      <c r="E2" s="35"/>
      <c r="F2" s="35"/>
      <c r="G2" s="36"/>
      <c r="H2" s="36"/>
      <c r="I2" s="36"/>
      <c r="J2" s="36"/>
      <c r="K2" s="36"/>
      <c r="L2" s="36"/>
    </row>
    <row r="3" spans="2:13" ht="13.5" customHeight="1" outlineLevel="1">
      <c r="C3" s="37" t="s">
        <v>55</v>
      </c>
      <c r="D3" s="34"/>
      <c r="E3" s="38"/>
      <c r="F3" s="38"/>
      <c r="G3" s="38"/>
      <c r="H3" s="34"/>
      <c r="I3" s="34"/>
      <c r="J3" s="34"/>
      <c r="K3" s="34"/>
      <c r="L3" s="34"/>
    </row>
    <row r="4" spans="2:13" ht="13.5" customHeight="1" outlineLevel="1">
      <c r="C4" s="37"/>
      <c r="D4" s="34"/>
      <c r="E4" s="38"/>
      <c r="F4" s="38"/>
      <c r="G4" s="38"/>
      <c r="H4" s="34"/>
      <c r="I4" s="34"/>
      <c r="J4" s="34"/>
      <c r="K4" s="34"/>
      <c r="L4" s="34"/>
    </row>
    <row r="5" spans="2:13" ht="13.5" customHeight="1" outlineLevel="1">
      <c r="C5" s="30"/>
      <c r="E5" s="31"/>
      <c r="F5" s="31"/>
      <c r="G5" s="31"/>
      <c r="I5" s="39"/>
      <c r="J5" s="39" t="s">
        <v>56</v>
      </c>
    </row>
    <row r="6" spans="2:13" ht="13.5" customHeight="1" outlineLevel="1">
      <c r="C6" s="40" t="s">
        <v>57</v>
      </c>
      <c r="D6" s="41"/>
      <c r="E6" s="42"/>
      <c r="F6" s="43" t="s">
        <v>58</v>
      </c>
      <c r="G6" s="43"/>
      <c r="I6" s="44"/>
      <c r="J6" s="44" t="s">
        <v>59</v>
      </c>
    </row>
    <row r="7" spans="2:13" ht="13.5" customHeight="1" outlineLevel="1" thickBot="1">
      <c r="C7" s="30"/>
      <c r="E7" s="31"/>
      <c r="F7" s="31"/>
      <c r="G7" s="31"/>
      <c r="I7" s="45"/>
      <c r="J7" s="45" t="s">
        <v>60</v>
      </c>
    </row>
    <row r="8" spans="2:13" ht="21.75" thickTop="1">
      <c r="B8" s="46" t="s">
        <v>61</v>
      </c>
      <c r="C8" s="47" t="s">
        <v>3</v>
      </c>
      <c r="D8" s="48"/>
      <c r="E8" s="49"/>
      <c r="F8" s="49"/>
      <c r="G8" s="49"/>
      <c r="H8" s="49"/>
      <c r="I8" s="49"/>
      <c r="J8" s="49"/>
      <c r="K8" s="49"/>
      <c r="L8" s="49"/>
      <c r="M8" s="50" t="s">
        <v>62</v>
      </c>
    </row>
    <row r="9" spans="2:13" ht="5.0999999999999996" customHeight="1" outlineLevel="1">
      <c r="C9" s="51"/>
      <c r="D9" s="52"/>
    </row>
    <row r="10" spans="2:13" ht="13.5" customHeight="1" outlineLevel="1">
      <c r="C10" s="53"/>
      <c r="D10" s="53"/>
      <c r="E10" s="53"/>
      <c r="F10" s="54" t="s">
        <v>63</v>
      </c>
      <c r="G10" s="54" t="s">
        <v>63</v>
      </c>
      <c r="H10" s="55" t="s">
        <v>64</v>
      </c>
      <c r="I10" s="55"/>
      <c r="J10" s="55"/>
      <c r="K10" s="55"/>
      <c r="L10" s="55"/>
    </row>
    <row r="11" spans="2:13" ht="13.5" customHeight="1" outlineLevel="1" thickBot="1">
      <c r="C11" s="56" t="s">
        <v>65</v>
      </c>
      <c r="D11" s="57"/>
      <c r="E11" s="57"/>
      <c r="F11" s="58">
        <f>EOMONTH(G11,-12)</f>
        <v>45291</v>
      </c>
      <c r="G11" s="58">
        <v>45657</v>
      </c>
      <c r="H11" s="58">
        <f t="shared" ref="H11:L11" si="0">EOMONTH(G11,12)</f>
        <v>46022</v>
      </c>
      <c r="I11" s="58">
        <f t="shared" si="0"/>
        <v>46387</v>
      </c>
      <c r="J11" s="58">
        <f t="shared" si="0"/>
        <v>46752</v>
      </c>
      <c r="K11" s="58">
        <f t="shared" si="0"/>
        <v>47118</v>
      </c>
      <c r="L11" s="58">
        <f t="shared" si="0"/>
        <v>47483</v>
      </c>
    </row>
    <row r="12" spans="2:13" ht="5.0999999999999996" customHeight="1" outlineLevel="1">
      <c r="C12" s="59"/>
      <c r="D12" s="59"/>
      <c r="E12" s="59"/>
      <c r="F12" s="60"/>
      <c r="G12" s="60"/>
      <c r="H12" s="60"/>
      <c r="I12" s="60"/>
      <c r="J12" s="60"/>
      <c r="K12" s="60"/>
    </row>
    <row r="13" spans="2:13" ht="13.5" customHeight="1" outlineLevel="1">
      <c r="C13" s="61" t="s">
        <v>7</v>
      </c>
      <c r="D13" s="61"/>
      <c r="E13" s="61"/>
      <c r="F13" s="62"/>
      <c r="G13" s="62"/>
      <c r="H13" s="60"/>
      <c r="I13" s="60"/>
      <c r="J13" s="60"/>
      <c r="K13" s="60"/>
      <c r="L13" s="60"/>
      <c r="M13" s="60"/>
    </row>
    <row r="14" spans="2:13" ht="13.5" customHeight="1" outlineLevel="1">
      <c r="C14" s="63" t="s">
        <v>66</v>
      </c>
      <c r="D14" s="63"/>
      <c r="E14" s="63"/>
      <c r="F14" s="64"/>
      <c r="G14" s="64"/>
      <c r="H14" s="60"/>
      <c r="I14" s="60"/>
      <c r="J14" s="60"/>
      <c r="K14" s="60"/>
      <c r="L14" s="60"/>
      <c r="M14" s="60"/>
    </row>
    <row r="15" spans="2:13" ht="13.5" customHeight="1" outlineLevel="1">
      <c r="C15" s="65" t="s">
        <v>67</v>
      </c>
      <c r="D15" s="65"/>
      <c r="E15" s="65"/>
      <c r="F15" s="66">
        <f t="shared" ref="F15:G15" si="1">F13-F14</f>
        <v>0</v>
      </c>
      <c r="G15" s="66">
        <f t="shared" si="1"/>
        <v>0</v>
      </c>
      <c r="H15" s="60"/>
      <c r="I15" s="60"/>
      <c r="J15" s="60"/>
      <c r="K15" s="60"/>
      <c r="L15" s="60"/>
      <c r="M15" s="60"/>
    </row>
    <row r="16" spans="2:13" ht="13.5" customHeight="1" outlineLevel="1">
      <c r="C16" s="67" t="s">
        <v>68</v>
      </c>
      <c r="D16" s="68"/>
      <c r="E16" s="68"/>
      <c r="F16" s="69" t="str">
        <f>IFERROR(F15/F$13,"N/M")</f>
        <v>N/M</v>
      </c>
      <c r="G16" s="69" t="str">
        <f>IFERROR(G15/G$13,"N/M")</f>
        <v>N/M</v>
      </c>
      <c r="H16" s="60"/>
      <c r="I16" s="60"/>
      <c r="J16" s="60"/>
      <c r="K16" s="60"/>
      <c r="L16" s="60"/>
      <c r="M16" s="60"/>
    </row>
    <row r="17" spans="3:13" ht="13.5" customHeight="1" outlineLevel="1">
      <c r="C17" s="63" t="s">
        <v>69</v>
      </c>
      <c r="D17" s="63"/>
      <c r="E17" s="63"/>
      <c r="F17" s="64"/>
      <c r="G17" s="64"/>
      <c r="H17" s="60"/>
      <c r="I17" s="60"/>
      <c r="J17" s="60"/>
      <c r="K17" s="60"/>
      <c r="L17" s="60"/>
      <c r="M17" s="60"/>
    </row>
    <row r="18" spans="3:13" ht="13.5" customHeight="1" outlineLevel="1">
      <c r="C18" s="70" t="s">
        <v>70</v>
      </c>
      <c r="D18" s="70"/>
      <c r="E18" s="70"/>
      <c r="F18" s="71">
        <f t="shared" ref="F18:G18" si="2">F15-F17</f>
        <v>0</v>
      </c>
      <c r="G18" s="71">
        <f t="shared" si="2"/>
        <v>0</v>
      </c>
      <c r="H18" s="60"/>
      <c r="I18" s="60"/>
      <c r="J18" s="60"/>
      <c r="K18" s="60"/>
      <c r="L18" s="60"/>
      <c r="M18" s="60"/>
    </row>
    <row r="19" spans="3:13" ht="13.5" customHeight="1" outlineLevel="1">
      <c r="C19" s="67" t="s">
        <v>71</v>
      </c>
      <c r="D19" s="39"/>
      <c r="E19" s="39"/>
      <c r="F19" s="69" t="str">
        <f>IFERROR(F18/F$13,"N/M")</f>
        <v>N/M</v>
      </c>
      <c r="G19" s="69" t="str">
        <f>IFERROR(G18/G$13,"N/M")</f>
        <v>N/M</v>
      </c>
      <c r="H19" s="60"/>
      <c r="I19" s="60"/>
      <c r="J19" s="60"/>
      <c r="K19" s="60"/>
      <c r="L19" s="60"/>
      <c r="M19" s="60"/>
    </row>
    <row r="20" spans="3:13" ht="13.5" customHeight="1" outlineLevel="1">
      <c r="C20" s="63" t="s">
        <v>15</v>
      </c>
      <c r="D20" s="63"/>
      <c r="E20" s="63"/>
      <c r="F20" s="64"/>
      <c r="G20" s="64"/>
      <c r="H20" s="60"/>
      <c r="I20" s="60"/>
      <c r="J20" s="60"/>
      <c r="K20" s="60"/>
      <c r="L20" s="60"/>
      <c r="M20" s="60"/>
    </row>
    <row r="21" spans="3:13" ht="13.5" customHeight="1" outlineLevel="1">
      <c r="C21" s="63" t="s">
        <v>16</v>
      </c>
      <c r="D21" s="63"/>
      <c r="E21" s="63"/>
      <c r="F21" s="64"/>
      <c r="G21" s="64"/>
      <c r="H21" s="60"/>
      <c r="I21" s="60"/>
      <c r="J21" s="60"/>
      <c r="K21" s="60"/>
      <c r="L21" s="60"/>
      <c r="M21" s="60"/>
    </row>
    <row r="22" spans="3:13" ht="13.5" customHeight="1" outlineLevel="1">
      <c r="C22" s="70" t="s">
        <v>72</v>
      </c>
      <c r="D22" s="70"/>
      <c r="E22" s="70"/>
      <c r="F22" s="71">
        <f>F18-SUM(F20:F21)</f>
        <v>0</v>
      </c>
      <c r="G22" s="71">
        <f>G18-SUM(G20:G21)</f>
        <v>0</v>
      </c>
      <c r="H22" s="60"/>
      <c r="I22" s="60"/>
      <c r="J22" s="60"/>
      <c r="K22" s="60"/>
      <c r="L22" s="60"/>
      <c r="M22" s="60"/>
    </row>
    <row r="23" spans="3:13" ht="13.5" customHeight="1" outlineLevel="1">
      <c r="C23" s="72" t="s">
        <v>73</v>
      </c>
      <c r="D23" s="39"/>
      <c r="E23" s="39"/>
      <c r="F23" s="45"/>
      <c r="G23" s="73"/>
      <c r="H23" s="60"/>
      <c r="I23" s="60"/>
      <c r="J23" s="60"/>
      <c r="K23" s="60"/>
      <c r="L23" s="60"/>
      <c r="M23" s="60"/>
    </row>
    <row r="24" spans="3:13" ht="13.5" customHeight="1" outlineLevel="1">
      <c r="C24" s="74" t="s">
        <v>74</v>
      </c>
      <c r="D24" s="39"/>
      <c r="E24" s="39"/>
      <c r="F24" s="45"/>
      <c r="G24" s="75"/>
      <c r="H24" s="60"/>
      <c r="I24" s="60"/>
      <c r="J24" s="60"/>
      <c r="K24" s="60"/>
      <c r="L24" s="60"/>
      <c r="M24" s="60"/>
    </row>
    <row r="25" spans="3:13" ht="13.5" customHeight="1" outlineLevel="1">
      <c r="C25" s="74" t="s">
        <v>75</v>
      </c>
      <c r="D25" s="39"/>
      <c r="E25" s="39"/>
      <c r="F25" s="45"/>
      <c r="G25" s="75"/>
      <c r="H25" s="60"/>
      <c r="I25" s="60"/>
      <c r="J25" s="60"/>
      <c r="K25" s="60"/>
      <c r="L25" s="60"/>
      <c r="M25" s="60"/>
    </row>
    <row r="26" spans="3:13" ht="13.5" customHeight="1" outlineLevel="1">
      <c r="C26" s="74" t="str">
        <f>+C66</f>
        <v>Term Loan A</v>
      </c>
      <c r="D26" s="39"/>
      <c r="E26" s="39"/>
      <c r="F26" s="45"/>
      <c r="G26" s="75"/>
      <c r="H26" s="60"/>
      <c r="I26" s="60"/>
      <c r="J26" s="60"/>
      <c r="K26" s="60"/>
      <c r="L26" s="60"/>
      <c r="M26" s="60"/>
    </row>
    <row r="27" spans="3:13" ht="13.5" customHeight="1" outlineLevel="1">
      <c r="C27" s="74" t="str">
        <f>+C67</f>
        <v>Subordinated - Note 1</v>
      </c>
      <c r="D27" s="39"/>
      <c r="E27" s="39"/>
      <c r="F27" s="45"/>
      <c r="G27" s="75"/>
      <c r="H27" s="60"/>
      <c r="I27" s="60"/>
      <c r="J27" s="60"/>
      <c r="K27" s="60"/>
      <c r="L27" s="60"/>
      <c r="M27" s="60"/>
    </row>
    <row r="28" spans="3:13" ht="13.5" customHeight="1" outlineLevel="1">
      <c r="C28" s="74" t="str">
        <f>+C68</f>
        <v>Subordinated - Note 2</v>
      </c>
      <c r="D28" s="39"/>
      <c r="E28" s="39"/>
      <c r="F28" s="45"/>
      <c r="G28" s="75"/>
      <c r="H28" s="60"/>
      <c r="I28" s="60"/>
      <c r="J28" s="60"/>
      <c r="K28" s="60"/>
      <c r="L28" s="60"/>
      <c r="M28" s="60"/>
    </row>
    <row r="29" spans="3:13" ht="13.5" customHeight="1" outlineLevel="1">
      <c r="C29" s="76" t="s">
        <v>73</v>
      </c>
      <c r="D29" s="77"/>
      <c r="E29" s="77"/>
      <c r="F29" s="78"/>
      <c r="G29" s="78"/>
      <c r="H29" s="60"/>
      <c r="I29" s="60"/>
      <c r="J29" s="60"/>
      <c r="K29" s="60"/>
      <c r="L29" s="60"/>
      <c r="M29" s="60"/>
    </row>
    <row r="30" spans="3:13" ht="13.5" customHeight="1" outlineLevel="1">
      <c r="C30" s="63" t="s">
        <v>76</v>
      </c>
      <c r="D30" s="63"/>
      <c r="E30" s="63"/>
      <c r="F30" s="64"/>
      <c r="G30" s="64"/>
      <c r="H30" s="60"/>
      <c r="I30" s="60"/>
      <c r="J30" s="60"/>
      <c r="K30" s="60"/>
      <c r="L30" s="60"/>
      <c r="M30" s="60"/>
    </row>
    <row r="31" spans="3:13" ht="13.5" customHeight="1" outlineLevel="1">
      <c r="C31" s="65" t="s">
        <v>77</v>
      </c>
      <c r="D31" s="65"/>
      <c r="E31" s="65"/>
      <c r="F31" s="66">
        <f>F22-F29-F30</f>
        <v>0</v>
      </c>
      <c r="G31" s="66">
        <f>G22-G29-G30</f>
        <v>0</v>
      </c>
      <c r="H31" s="60"/>
      <c r="I31" s="60"/>
      <c r="J31" s="60"/>
      <c r="K31" s="60"/>
      <c r="L31" s="60"/>
      <c r="M31" s="60"/>
    </row>
    <row r="32" spans="3:13" ht="13.5" customHeight="1" outlineLevel="1">
      <c r="C32" s="63" t="s">
        <v>78</v>
      </c>
      <c r="D32" s="63"/>
      <c r="E32" s="63"/>
      <c r="F32" s="64"/>
      <c r="G32" s="64"/>
      <c r="H32" s="60"/>
      <c r="I32" s="60"/>
      <c r="J32" s="60"/>
      <c r="K32" s="60"/>
      <c r="L32" s="60"/>
      <c r="M32" s="60"/>
    </row>
    <row r="33" spans="1:13" ht="13.5" customHeight="1" outlineLevel="1">
      <c r="C33" s="79" t="s">
        <v>22</v>
      </c>
      <c r="D33" s="79"/>
      <c r="E33" s="79"/>
      <c r="F33" s="71">
        <f>F31-F32</f>
        <v>0</v>
      </c>
      <c r="G33" s="71">
        <f>G31-G32</f>
        <v>0</v>
      </c>
      <c r="H33" s="60"/>
      <c r="I33" s="60"/>
      <c r="J33" s="60"/>
      <c r="K33" s="60"/>
      <c r="L33" s="60"/>
      <c r="M33" s="60"/>
    </row>
    <row r="34" spans="1:13" ht="13.5" customHeight="1" outlineLevel="1">
      <c r="C34" s="67" t="s">
        <v>79</v>
      </c>
      <c r="D34" s="39"/>
      <c r="E34" s="39"/>
      <c r="F34" s="69" t="str">
        <f>IFERROR(F33/F$13,"N/M")</f>
        <v>N/M</v>
      </c>
      <c r="G34" s="69" t="str">
        <f>IFERROR(G33/G$13,"N/M")</f>
        <v>N/M</v>
      </c>
      <c r="H34" s="60"/>
      <c r="I34" s="60"/>
      <c r="J34" s="60"/>
      <c r="K34" s="60"/>
      <c r="L34" s="60"/>
      <c r="M34" s="60"/>
    </row>
    <row r="35" spans="1:13" ht="13.5" customHeight="1" outlineLevel="1">
      <c r="C35" s="68"/>
      <c r="D35" s="68"/>
      <c r="E35" s="68"/>
      <c r="H35" s="60"/>
      <c r="I35" s="60"/>
      <c r="J35" s="60"/>
      <c r="K35" s="60"/>
      <c r="L35" s="60"/>
      <c r="M35" s="60"/>
    </row>
    <row r="36" spans="1:13" ht="13.5" customHeight="1" outlineLevel="1">
      <c r="C36" s="80" t="s">
        <v>80</v>
      </c>
      <c r="D36" s="80"/>
      <c r="E36" s="80"/>
      <c r="G36" s="81"/>
      <c r="H36" s="60"/>
      <c r="I36" s="60"/>
      <c r="J36" s="60"/>
      <c r="K36" s="60"/>
      <c r="L36" s="60"/>
      <c r="M36" s="60"/>
    </row>
    <row r="37" spans="1:13" ht="5.0999999999999996" customHeight="1" outlineLevel="1" thickBot="1">
      <c r="A37" s="82"/>
      <c r="C37" s="83"/>
      <c r="D37" s="83"/>
      <c r="E37" s="83"/>
      <c r="F37" s="83"/>
      <c r="G37" s="83"/>
      <c r="H37" s="83"/>
      <c r="I37" s="83"/>
      <c r="J37" s="83"/>
      <c r="K37" s="83"/>
      <c r="L37" s="83"/>
    </row>
    <row r="38" spans="1:13" ht="13.5" customHeight="1" outlineLevel="1">
      <c r="A38" s="82"/>
    </row>
    <row r="39" spans="1:13" ht="13.5" customHeight="1" outlineLevel="1" thickBot="1"/>
    <row r="40" spans="1:13" ht="21.75" thickTop="1">
      <c r="A40" s="82"/>
      <c r="B40" s="46" t="s">
        <v>61</v>
      </c>
      <c r="C40" s="47" t="s">
        <v>26</v>
      </c>
      <c r="D40" s="48"/>
      <c r="E40" s="49"/>
      <c r="F40" s="49"/>
      <c r="G40" s="49"/>
      <c r="H40" s="49"/>
      <c r="I40" s="49"/>
      <c r="J40" s="49"/>
      <c r="K40" s="49"/>
      <c r="L40" s="49"/>
    </row>
    <row r="41" spans="1:13" ht="5.0999999999999996" customHeight="1" outlineLevel="1">
      <c r="A41" s="82"/>
      <c r="C41" s="51"/>
      <c r="D41" s="52"/>
    </row>
    <row r="42" spans="1:13" ht="13.5" customHeight="1" outlineLevel="1">
      <c r="A42" s="82"/>
      <c r="C42" s="53"/>
      <c r="D42" s="53"/>
      <c r="E42" s="53"/>
      <c r="F42" s="54" t="s">
        <v>63</v>
      </c>
      <c r="G42" s="54" t="s">
        <v>63</v>
      </c>
      <c r="H42" s="55" t="s">
        <v>64</v>
      </c>
      <c r="I42" s="55"/>
      <c r="J42" s="55"/>
      <c r="K42" s="55"/>
      <c r="L42" s="55"/>
    </row>
    <row r="43" spans="1:13" ht="13.5" customHeight="1" outlineLevel="1" thickBot="1">
      <c r="A43" s="82"/>
      <c r="C43" s="56" t="s">
        <v>65</v>
      </c>
      <c r="D43" s="57"/>
      <c r="E43" s="57"/>
      <c r="F43" s="58">
        <f>EOMONTH(G43,-12)</f>
        <v>45291</v>
      </c>
      <c r="G43" s="58">
        <f t="shared" ref="G43:L43" si="3">G$11</f>
        <v>45657</v>
      </c>
      <c r="H43" s="58">
        <f t="shared" si="3"/>
        <v>46022</v>
      </c>
      <c r="I43" s="58">
        <f t="shared" si="3"/>
        <v>46387</v>
      </c>
      <c r="J43" s="58">
        <f t="shared" si="3"/>
        <v>46752</v>
      </c>
      <c r="K43" s="58">
        <f t="shared" si="3"/>
        <v>47118</v>
      </c>
      <c r="L43" s="58">
        <f t="shared" si="3"/>
        <v>47483</v>
      </c>
    </row>
    <row r="44" spans="1:13" ht="5.0999999999999996" customHeight="1" outlineLevel="1">
      <c r="A44" s="82"/>
      <c r="C44" s="59"/>
      <c r="D44" s="59"/>
      <c r="E44" s="59"/>
      <c r="F44" s="60"/>
      <c r="G44" s="60"/>
      <c r="H44" s="60"/>
      <c r="I44" s="60"/>
      <c r="J44" s="60"/>
      <c r="K44" s="60"/>
    </row>
    <row r="45" spans="1:13" ht="13.5" customHeight="1" outlineLevel="1">
      <c r="A45" s="82"/>
      <c r="C45" s="84" t="s">
        <v>81</v>
      </c>
      <c r="D45" s="85"/>
      <c r="E45" s="86"/>
      <c r="F45" s="86"/>
      <c r="G45" s="86"/>
      <c r="H45" s="86"/>
      <c r="I45" s="86"/>
      <c r="J45" s="86"/>
      <c r="K45" s="86"/>
      <c r="L45" s="87"/>
    </row>
    <row r="46" spans="1:13" ht="13.5" customHeight="1" outlineLevel="1">
      <c r="A46" s="82"/>
      <c r="C46" s="59"/>
      <c r="D46" s="59"/>
      <c r="E46" s="59"/>
      <c r="F46" s="60"/>
      <c r="G46" s="60"/>
      <c r="H46" s="60"/>
      <c r="I46" s="60"/>
      <c r="J46" s="60"/>
      <c r="K46" s="60"/>
    </row>
    <row r="47" spans="1:13" ht="13.5" customHeight="1" outlineLevel="1">
      <c r="A47" s="82"/>
      <c r="C47" s="88" t="s">
        <v>82</v>
      </c>
      <c r="F47" s="89"/>
      <c r="G47" s="89"/>
      <c r="H47" s="90"/>
      <c r="I47" s="90"/>
      <c r="J47" s="90"/>
      <c r="K47" s="90"/>
      <c r="L47" s="90"/>
    </row>
    <row r="48" spans="1:13" ht="13.5" customHeight="1" outlineLevel="1">
      <c r="A48" s="82"/>
      <c r="C48" s="91" t="s">
        <v>83</v>
      </c>
      <c r="F48" s="92"/>
      <c r="G48" s="92"/>
      <c r="H48" s="90"/>
      <c r="I48" s="90"/>
      <c r="J48" s="90"/>
      <c r="K48" s="90"/>
      <c r="L48" s="90"/>
    </row>
    <row r="49" spans="1:12" ht="13.5" customHeight="1" outlineLevel="1">
      <c r="A49" s="82"/>
      <c r="C49" s="91" t="s">
        <v>31</v>
      </c>
      <c r="F49" s="92"/>
      <c r="G49" s="92"/>
      <c r="H49" s="90"/>
      <c r="I49" s="90"/>
      <c r="J49" s="90"/>
      <c r="K49" s="90"/>
      <c r="L49" s="90"/>
    </row>
    <row r="50" spans="1:12" ht="13.5" customHeight="1" outlineLevel="1">
      <c r="A50" s="82"/>
      <c r="C50" s="91" t="s">
        <v>84</v>
      </c>
      <c r="F50" s="92"/>
      <c r="G50" s="92"/>
      <c r="H50" s="90"/>
      <c r="I50" s="90"/>
      <c r="J50" s="90"/>
      <c r="K50" s="90"/>
      <c r="L50" s="90"/>
    </row>
    <row r="51" spans="1:12" ht="13.5" customHeight="1" outlineLevel="1">
      <c r="A51" s="82"/>
      <c r="C51" s="76" t="s">
        <v>33</v>
      </c>
      <c r="D51" s="77"/>
      <c r="E51" s="77"/>
      <c r="F51" s="93">
        <f>SUM(F47:F50)</f>
        <v>0</v>
      </c>
      <c r="G51" s="93">
        <f>SUM(G47:G50)</f>
        <v>0</v>
      </c>
      <c r="H51" s="94"/>
      <c r="I51" s="94"/>
      <c r="J51" s="94"/>
      <c r="K51" s="94"/>
      <c r="L51" s="94"/>
    </row>
    <row r="52" spans="1:12" ht="13.5" customHeight="1" outlineLevel="1">
      <c r="A52" s="82"/>
      <c r="C52" s="91" t="s">
        <v>85</v>
      </c>
      <c r="D52" s="95"/>
      <c r="E52" s="95"/>
      <c r="F52" s="96"/>
      <c r="G52" s="96"/>
      <c r="H52" s="97"/>
      <c r="I52" s="97"/>
      <c r="J52" s="97"/>
      <c r="K52" s="97"/>
      <c r="L52" s="97"/>
    </row>
    <row r="53" spans="1:12" ht="13.5" customHeight="1" outlineLevel="1">
      <c r="A53" s="82"/>
      <c r="C53" s="91" t="s">
        <v>86</v>
      </c>
      <c r="D53" s="95"/>
      <c r="E53" s="95"/>
      <c r="F53" s="96"/>
      <c r="G53" s="96"/>
      <c r="H53" s="94"/>
      <c r="I53" s="94"/>
      <c r="J53" s="94"/>
      <c r="K53" s="94"/>
      <c r="L53" s="94"/>
    </row>
    <row r="54" spans="1:12" ht="13.5" customHeight="1" outlineLevel="1">
      <c r="A54" s="82"/>
      <c r="C54" s="76" t="s">
        <v>34</v>
      </c>
      <c r="D54" s="77"/>
      <c r="E54" s="77"/>
      <c r="F54" s="78"/>
      <c r="G54" s="78"/>
      <c r="H54" s="94"/>
      <c r="I54" s="94"/>
      <c r="J54" s="94"/>
      <c r="K54" s="94"/>
      <c r="L54" s="94"/>
    </row>
    <row r="55" spans="1:12" ht="13.5" customHeight="1" outlineLevel="1">
      <c r="A55" s="82"/>
      <c r="C55" s="98" t="s">
        <v>87</v>
      </c>
      <c r="D55" s="95"/>
      <c r="E55" s="95"/>
      <c r="F55" s="99">
        <v>0</v>
      </c>
      <c r="G55" s="99">
        <v>0</v>
      </c>
      <c r="H55" s="94"/>
      <c r="I55" s="94"/>
      <c r="J55" s="94"/>
      <c r="K55" s="94"/>
      <c r="L55" s="94"/>
    </row>
    <row r="56" spans="1:12" ht="13.5" customHeight="1" outlineLevel="1">
      <c r="A56" s="82"/>
      <c r="C56" s="98" t="s">
        <v>88</v>
      </c>
      <c r="D56" s="95"/>
      <c r="E56" s="95"/>
      <c r="F56" s="92"/>
      <c r="G56" s="92"/>
      <c r="H56" s="94"/>
      <c r="I56" s="94"/>
      <c r="J56" s="94"/>
      <c r="K56" s="94"/>
      <c r="L56" s="94"/>
    </row>
    <row r="57" spans="1:12" ht="13.5" customHeight="1" outlineLevel="1">
      <c r="A57" s="82"/>
      <c r="C57" s="100" t="s">
        <v>36</v>
      </c>
      <c r="D57" s="101"/>
      <c r="E57" s="101"/>
      <c r="F57" s="102">
        <f>SUM(F51,F54:F56)</f>
        <v>0</v>
      </c>
      <c r="G57" s="102">
        <f>SUM(G51,G54:G56)</f>
        <v>0</v>
      </c>
      <c r="H57" s="103"/>
      <c r="I57" s="103"/>
      <c r="J57" s="103"/>
      <c r="K57" s="103"/>
      <c r="L57" s="103"/>
    </row>
    <row r="58" spans="1:12" ht="13.5" customHeight="1" outlineLevel="1">
      <c r="A58" s="82"/>
      <c r="H58" s="104"/>
      <c r="I58" s="104"/>
      <c r="J58" s="104"/>
      <c r="K58" s="104"/>
      <c r="L58" s="104"/>
    </row>
    <row r="59" spans="1:12" ht="13.5" customHeight="1" outlineLevel="1">
      <c r="A59" s="82"/>
      <c r="C59" s="84" t="s">
        <v>89</v>
      </c>
      <c r="D59" s="85"/>
      <c r="E59" s="86"/>
      <c r="F59" s="86"/>
      <c r="G59" s="86"/>
      <c r="H59" s="86"/>
      <c r="I59" s="86"/>
      <c r="J59" s="86"/>
      <c r="K59" s="86"/>
      <c r="L59" s="87"/>
    </row>
    <row r="60" spans="1:12" ht="13.5" customHeight="1" outlineLevel="1">
      <c r="A60" s="82"/>
      <c r="C60" s="59"/>
      <c r="D60" s="59"/>
      <c r="E60" s="59"/>
      <c r="F60" s="60"/>
      <c r="G60" s="60"/>
      <c r="H60" s="60"/>
      <c r="I60" s="60"/>
      <c r="J60" s="60"/>
      <c r="K60" s="60"/>
    </row>
    <row r="61" spans="1:12" ht="13.5" customHeight="1" outlineLevel="1">
      <c r="A61" s="82"/>
      <c r="C61" s="91" t="s">
        <v>37</v>
      </c>
      <c r="D61" s="95"/>
      <c r="E61" s="95"/>
      <c r="F61" s="92"/>
      <c r="G61" s="92"/>
      <c r="H61" s="90"/>
      <c r="I61" s="90"/>
      <c r="J61" s="90"/>
      <c r="K61" s="90"/>
      <c r="L61" s="90"/>
    </row>
    <row r="62" spans="1:12" ht="13.5" customHeight="1" outlineLevel="1">
      <c r="A62" s="82"/>
      <c r="C62" s="91" t="s">
        <v>38</v>
      </c>
      <c r="D62" s="95"/>
      <c r="E62" s="95"/>
      <c r="F62" s="92"/>
      <c r="G62" s="92"/>
      <c r="H62" s="90"/>
      <c r="I62" s="90"/>
      <c r="J62" s="90"/>
      <c r="K62" s="90"/>
      <c r="L62" s="90"/>
    </row>
    <row r="63" spans="1:12" ht="13.5" customHeight="1" outlineLevel="1">
      <c r="A63" s="82"/>
      <c r="C63" s="91" t="s">
        <v>39</v>
      </c>
      <c r="D63" s="95"/>
      <c r="E63" s="95"/>
      <c r="F63" s="92"/>
      <c r="G63" s="92"/>
      <c r="H63" s="90"/>
      <c r="I63" s="90"/>
      <c r="J63" s="90"/>
      <c r="K63" s="90"/>
      <c r="L63" s="90"/>
    </row>
    <row r="64" spans="1:12" ht="13.5" customHeight="1" outlineLevel="1">
      <c r="A64" s="82"/>
      <c r="C64" s="76" t="s">
        <v>40</v>
      </c>
      <c r="D64" s="77"/>
      <c r="E64" s="77"/>
      <c r="F64" s="93">
        <f>SUM(F61:F63)</f>
        <v>0</v>
      </c>
      <c r="G64" s="93">
        <f>SUM(G61:G63)</f>
        <v>0</v>
      </c>
      <c r="H64" s="94"/>
      <c r="I64" s="94"/>
      <c r="J64" s="94"/>
      <c r="K64" s="94"/>
      <c r="L64" s="94"/>
    </row>
    <row r="65" spans="1:19" ht="13.5" customHeight="1" outlineLevel="1">
      <c r="A65" s="82"/>
      <c r="C65" s="91" t="s">
        <v>41</v>
      </c>
      <c r="D65" s="95"/>
      <c r="E65" s="95"/>
      <c r="F65" s="92"/>
      <c r="G65" s="92"/>
      <c r="H65" s="97"/>
      <c r="I65" s="97"/>
      <c r="J65" s="97"/>
      <c r="K65" s="97"/>
      <c r="L65" s="97"/>
    </row>
    <row r="66" spans="1:19" ht="13.5" customHeight="1" outlineLevel="1">
      <c r="A66" s="82"/>
      <c r="C66" s="91" t="s">
        <v>42</v>
      </c>
      <c r="D66" s="95"/>
      <c r="E66" s="95"/>
      <c r="F66" s="92"/>
      <c r="G66" s="92"/>
      <c r="H66" s="94"/>
      <c r="I66" s="94"/>
      <c r="J66" s="94"/>
      <c r="K66" s="94"/>
      <c r="L66" s="94"/>
    </row>
    <row r="67" spans="1:19" ht="13.5" customHeight="1" outlineLevel="1">
      <c r="A67" s="82"/>
      <c r="C67" s="91" t="s">
        <v>90</v>
      </c>
      <c r="D67" s="95"/>
      <c r="E67" s="95"/>
      <c r="F67" s="92"/>
      <c r="G67" s="92"/>
      <c r="H67" s="97"/>
      <c r="I67" s="97"/>
      <c r="J67" s="97"/>
      <c r="K67" s="97"/>
      <c r="L67" s="97"/>
    </row>
    <row r="68" spans="1:19" ht="13.5" customHeight="1" outlineLevel="1">
      <c r="A68" s="82"/>
      <c r="C68" s="91" t="s">
        <v>91</v>
      </c>
      <c r="D68" s="95"/>
      <c r="E68" s="95"/>
      <c r="F68" s="92"/>
      <c r="G68" s="92"/>
      <c r="H68" s="97"/>
      <c r="I68" s="97"/>
      <c r="J68" s="97"/>
      <c r="K68" s="97"/>
      <c r="L68" s="97"/>
    </row>
    <row r="69" spans="1:19" ht="13.5" customHeight="1" outlineLevel="1">
      <c r="A69" s="82"/>
      <c r="C69" s="76" t="s">
        <v>92</v>
      </c>
      <c r="D69" s="77"/>
      <c r="E69" s="77"/>
      <c r="F69" s="93">
        <f>SUM(F65:F68)</f>
        <v>0</v>
      </c>
      <c r="G69" s="93">
        <f>SUM(G65:G68)</f>
        <v>0</v>
      </c>
      <c r="H69" s="94"/>
      <c r="I69" s="94"/>
      <c r="J69" s="94"/>
      <c r="K69" s="94"/>
      <c r="L69" s="94"/>
    </row>
    <row r="70" spans="1:19" ht="13.5" customHeight="1" outlineLevel="1">
      <c r="A70" s="82"/>
      <c r="C70" s="68" t="s">
        <v>93</v>
      </c>
      <c r="F70" s="92"/>
      <c r="G70" s="92"/>
      <c r="H70" s="97"/>
      <c r="I70" s="97"/>
      <c r="J70" s="97"/>
      <c r="K70" s="97"/>
      <c r="L70" s="97"/>
      <c r="M70" s="82"/>
    </row>
    <row r="71" spans="1:19" ht="13.5" customHeight="1" outlineLevel="1">
      <c r="A71" s="82"/>
      <c r="C71" s="76" t="s">
        <v>94</v>
      </c>
      <c r="D71" s="77"/>
      <c r="E71" s="77"/>
      <c r="F71" s="93">
        <f>SUM(F64,F69:F70)</f>
        <v>0</v>
      </c>
      <c r="G71" s="93">
        <f>SUM(G64,G69:G70)</f>
        <v>0</v>
      </c>
      <c r="H71" s="94"/>
      <c r="I71" s="94"/>
      <c r="J71" s="94"/>
      <c r="K71" s="94"/>
      <c r="L71" s="94"/>
      <c r="M71" s="82"/>
    </row>
    <row r="72" spans="1:19" ht="13.5" customHeight="1" outlineLevel="1">
      <c r="A72" s="82"/>
      <c r="C72" s="98" t="s">
        <v>47</v>
      </c>
      <c r="F72" s="92"/>
      <c r="G72" s="92"/>
      <c r="H72" s="97"/>
      <c r="I72" s="97"/>
      <c r="J72" s="97"/>
      <c r="K72" s="97"/>
      <c r="L72" s="97"/>
      <c r="M72" s="82"/>
    </row>
    <row r="73" spans="1:19" ht="13.5" customHeight="1" outlineLevel="1">
      <c r="A73" s="82"/>
      <c r="C73" s="98" t="s">
        <v>48</v>
      </c>
      <c r="F73" s="92"/>
      <c r="G73" s="92"/>
      <c r="H73" s="97"/>
      <c r="I73" s="97"/>
      <c r="J73" s="97"/>
      <c r="K73" s="97"/>
      <c r="L73" s="97"/>
      <c r="M73" s="82"/>
    </row>
    <row r="74" spans="1:19" ht="13.5" customHeight="1" outlineLevel="1">
      <c r="A74" s="82"/>
      <c r="C74" s="100" t="s">
        <v>95</v>
      </c>
      <c r="D74" s="101"/>
      <c r="E74" s="101"/>
      <c r="F74" s="105">
        <f>SUM(F71:F73)</f>
        <v>0</v>
      </c>
      <c r="G74" s="105">
        <f>SUM(G71:G73)</f>
        <v>0</v>
      </c>
      <c r="H74" s="103"/>
      <c r="I74" s="103"/>
      <c r="J74" s="103"/>
      <c r="K74" s="103"/>
      <c r="L74" s="103"/>
      <c r="M74" s="82"/>
    </row>
    <row r="75" spans="1:19" s="106" customFormat="1" ht="13.5" customHeight="1" outlineLevel="1">
      <c r="A75" s="82"/>
      <c r="C75" s="107"/>
      <c r="D75" s="108"/>
      <c r="E75" s="108"/>
      <c r="F75" s="109"/>
      <c r="G75" s="109"/>
      <c r="H75" s="109"/>
      <c r="I75" s="109"/>
      <c r="J75" s="109"/>
      <c r="K75" s="109"/>
      <c r="L75" s="109"/>
      <c r="M75" s="82"/>
    </row>
    <row r="76" spans="1:19" s="114" customFormat="1" ht="13.5" customHeight="1" outlineLevel="1">
      <c r="A76" s="82"/>
      <c r="B76" s="110"/>
      <c r="C76" s="111"/>
      <c r="D76" s="111"/>
      <c r="E76" s="111"/>
      <c r="F76" s="112"/>
      <c r="G76" s="113"/>
      <c r="H76" s="113"/>
      <c r="I76" s="113"/>
      <c r="J76" s="113"/>
      <c r="K76" s="113"/>
      <c r="L76" s="113"/>
      <c r="M76" s="82"/>
    </row>
    <row r="77" spans="1:19" ht="5.0999999999999996" customHeight="1" outlineLevel="1" thickBot="1">
      <c r="A77" s="82"/>
      <c r="C77" s="115"/>
      <c r="D77" s="115"/>
      <c r="E77" s="115"/>
      <c r="F77" s="116"/>
      <c r="G77" s="116"/>
      <c r="H77" s="117"/>
      <c r="I77" s="117"/>
      <c r="J77" s="117"/>
      <c r="K77" s="117"/>
      <c r="L77" s="117"/>
    </row>
    <row r="78" spans="1:19" ht="13.5" customHeight="1" outlineLevel="1" thickBot="1">
      <c r="A78" s="82"/>
      <c r="C78" s="118"/>
      <c r="D78" s="118"/>
      <c r="E78" s="118"/>
    </row>
    <row r="79" spans="1:19" ht="13.5" customHeight="1" thickTop="1">
      <c r="A79" s="82"/>
      <c r="B79" s="46" t="s">
        <v>61</v>
      </c>
      <c r="C79" s="119" t="s">
        <v>96</v>
      </c>
      <c r="D79" s="82"/>
      <c r="E79" s="82"/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</row>
    <row r="80" spans="1:19" ht="15" outlineLevel="1">
      <c r="A80" s="82"/>
      <c r="B80" s="82"/>
      <c r="C80" s="120" t="s">
        <v>3</v>
      </c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</row>
    <row r="81" spans="1:19" ht="15" outlineLevel="1">
      <c r="A81" s="82"/>
      <c r="B81" s="82"/>
      <c r="C81" s="121" t="s">
        <v>97</v>
      </c>
      <c r="D81" s="82"/>
      <c r="E81" s="82"/>
      <c r="F81" s="122"/>
      <c r="G81" s="122"/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</row>
    <row r="82" spans="1:19" ht="15" outlineLevel="1">
      <c r="A82" s="82"/>
      <c r="B82" s="82"/>
      <c r="C82" s="121" t="s">
        <v>67</v>
      </c>
      <c r="D82" s="82"/>
      <c r="E82" s="82"/>
      <c r="F82" s="122"/>
      <c r="G82" s="12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</row>
    <row r="83" spans="1:19" ht="15" outlineLevel="1">
      <c r="A83" s="82"/>
      <c r="B83" s="82"/>
      <c r="C83" s="121" t="s">
        <v>70</v>
      </c>
      <c r="D83" s="82"/>
      <c r="E83" s="82"/>
      <c r="F83" s="122"/>
      <c r="G83" s="12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</row>
    <row r="84" spans="1:19" ht="15" outlineLevel="1">
      <c r="A84" s="82"/>
      <c r="B84" s="82"/>
      <c r="C84" s="121" t="s">
        <v>22</v>
      </c>
      <c r="D84" s="82"/>
      <c r="E84" s="82"/>
      <c r="F84" s="122"/>
      <c r="G84" s="12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</row>
    <row r="85" spans="1:19" ht="15" outlineLevel="1">
      <c r="A85" s="82"/>
      <c r="B85" s="82"/>
      <c r="C85" s="121"/>
      <c r="D85" s="82"/>
      <c r="E85" s="82"/>
      <c r="F85" s="122"/>
      <c r="G85" s="12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</row>
    <row r="86" spans="1:19" ht="15" outlineLevel="1">
      <c r="A86" s="82"/>
      <c r="B86" s="82"/>
      <c r="C86" s="120" t="s">
        <v>26</v>
      </c>
      <c r="D86" s="82"/>
      <c r="E86" s="82"/>
      <c r="F86" s="122"/>
      <c r="G86" s="12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</row>
    <row r="87" spans="1:19" ht="15" outlineLevel="1">
      <c r="A87" s="82"/>
      <c r="B87" s="82"/>
      <c r="C87" s="121" t="s">
        <v>98</v>
      </c>
      <c r="D87" s="82"/>
      <c r="E87" s="82"/>
      <c r="F87" s="122"/>
      <c r="G87" s="12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</row>
    <row r="88" spans="1:19" ht="15" outlineLevel="1">
      <c r="A88" s="82"/>
      <c r="B88" s="82"/>
      <c r="C88" s="121" t="s">
        <v>99</v>
      </c>
      <c r="D88" s="82"/>
      <c r="E88" s="82"/>
      <c r="F88" s="122"/>
      <c r="G88" s="12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</row>
    <row r="89" spans="1:19" ht="15" outlineLevel="1">
      <c r="A89" s="82"/>
      <c r="B89" s="82"/>
      <c r="C89" s="121" t="s">
        <v>36</v>
      </c>
      <c r="D89" s="82"/>
      <c r="E89" s="82"/>
      <c r="F89" s="122"/>
      <c r="G89" s="12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</row>
    <row r="90" spans="1:19" ht="15" outlineLevel="1">
      <c r="A90" s="82"/>
      <c r="B90" s="82"/>
      <c r="C90" s="121" t="s">
        <v>100</v>
      </c>
      <c r="D90" s="82"/>
      <c r="E90" s="82"/>
      <c r="F90" s="122"/>
      <c r="G90" s="12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</row>
    <row r="91" spans="1:19" ht="15" outlineLevel="1">
      <c r="A91" s="82"/>
      <c r="B91" s="82"/>
      <c r="C91" s="121" t="s">
        <v>101</v>
      </c>
      <c r="D91" s="82"/>
      <c r="E91" s="82"/>
      <c r="F91" s="122"/>
      <c r="G91" s="12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</row>
    <row r="92" spans="1:19" ht="15" outlineLevel="1">
      <c r="A92" s="82"/>
      <c r="B92" s="82"/>
      <c r="C92" s="121" t="s">
        <v>49</v>
      </c>
      <c r="D92" s="82"/>
      <c r="E92" s="82"/>
      <c r="F92" s="122"/>
      <c r="G92" s="12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</row>
    <row r="93" spans="1:19" ht="15" outlineLevel="1">
      <c r="A93" s="82"/>
      <c r="B93" s="82"/>
      <c r="C93" s="121"/>
      <c r="D93" s="82"/>
      <c r="E93" s="82"/>
      <c r="F93" s="122"/>
      <c r="G93" s="12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</row>
    <row r="94" spans="1:19" ht="15" outlineLevel="1">
      <c r="A94" s="82"/>
      <c r="B94" s="82"/>
      <c r="C94" s="119" t="s">
        <v>102</v>
      </c>
      <c r="D94" s="82"/>
      <c r="E94" s="82"/>
      <c r="F94" s="122"/>
      <c r="G94" s="12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</row>
    <row r="95" spans="1:19" ht="15" outlineLevel="1">
      <c r="A95" s="82"/>
      <c r="B95" s="82"/>
      <c r="C95" s="121" t="s">
        <v>103</v>
      </c>
      <c r="D95" s="82"/>
      <c r="E95" s="82"/>
      <c r="F95" s="122"/>
      <c r="G95" s="12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</row>
    <row r="96" spans="1:19" ht="19.5" customHeight="1" outlineLevel="1">
      <c r="A96" s="82"/>
      <c r="B96" s="82"/>
      <c r="C96" s="121"/>
      <c r="D96" s="82"/>
      <c r="E96" s="82"/>
      <c r="F96" s="122"/>
      <c r="G96" s="12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</row>
    <row r="97" spans="1:19" ht="19.5" customHeight="1">
      <c r="A97" s="82"/>
      <c r="B97" s="82"/>
      <c r="C97" s="121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</row>
    <row r="98" spans="1:19" ht="19.5" customHeight="1">
      <c r="A98" s="82"/>
      <c r="B98" s="82"/>
      <c r="C98" s="121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</row>
    <row r="99" spans="1:19" ht="5.0999999999999996" customHeight="1">
      <c r="A99" s="82"/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</row>
    <row r="100" spans="1:19" ht="13.5" customHeight="1">
      <c r="A100" s="82"/>
      <c r="B100" s="82"/>
      <c r="C100" s="123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</row>
    <row r="101" spans="1:19" ht="13.5" customHeight="1">
      <c r="A101" s="82"/>
      <c r="B101" s="82"/>
      <c r="C101" s="82"/>
      <c r="D101" s="82"/>
      <c r="E101" s="82"/>
      <c r="F101" s="124"/>
      <c r="G101" s="124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</row>
    <row r="102" spans="1:19" ht="13.5" customHeight="1">
      <c r="A102" s="82"/>
      <c r="B102" s="82"/>
      <c r="C102" s="82"/>
      <c r="D102" s="82"/>
      <c r="E102" s="82"/>
      <c r="F102" s="124"/>
      <c r="G102" s="124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</row>
    <row r="103" spans="1:19" ht="13.5" customHeight="1">
      <c r="A103" s="82"/>
      <c r="B103" s="82"/>
      <c r="C103" s="82"/>
      <c r="D103" s="82"/>
      <c r="E103" s="82"/>
      <c r="F103" s="124"/>
      <c r="G103" s="124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</row>
    <row r="104" spans="1:19" ht="13.5" customHeight="1">
      <c r="A104" s="82"/>
      <c r="B104" s="82"/>
      <c r="C104" s="82"/>
      <c r="D104" s="82"/>
      <c r="E104" s="82"/>
      <c r="F104" s="124"/>
      <c r="G104" s="124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</row>
    <row r="105" spans="1:19" ht="13.5" customHeight="1">
      <c r="A105" s="82"/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</row>
    <row r="106" spans="1:19" ht="13.5" customHeight="1">
      <c r="A106" s="82"/>
      <c r="B106" s="82"/>
      <c r="C106" s="123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</row>
    <row r="107" spans="1:19" ht="13.5" customHeight="1">
      <c r="A107" s="82"/>
      <c r="B107" s="82"/>
      <c r="C107" s="82"/>
      <c r="D107" s="82"/>
      <c r="E107" s="82"/>
      <c r="F107" s="124"/>
      <c r="G107" s="124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</row>
    <row r="108" spans="1:19" ht="13.5" customHeight="1">
      <c r="A108" s="82"/>
      <c r="B108" s="82"/>
      <c r="C108" s="82"/>
      <c r="D108" s="82"/>
      <c r="E108" s="82"/>
      <c r="F108" s="124"/>
      <c r="G108" s="124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</row>
    <row r="109" spans="1:19" ht="13.5" customHeight="1">
      <c r="A109" s="82"/>
      <c r="B109" s="82"/>
      <c r="C109" s="82"/>
      <c r="D109" s="82"/>
      <c r="E109" s="82"/>
      <c r="F109" s="124"/>
      <c r="G109" s="124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</row>
    <row r="110" spans="1:19" ht="13.5" customHeight="1">
      <c r="A110" s="82"/>
      <c r="B110" s="82"/>
      <c r="C110" s="82"/>
      <c r="D110" s="82"/>
      <c r="E110" s="82"/>
      <c r="F110" s="124"/>
      <c r="G110" s="124"/>
      <c r="H110" s="82"/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82"/>
    </row>
    <row r="111" spans="1:19" ht="5.0999999999999996" customHeight="1">
      <c r="A111" s="82"/>
      <c r="B111" s="82"/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</row>
    <row r="112" spans="1:19" ht="13.5" customHeight="1">
      <c r="A112" s="82"/>
      <c r="B112" s="82"/>
      <c r="C112" s="82"/>
      <c r="D112" s="82"/>
      <c r="E112" s="82"/>
      <c r="F112" s="124"/>
      <c r="G112" s="124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</row>
    <row r="113" spans="1:19" ht="13.5" customHeight="1">
      <c r="A113" s="82"/>
      <c r="B113" s="82"/>
      <c r="C113" s="82"/>
      <c r="D113" s="82"/>
      <c r="E113" s="82"/>
      <c r="F113" s="124"/>
      <c r="G113" s="124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82"/>
    </row>
    <row r="114" spans="1:19" ht="13.5" customHeight="1">
      <c r="A114" s="82"/>
      <c r="B114" s="82"/>
      <c r="C114" s="82"/>
      <c r="D114" s="82"/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</row>
    <row r="115" spans="1:19" ht="13.5" customHeight="1">
      <c r="F115" s="124"/>
      <c r="G115" s="124"/>
    </row>
  </sheetData>
  <pageMargins left="0.25" right="0.25" top="0.75" bottom="0.75" header="0.3" footer="0.3"/>
  <pageSetup scale="47" orientation="landscape" r:id="rId1"/>
  <headerFooter alignWithMargins="0">
    <oddHeader>&amp;A</oddHeader>
    <oddFooter>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C4E61526377E47AF828979A7A771F0" ma:contentTypeVersion="12" ma:contentTypeDescription="Create a new document." ma:contentTypeScope="" ma:versionID="0b4d727f8e0090d90ec79830cdf4dda3">
  <xsd:schema xmlns:xsd="http://www.w3.org/2001/XMLSchema" xmlns:xs="http://www.w3.org/2001/XMLSchema" xmlns:p="http://schemas.microsoft.com/office/2006/metadata/properties" xmlns:ns2="2e8f0d28-a7bd-4ba5-af77-49452aacead3" xmlns:ns3="0943dc99-765d-4763-a2da-dd5dd934c3aa" targetNamespace="http://schemas.microsoft.com/office/2006/metadata/properties" ma:root="true" ma:fieldsID="7380d60c0617d7f8fa5f6d960c1f6aa1" ns2:_="" ns3:_="">
    <xsd:import namespace="2e8f0d28-a7bd-4ba5-af77-49452aacead3"/>
    <xsd:import namespace="0943dc99-765d-4763-a2da-dd5dd934c3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8f0d28-a7bd-4ba5-af77-49452aacea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aa049ea-3849-4ddd-aa67-d6de9634ed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43dc99-765d-4763-a2da-dd5dd934c3a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0fe633-aac5-4ebd-8e4d-5a85816953f9}" ma:internalName="TaxCatchAll" ma:showField="CatchAllData" ma:web="0943dc99-765d-4763-a2da-dd5dd934c3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e8f0d28-a7bd-4ba5-af77-49452aacead3">
      <Terms xmlns="http://schemas.microsoft.com/office/infopath/2007/PartnerControls"/>
    </lcf76f155ced4ddcb4097134ff3c332f>
    <TaxCatchAll xmlns="0943dc99-765d-4763-a2da-dd5dd934c3aa" xsi:nil="true"/>
  </documentManagement>
</p:properties>
</file>

<file path=customXml/itemProps1.xml><?xml version="1.0" encoding="utf-8"?>
<ds:datastoreItem xmlns:ds="http://schemas.openxmlformats.org/officeDocument/2006/customXml" ds:itemID="{306395CB-1E8C-4F05-96C8-D5D930D80400}"/>
</file>

<file path=customXml/itemProps2.xml><?xml version="1.0" encoding="utf-8"?>
<ds:datastoreItem xmlns:ds="http://schemas.openxmlformats.org/officeDocument/2006/customXml" ds:itemID="{D9A227F4-C4B0-4593-8E7C-DDF1EF2D563F}"/>
</file>

<file path=customXml/itemProps3.xml><?xml version="1.0" encoding="utf-8"?>
<ds:datastoreItem xmlns:ds="http://schemas.openxmlformats.org/officeDocument/2006/customXml" ds:itemID="{5055A936-3E4D-4458-8842-38C140C817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PART I - MODEL BUILD &gt;&gt;&gt;</vt:lpstr>
      <vt:lpstr>Financials from CIP</vt:lpstr>
      <vt:lpstr>Step 1</vt:lpstr>
      <vt:lpstr>'Financials from CIP'!Print_Area</vt:lpstr>
      <vt:lpstr>'Step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Wolinsky</dc:creator>
  <cp:lastModifiedBy>David Wolinsky</cp:lastModifiedBy>
  <dcterms:created xsi:type="dcterms:W3CDTF">2026-02-19T01:46:31Z</dcterms:created>
  <dcterms:modified xsi:type="dcterms:W3CDTF">2026-02-19T01:50:41Z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0x010100FFC4E61526377E47AF828979A7A771F0</vt:lpwstr>
  </property>
</Properties>
</file>