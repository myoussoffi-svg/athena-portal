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0" documentId="8_{F17E8BBD-B949-4CFC-9192-0DAF8ED94C35}" xr6:coauthVersionLast="47" xr6:coauthVersionMax="47" xr10:uidLastSave="{00000000-0000-0000-0000-000000000000}"/>
  <bookViews>
    <workbookView xWindow="-120" yWindow="-120" windowWidth="29040" windowHeight="17520" firstSheet="10" activeTab="12"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 name="Step 3 Answer Key" sheetId="8" r:id="rId8"/>
    <sheet name="Step 4" sheetId="9" r:id="rId9"/>
    <sheet name="Step 4 Answer Key" sheetId="10" r:id="rId10"/>
    <sheet name="Step 5" sheetId="11" r:id="rId11"/>
    <sheet name="Step 5 Answer Key" sheetId="12" r:id="rId12"/>
    <sheet name="Step 6" sheetId="13" r:id="rId13"/>
  </sheets>
  <externalReferences>
    <externalReference r:id="rId14"/>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ags1" localSheetId="7" hidden="1">"&lt;tags&gt;&lt;tag n=""Palette"" v=""-1"" /&gt;&lt;tag n=""ClosestPalette"" v=""1"" /&gt;&lt;/tags&gt;"</definedName>
    <definedName name="_tags1" localSheetId="8" hidden="1">"&lt;tags&gt;&lt;tag n=""Palette"" v=""-1"" /&gt;&lt;tag n=""ClosestPalette"" v=""1"" /&gt;&lt;/tags&gt;"</definedName>
    <definedName name="_tags1" localSheetId="9" hidden="1">"&lt;tags&gt;&lt;tag n=""Palette"" v=""-1"" /&gt;&lt;tag n=""ClosestPalette"" v=""1"" /&gt;&lt;/tags&gt;"</definedName>
    <definedName name="_tags1" localSheetId="10" hidden="1">"&lt;tags&gt;&lt;tag n=""Palette"" v=""-1"" /&gt;&lt;tag n=""ClosestPalette"" v=""1"" /&gt;&lt;/tags&gt;"</definedName>
    <definedName name="_tags1" localSheetId="11" hidden="1">"&lt;tags&gt;&lt;tag n=""Palette"" v=""-1"" /&gt;&lt;tag n=""ClosestPalette"" v=""1"" /&gt;&lt;/tags&gt;"</definedName>
    <definedName name="_tags1" localSheetId="12"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_xlnm.Print_Area" localSheetId="7">'Step 3 Answer Key'!$A$1:$M$90</definedName>
    <definedName name="_xlnm.Print_Area" localSheetId="8">'Step 4'!$A$1:$M$90</definedName>
    <definedName name="_xlnm.Print_Area" localSheetId="9">'Step 4 Answer Key'!$A$1:$M$90</definedName>
    <definedName name="_xlnm.Print_Area" localSheetId="10">'Step 5'!$A$1:$M$90</definedName>
    <definedName name="_xlnm.Print_Area" localSheetId="11">'Step 5 Answer Key'!$A$1:$M$90</definedName>
    <definedName name="_xlnm.Print_Area" localSheetId="12">'Step 6'!$A$1:$M$90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localSheetId="7" hidden="1">_xll.ContributionAxisOffset(#REF!,#REF!,#REF!,0)</definedName>
    <definedName name="VI7_AxisOffset" localSheetId="8" hidden="1">_xll.ContributionAxisOffset(#REF!,#REF!,#REF!,0)</definedName>
    <definedName name="VI7_AxisOffset" localSheetId="9" hidden="1">_xll.ContributionAxisOffset(#REF!,#REF!,#REF!,0)</definedName>
    <definedName name="VI7_AxisOffset" localSheetId="10" hidden="1">_xll.ContributionAxisOffset(#REF!,#REF!,#REF!,0)</definedName>
    <definedName name="VI7_AxisOffset" localSheetId="11" hidden="1">_xll.ContributionAxisOffset(#REF!,#REF!,#REF!,0)</definedName>
    <definedName name="VI7_AxisOffset" localSheetId="12"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localSheetId="7" hidden="1">_xll.ContributionCumulative(#REF!,#REF!,#REF!)</definedName>
    <definedName name="VI7_Cumulative" localSheetId="8" hidden="1">_xll.ContributionCumulative(#REF!,#REF!,#REF!)</definedName>
    <definedName name="VI7_Cumulative" localSheetId="9" hidden="1">_xll.ContributionCumulative(#REF!,#REF!,#REF!)</definedName>
    <definedName name="VI7_Cumulative" localSheetId="10" hidden="1">_xll.ContributionCumulative(#REF!,#REF!,#REF!)</definedName>
    <definedName name="VI7_Cumulative" localSheetId="11" hidden="1">_xll.ContributionCumulative(#REF!,#REF!,#REF!)</definedName>
    <definedName name="VI7_Cumulative" localSheetId="12"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localSheetId="7" hidden="1">_xll.DifferenceCalculatedIndex(#REF!,#REF!,#REF!,#REF!)</definedName>
    <definedName name="VI7_Difference1CalculatedIndex1" localSheetId="8" hidden="1">_xll.DifferenceCalculatedIndex(#REF!,#REF!,#REF!,#REF!)</definedName>
    <definedName name="VI7_Difference1CalculatedIndex1" localSheetId="9" hidden="1">_xll.DifferenceCalculatedIndex(#REF!,#REF!,#REF!,#REF!)</definedName>
    <definedName name="VI7_Difference1CalculatedIndex1" localSheetId="10" hidden="1">_xll.DifferenceCalculatedIndex(#REF!,#REF!,#REF!,#REF!)</definedName>
    <definedName name="VI7_Difference1CalculatedIndex1" localSheetId="11" hidden="1">_xll.DifferenceCalculatedIndex(#REF!,#REF!,#REF!,#REF!)</definedName>
    <definedName name="VI7_Difference1CalculatedIndex1" localSheetId="12"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localSheetId="7" hidden="1">_xll.DifferenceCalculatedIndex(#REF!,#REF!,#REF!,#REF!)</definedName>
    <definedName name="VI7_Difference1CalculatedIndex2" localSheetId="8" hidden="1">_xll.DifferenceCalculatedIndex(#REF!,#REF!,#REF!,#REF!)</definedName>
    <definedName name="VI7_Difference1CalculatedIndex2" localSheetId="9" hidden="1">_xll.DifferenceCalculatedIndex(#REF!,#REF!,#REF!,#REF!)</definedName>
    <definedName name="VI7_Difference1CalculatedIndex2" localSheetId="10" hidden="1">_xll.DifferenceCalculatedIndex(#REF!,#REF!,#REF!,#REF!)</definedName>
    <definedName name="VI7_Difference1CalculatedIndex2" localSheetId="11" hidden="1">_xll.DifferenceCalculatedIndex(#REF!,#REF!,#REF!,#REF!)</definedName>
    <definedName name="VI7_Difference1CalculatedIndex2" localSheetId="12"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localSheetId="7" hidden="1">_xll.ContributionDifferenceY(#REF!,#REF!,0,0,0)</definedName>
    <definedName name="VI7_Difference1LabelY1" localSheetId="8" hidden="1">_xll.ContributionDifferenceY(#REF!,#REF!,0,0,0)</definedName>
    <definedName name="VI7_Difference1LabelY1" localSheetId="9" hidden="1">_xll.ContributionDifferenceY(#REF!,#REF!,0,0,0)</definedName>
    <definedName name="VI7_Difference1LabelY1" localSheetId="10" hidden="1">_xll.ContributionDifferenceY(#REF!,#REF!,0,0,0)</definedName>
    <definedName name="VI7_Difference1LabelY1" localSheetId="11" hidden="1">_xll.ContributionDifferenceY(#REF!,#REF!,0,0,0)</definedName>
    <definedName name="VI7_Difference1LabelY1" localSheetId="12"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localSheetId="7" hidden="1">_xll.ContributionDifferenceY(#REF!,#REF!,0,0,0)</definedName>
    <definedName name="VI7_Difference1LabelY2" localSheetId="8" hidden="1">_xll.ContributionDifferenceY(#REF!,#REF!,0,0,0)</definedName>
    <definedName name="VI7_Difference1LabelY2" localSheetId="9" hidden="1">_xll.ContributionDifferenceY(#REF!,#REF!,0,0,0)</definedName>
    <definedName name="VI7_Difference1LabelY2" localSheetId="10" hidden="1">_xll.ContributionDifferenceY(#REF!,#REF!,0,0,0)</definedName>
    <definedName name="VI7_Difference1LabelY2" localSheetId="11" hidden="1">_xll.ContributionDifferenceY(#REF!,#REF!,0,0,0)</definedName>
    <definedName name="VI7_Difference1LabelY2" localSheetId="12"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localSheetId="7" hidden="1">_xll.LabelOffset(#REF!,#REF!,204,10,"$#,##0.0",1,0,0)</definedName>
    <definedName name="VI7_LabelOffsetMax" localSheetId="8" hidden="1">_xll.LabelOffset(#REF!,#REF!,204,10,"$#,##0.0",1,0,0)</definedName>
    <definedName name="VI7_LabelOffsetMax" localSheetId="9" hidden="1">_xll.LabelOffset(#REF!,#REF!,204,10,"$#,##0.0",1,0,0)</definedName>
    <definedName name="VI7_LabelOffsetMax" localSheetId="10" hidden="1">_xll.LabelOffset(#REF!,#REF!,204,10,"$#,##0.0",1,0,0)</definedName>
    <definedName name="VI7_LabelOffsetMax" localSheetId="11" hidden="1">_xll.LabelOffset(#REF!,#REF!,204,10,"$#,##0.0",1,0,0)</definedName>
    <definedName name="VI7_LabelOffsetMax" localSheetId="12"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localSheetId="7" hidden="1">_xll.LabelOffset(#REF!,#REF!,204,10,"$#,##0.0",0,0,0)</definedName>
    <definedName name="VI7_LabelOffsetMin" localSheetId="8" hidden="1">_xll.LabelOffset(#REF!,#REF!,204,10,"$#,##0.0",0,0,0)</definedName>
    <definedName name="VI7_LabelOffsetMin" localSheetId="9" hidden="1">_xll.LabelOffset(#REF!,#REF!,204,10,"$#,##0.0",0,0,0)</definedName>
    <definedName name="VI7_LabelOffsetMin" localSheetId="10" hidden="1">_xll.LabelOffset(#REF!,#REF!,204,10,"$#,##0.0",0,0,0)</definedName>
    <definedName name="VI7_LabelOffsetMin" localSheetId="11" hidden="1">_xll.LabelOffset(#REF!,#REF!,204,10,"$#,##0.0",0,0,0)</definedName>
    <definedName name="VI7_LabelOffsetMin" localSheetId="12"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localSheetId="7" hidden="1">_xll.MaxFromSeriesWithBreak(#REF!,#REF!,0)</definedName>
    <definedName name="VI7_Max" localSheetId="8" hidden="1">_xll.MaxFromSeriesWithBreak(#REF!,#REF!,0)</definedName>
    <definedName name="VI7_Max" localSheetId="9" hidden="1">_xll.MaxFromSeriesWithBreak(#REF!,#REF!,0)</definedName>
    <definedName name="VI7_Max" localSheetId="10" hidden="1">_xll.MaxFromSeriesWithBreak(#REF!,#REF!,0)</definedName>
    <definedName name="VI7_Max" localSheetId="11" hidden="1">_xll.MaxFromSeriesWithBreak(#REF!,#REF!,0)</definedName>
    <definedName name="VI7_Max" localSheetId="12"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localSheetId="7" hidden="1">_xll.MinFromSeries(#REF!)</definedName>
    <definedName name="VI7_Min" localSheetId="8" hidden="1">_xll.MinFromSeries(#REF!)</definedName>
    <definedName name="VI7_Min" localSheetId="9" hidden="1">_xll.MinFromSeries(#REF!)</definedName>
    <definedName name="VI7_Min" localSheetId="10" hidden="1">_xll.MinFromSeries(#REF!)</definedName>
    <definedName name="VI7_Min" localSheetId="11" hidden="1">_xll.MinFromSeries(#REF!)</definedName>
    <definedName name="VI7_Min" localSheetId="12"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7" i="13" l="1"/>
  <c r="G237" i="13"/>
  <c r="C237" i="13"/>
  <c r="G236" i="13"/>
  <c r="G235" i="13"/>
  <c r="C226" i="13"/>
  <c r="C220" i="13"/>
  <c r="C205" i="13"/>
  <c r="C244" i="13" s="1"/>
  <c r="H201" i="13"/>
  <c r="G201" i="13"/>
  <c r="F187" i="13"/>
  <c r="C187" i="13"/>
  <c r="F137" i="13"/>
  <c r="C137" i="13"/>
  <c r="C136" i="13"/>
  <c r="G135" i="13"/>
  <c r="C135" i="13"/>
  <c r="C132" i="13"/>
  <c r="F131" i="13"/>
  <c r="C131" i="13"/>
  <c r="C130" i="13"/>
  <c r="G126" i="13"/>
  <c r="L117" i="13"/>
  <c r="K117" i="13"/>
  <c r="J117" i="13"/>
  <c r="I117" i="13"/>
  <c r="H117" i="13"/>
  <c r="C116" i="13"/>
  <c r="C115" i="13"/>
  <c r="C114" i="13"/>
  <c r="C214" i="13" s="1"/>
  <c r="C245" i="13" s="1"/>
  <c r="G96" i="13"/>
  <c r="G86" i="13"/>
  <c r="F86" i="13"/>
  <c r="G85" i="13"/>
  <c r="H85" i="13" s="1"/>
  <c r="I85" i="13" s="1"/>
  <c r="J85" i="13" s="1"/>
  <c r="K85" i="13" s="1"/>
  <c r="L85" i="13" s="1"/>
  <c r="F85" i="13"/>
  <c r="H83" i="13"/>
  <c r="I83" i="13" s="1"/>
  <c r="J83" i="13" s="1"/>
  <c r="K83" i="13" s="1"/>
  <c r="L83" i="13" s="1"/>
  <c r="G83" i="13"/>
  <c r="F83" i="13"/>
  <c r="L82" i="13"/>
  <c r="K82" i="13"/>
  <c r="J82" i="13"/>
  <c r="I82" i="13"/>
  <c r="H82" i="13"/>
  <c r="G81" i="13"/>
  <c r="F81" i="13"/>
  <c r="G80" i="13"/>
  <c r="F80" i="13"/>
  <c r="G79" i="13"/>
  <c r="F79" i="13"/>
  <c r="G78" i="13"/>
  <c r="F78" i="13"/>
  <c r="F82" i="13" s="1"/>
  <c r="G76" i="13"/>
  <c r="G137" i="13" s="1"/>
  <c r="F76" i="13"/>
  <c r="G75" i="13"/>
  <c r="G136" i="13" s="1"/>
  <c r="F75" i="13"/>
  <c r="F136" i="13" s="1"/>
  <c r="G74" i="13"/>
  <c r="F74" i="13"/>
  <c r="G69" i="13"/>
  <c r="H69" i="13" s="1"/>
  <c r="F69" i="13"/>
  <c r="G67" i="13"/>
  <c r="F67" i="13"/>
  <c r="G63" i="13"/>
  <c r="G132" i="13" s="1"/>
  <c r="F63" i="13"/>
  <c r="F132" i="13" s="1"/>
  <c r="G62" i="13"/>
  <c r="G131" i="13" s="1"/>
  <c r="F62" i="13"/>
  <c r="G61" i="13"/>
  <c r="G130" i="13" s="1"/>
  <c r="F61" i="13"/>
  <c r="G60" i="13"/>
  <c r="G168" i="13" s="1"/>
  <c r="F60" i="13"/>
  <c r="F168" i="13" s="1"/>
  <c r="H56" i="13"/>
  <c r="G56" i="13"/>
  <c r="F56" i="13" s="1"/>
  <c r="G36" i="13"/>
  <c r="G32" i="13"/>
  <c r="F32" i="13"/>
  <c r="G30" i="13"/>
  <c r="F30" i="13"/>
  <c r="L29" i="13"/>
  <c r="K29" i="13"/>
  <c r="J29" i="13"/>
  <c r="I29" i="13"/>
  <c r="H29" i="13"/>
  <c r="G29" i="13"/>
  <c r="F29" i="13"/>
  <c r="C28" i="13"/>
  <c r="C27" i="13"/>
  <c r="C26" i="13"/>
  <c r="G21" i="13"/>
  <c r="H21" i="13" s="1"/>
  <c r="H102" i="13" s="1"/>
  <c r="F21" i="13"/>
  <c r="G20" i="13"/>
  <c r="F20" i="13"/>
  <c r="G17" i="13"/>
  <c r="G147" i="13" s="1"/>
  <c r="F17" i="13"/>
  <c r="G14" i="13"/>
  <c r="G146" i="13" s="1"/>
  <c r="F14" i="13"/>
  <c r="F146" i="13" s="1"/>
  <c r="F150" i="13" s="1"/>
  <c r="G13" i="13"/>
  <c r="I11" i="13"/>
  <c r="H11" i="13"/>
  <c r="F11" i="13"/>
  <c r="C187" i="12"/>
  <c r="C137" i="12"/>
  <c r="G136" i="12"/>
  <c r="F136" i="12"/>
  <c r="C136" i="12"/>
  <c r="G135" i="12"/>
  <c r="F135" i="12"/>
  <c r="C135" i="12"/>
  <c r="C132" i="12"/>
  <c r="C131" i="12"/>
  <c r="C130" i="12"/>
  <c r="G126" i="12"/>
  <c r="F126" i="12"/>
  <c r="L117" i="12"/>
  <c r="K117" i="12"/>
  <c r="J117" i="12"/>
  <c r="I117" i="12"/>
  <c r="H117" i="12"/>
  <c r="C116" i="12"/>
  <c r="C115" i="12"/>
  <c r="C114" i="12"/>
  <c r="H96" i="12"/>
  <c r="G96" i="12"/>
  <c r="F96" i="12"/>
  <c r="G86" i="12"/>
  <c r="F86" i="12"/>
  <c r="G85" i="12"/>
  <c r="H85" i="12" s="1"/>
  <c r="I85" i="12" s="1"/>
  <c r="J85" i="12" s="1"/>
  <c r="K85" i="12" s="1"/>
  <c r="L85" i="12" s="1"/>
  <c r="F85" i="12"/>
  <c r="F173" i="12" s="1"/>
  <c r="H83" i="12"/>
  <c r="I83" i="12" s="1"/>
  <c r="J83" i="12" s="1"/>
  <c r="K83" i="12" s="1"/>
  <c r="L83" i="12" s="1"/>
  <c r="G83" i="12"/>
  <c r="F83" i="12"/>
  <c r="L82" i="12"/>
  <c r="K82" i="12"/>
  <c r="J82" i="12"/>
  <c r="I82" i="12"/>
  <c r="H82" i="12"/>
  <c r="G81" i="12"/>
  <c r="F81" i="12"/>
  <c r="G80" i="12"/>
  <c r="F80" i="12"/>
  <c r="G79" i="12"/>
  <c r="F79" i="12"/>
  <c r="G78" i="12"/>
  <c r="F78" i="12"/>
  <c r="G76" i="12"/>
  <c r="G137" i="12" s="1"/>
  <c r="F76" i="12"/>
  <c r="F137" i="12" s="1"/>
  <c r="G75" i="12"/>
  <c r="F75" i="12"/>
  <c r="G74" i="12"/>
  <c r="F74" i="12"/>
  <c r="F77" i="12" s="1"/>
  <c r="G69" i="12"/>
  <c r="F69" i="12"/>
  <c r="G67" i="12"/>
  <c r="D187" i="12" s="1"/>
  <c r="G187" i="12" s="1"/>
  <c r="H187" i="12" s="1"/>
  <c r="F67" i="12"/>
  <c r="G63" i="12"/>
  <c r="G132" i="12" s="1"/>
  <c r="F63" i="12"/>
  <c r="F132" i="12" s="1"/>
  <c r="G62" i="12"/>
  <c r="G131" i="12" s="1"/>
  <c r="F62" i="12"/>
  <c r="F131" i="12" s="1"/>
  <c r="G61" i="12"/>
  <c r="G130" i="12" s="1"/>
  <c r="F61" i="12"/>
  <c r="F130" i="12" s="1"/>
  <c r="G60" i="12"/>
  <c r="G168" i="12" s="1"/>
  <c r="F60" i="12"/>
  <c r="G56" i="12"/>
  <c r="F56" i="12"/>
  <c r="G36" i="12"/>
  <c r="G32" i="12"/>
  <c r="F32" i="12"/>
  <c r="G30" i="12"/>
  <c r="F30" i="12"/>
  <c r="L29" i="12"/>
  <c r="K29" i="12"/>
  <c r="J29" i="12"/>
  <c r="I29" i="12"/>
  <c r="H29" i="12"/>
  <c r="G29" i="12"/>
  <c r="F29" i="12"/>
  <c r="C28" i="12"/>
  <c r="C27" i="12"/>
  <c r="C26" i="12"/>
  <c r="G21" i="12"/>
  <c r="F21" i="12"/>
  <c r="G20" i="12"/>
  <c r="F187" i="12" s="1"/>
  <c r="F20" i="12"/>
  <c r="G17" i="12"/>
  <c r="F17" i="12"/>
  <c r="G14" i="12"/>
  <c r="F14" i="12"/>
  <c r="F146" i="12" s="1"/>
  <c r="G13" i="12"/>
  <c r="H11" i="12"/>
  <c r="F11" i="12"/>
  <c r="C188" i="11"/>
  <c r="C187" i="11"/>
  <c r="I185" i="11"/>
  <c r="C189" i="11" s="1"/>
  <c r="H185" i="11"/>
  <c r="G168" i="11"/>
  <c r="F137" i="11"/>
  <c r="C137" i="11"/>
  <c r="C136" i="11"/>
  <c r="C135" i="11"/>
  <c r="C132" i="11"/>
  <c r="C131" i="11"/>
  <c r="C130" i="11"/>
  <c r="I126" i="11"/>
  <c r="H126" i="11"/>
  <c r="G126" i="11"/>
  <c r="L117" i="11"/>
  <c r="K117" i="11"/>
  <c r="J117" i="11"/>
  <c r="I117" i="11"/>
  <c r="H117" i="11"/>
  <c r="C116" i="11"/>
  <c r="C115" i="11"/>
  <c r="C114" i="11"/>
  <c r="I105" i="11"/>
  <c r="H105" i="11"/>
  <c r="L103" i="11"/>
  <c r="L105" i="11" s="1"/>
  <c r="K103" i="11"/>
  <c r="K105" i="11" s="1"/>
  <c r="J103" i="11"/>
  <c r="J105" i="11" s="1"/>
  <c r="I103" i="11"/>
  <c r="H103" i="11"/>
  <c r="I96" i="11"/>
  <c r="H96" i="11"/>
  <c r="G96" i="11"/>
  <c r="G86" i="11"/>
  <c r="F86" i="11"/>
  <c r="G85" i="11"/>
  <c r="H85" i="11" s="1"/>
  <c r="I85" i="11" s="1"/>
  <c r="J85" i="11" s="1"/>
  <c r="K85" i="11" s="1"/>
  <c r="L85" i="11" s="1"/>
  <c r="F85" i="11"/>
  <c r="F173" i="11" s="1"/>
  <c r="G83" i="11"/>
  <c r="H83" i="11" s="1"/>
  <c r="I83" i="11" s="1"/>
  <c r="J83" i="11" s="1"/>
  <c r="K83" i="11" s="1"/>
  <c r="L83" i="11" s="1"/>
  <c r="F83" i="11"/>
  <c r="L82" i="11"/>
  <c r="K82" i="11"/>
  <c r="J82" i="11"/>
  <c r="I82" i="11"/>
  <c r="H82" i="11"/>
  <c r="G81" i="11"/>
  <c r="F81" i="11"/>
  <c r="G80" i="11"/>
  <c r="F80" i="11"/>
  <c r="G79" i="11"/>
  <c r="F79" i="11"/>
  <c r="G78" i="11"/>
  <c r="F78" i="11"/>
  <c r="G76" i="11"/>
  <c r="G137" i="11" s="1"/>
  <c r="F76" i="11"/>
  <c r="G75" i="11"/>
  <c r="F75" i="11"/>
  <c r="G74" i="11"/>
  <c r="G135" i="11" s="1"/>
  <c r="F74" i="11"/>
  <c r="F135" i="11" s="1"/>
  <c r="G69" i="11"/>
  <c r="F69" i="11"/>
  <c r="G67" i="11"/>
  <c r="D187" i="11" s="1"/>
  <c r="G187" i="11" s="1"/>
  <c r="H187" i="11" s="1"/>
  <c r="F67" i="11"/>
  <c r="G63" i="11"/>
  <c r="G132" i="11" s="1"/>
  <c r="F63" i="11"/>
  <c r="F132" i="11" s="1"/>
  <c r="G62" i="11"/>
  <c r="G131" i="11" s="1"/>
  <c r="F62" i="11"/>
  <c r="F131" i="11" s="1"/>
  <c r="G61" i="11"/>
  <c r="G130" i="11" s="1"/>
  <c r="F61" i="11"/>
  <c r="F130" i="11" s="1"/>
  <c r="F133" i="11" s="1"/>
  <c r="G60" i="11"/>
  <c r="F60" i="11"/>
  <c r="I56" i="11"/>
  <c r="G56" i="11"/>
  <c r="F56" i="11" s="1"/>
  <c r="G36" i="11"/>
  <c r="G32" i="11"/>
  <c r="F32" i="11"/>
  <c r="G30" i="11"/>
  <c r="F30" i="11"/>
  <c r="L29" i="11"/>
  <c r="K29" i="11"/>
  <c r="J29" i="11"/>
  <c r="I29" i="11"/>
  <c r="H29" i="11"/>
  <c r="G29" i="11"/>
  <c r="F29" i="11"/>
  <c r="C28" i="11"/>
  <c r="C27" i="11"/>
  <c r="C26" i="11"/>
  <c r="G21" i="11"/>
  <c r="F21" i="11"/>
  <c r="G20" i="11"/>
  <c r="F187" i="11" s="1"/>
  <c r="F20" i="11"/>
  <c r="G17" i="11"/>
  <c r="F17" i="11"/>
  <c r="G14" i="11"/>
  <c r="G146" i="11" s="1"/>
  <c r="F14" i="11"/>
  <c r="F146" i="11" s="1"/>
  <c r="G13" i="11"/>
  <c r="G145" i="11" s="1"/>
  <c r="G149" i="11" s="1"/>
  <c r="I11" i="11"/>
  <c r="J11" i="11" s="1"/>
  <c r="H11" i="11"/>
  <c r="H56" i="11" s="1"/>
  <c r="F11" i="11"/>
  <c r="C157" i="10"/>
  <c r="H155" i="10"/>
  <c r="C158" i="10" s="1"/>
  <c r="F117" i="10"/>
  <c r="F121" i="10" s="1"/>
  <c r="F116" i="10"/>
  <c r="F120" i="10" s="1"/>
  <c r="G115" i="10"/>
  <c r="F107" i="10"/>
  <c r="F125" i="10" s="1"/>
  <c r="C107" i="10"/>
  <c r="C106" i="10"/>
  <c r="C105" i="10"/>
  <c r="F102" i="10"/>
  <c r="C102" i="10"/>
  <c r="G101" i="10"/>
  <c r="F101" i="10"/>
  <c r="C101" i="10"/>
  <c r="G100" i="10"/>
  <c r="C100" i="10"/>
  <c r="H96" i="10"/>
  <c r="G96" i="10"/>
  <c r="F96" i="10"/>
  <c r="G86" i="10"/>
  <c r="F86" i="10"/>
  <c r="G85" i="10"/>
  <c r="H85" i="10" s="1"/>
  <c r="I85" i="10" s="1"/>
  <c r="J85" i="10" s="1"/>
  <c r="K85" i="10" s="1"/>
  <c r="L85" i="10" s="1"/>
  <c r="F85" i="10"/>
  <c r="G83" i="10"/>
  <c r="H83" i="10" s="1"/>
  <c r="I83" i="10" s="1"/>
  <c r="J83" i="10" s="1"/>
  <c r="K83" i="10" s="1"/>
  <c r="L83" i="10" s="1"/>
  <c r="F83" i="10"/>
  <c r="L82" i="10"/>
  <c r="K82" i="10"/>
  <c r="J82" i="10"/>
  <c r="I82" i="10"/>
  <c r="H82" i="10"/>
  <c r="G81" i="10"/>
  <c r="F81" i="10"/>
  <c r="G80" i="10"/>
  <c r="F80" i="10"/>
  <c r="G79" i="10"/>
  <c r="F79" i="10"/>
  <c r="G78" i="10"/>
  <c r="F78" i="10"/>
  <c r="G76" i="10"/>
  <c r="G107" i="10" s="1"/>
  <c r="F76" i="10"/>
  <c r="G75" i="10"/>
  <c r="G106" i="10" s="1"/>
  <c r="F75" i="10"/>
  <c r="F106" i="10" s="1"/>
  <c r="G74" i="10"/>
  <c r="F74" i="10"/>
  <c r="F77" i="10" s="1"/>
  <c r="G69" i="10"/>
  <c r="F69" i="10"/>
  <c r="G67" i="10"/>
  <c r="D157" i="10" s="1"/>
  <c r="G157" i="10" s="1"/>
  <c r="H157" i="10" s="1"/>
  <c r="F67" i="10"/>
  <c r="G63" i="10"/>
  <c r="G102" i="10" s="1"/>
  <c r="F63" i="10"/>
  <c r="G62" i="10"/>
  <c r="F62" i="10"/>
  <c r="G61" i="10"/>
  <c r="F61" i="10"/>
  <c r="F100" i="10" s="1"/>
  <c r="G60" i="10"/>
  <c r="G138" i="10" s="1"/>
  <c r="F60" i="10"/>
  <c r="F64" i="10" s="1"/>
  <c r="G56" i="10"/>
  <c r="F56" i="10"/>
  <c r="G36" i="10"/>
  <c r="G32" i="10"/>
  <c r="F32" i="10"/>
  <c r="G30" i="10"/>
  <c r="F30" i="10"/>
  <c r="L29" i="10"/>
  <c r="K29" i="10"/>
  <c r="J29" i="10"/>
  <c r="I29" i="10"/>
  <c r="H29" i="10"/>
  <c r="G29" i="10"/>
  <c r="F29" i="10"/>
  <c r="C28" i="10"/>
  <c r="C27" i="10"/>
  <c r="C26" i="10"/>
  <c r="G21" i="10"/>
  <c r="F21" i="10"/>
  <c r="G20" i="10"/>
  <c r="F157" i="10" s="1"/>
  <c r="F20" i="10"/>
  <c r="G17" i="10"/>
  <c r="F17" i="10"/>
  <c r="G14" i="10"/>
  <c r="F14" i="10"/>
  <c r="G13" i="10"/>
  <c r="G132" i="10" s="1"/>
  <c r="H11" i="10"/>
  <c r="H56" i="10" s="1"/>
  <c r="F11" i="10"/>
  <c r="F157" i="9"/>
  <c r="D157" i="9"/>
  <c r="G157" i="9" s="1"/>
  <c r="H157" i="9" s="1"/>
  <c r="C157" i="9"/>
  <c r="I155" i="9"/>
  <c r="C159" i="9" s="1"/>
  <c r="H155" i="9"/>
  <c r="C158" i="9" s="1"/>
  <c r="L108" i="9"/>
  <c r="K108" i="9"/>
  <c r="K109" i="9" s="1"/>
  <c r="J108" i="9"/>
  <c r="J109" i="9" s="1"/>
  <c r="I108" i="9"/>
  <c r="H108" i="9"/>
  <c r="H109" i="9" s="1"/>
  <c r="G108" i="9"/>
  <c r="F108" i="9"/>
  <c r="C107" i="9"/>
  <c r="C106" i="9"/>
  <c r="C105" i="9"/>
  <c r="L103" i="9"/>
  <c r="L109" i="9" s="1"/>
  <c r="K103" i="9"/>
  <c r="J103" i="9"/>
  <c r="I103" i="9"/>
  <c r="H103" i="9"/>
  <c r="G103" i="9"/>
  <c r="G109" i="9" s="1"/>
  <c r="F103" i="9"/>
  <c r="F109" i="9" s="1"/>
  <c r="C102" i="9"/>
  <c r="C101" i="9"/>
  <c r="C100" i="9"/>
  <c r="H96" i="9"/>
  <c r="G96" i="9"/>
  <c r="G86" i="9"/>
  <c r="F86" i="9"/>
  <c r="G85" i="9"/>
  <c r="F85" i="9"/>
  <c r="G83" i="9"/>
  <c r="H83" i="9" s="1"/>
  <c r="H84" i="9" s="1"/>
  <c r="F83" i="9"/>
  <c r="L82" i="9"/>
  <c r="K82" i="9"/>
  <c r="J82" i="9"/>
  <c r="I82" i="9"/>
  <c r="H82" i="9"/>
  <c r="G81" i="9"/>
  <c r="F81" i="9"/>
  <c r="G80" i="9"/>
  <c r="F80" i="9"/>
  <c r="G79" i="9"/>
  <c r="F79" i="9"/>
  <c r="G78" i="9"/>
  <c r="F78" i="9"/>
  <c r="L77" i="9"/>
  <c r="K77" i="9"/>
  <c r="J77" i="9"/>
  <c r="I77" i="9"/>
  <c r="H77" i="9"/>
  <c r="G76" i="9"/>
  <c r="F76" i="9"/>
  <c r="G75" i="9"/>
  <c r="F75" i="9"/>
  <c r="G74" i="9"/>
  <c r="F74" i="9"/>
  <c r="G69" i="9"/>
  <c r="F69" i="9"/>
  <c r="G67" i="9"/>
  <c r="F67" i="9"/>
  <c r="L64" i="9"/>
  <c r="K64" i="9"/>
  <c r="J64" i="9"/>
  <c r="I64" i="9"/>
  <c r="H64" i="9"/>
  <c r="G63" i="9"/>
  <c r="F63" i="9"/>
  <c r="F64" i="9" s="1"/>
  <c r="G62" i="9"/>
  <c r="F62" i="9"/>
  <c r="G61" i="9"/>
  <c r="F61" i="9"/>
  <c r="G60" i="9"/>
  <c r="F60" i="9"/>
  <c r="F138" i="9" s="1"/>
  <c r="H56" i="9"/>
  <c r="G56" i="9"/>
  <c r="F56" i="9" s="1"/>
  <c r="G36" i="9"/>
  <c r="G32" i="9"/>
  <c r="F32" i="9"/>
  <c r="G30" i="9"/>
  <c r="F30" i="9"/>
  <c r="L29" i="9"/>
  <c r="K29" i="9"/>
  <c r="J29" i="9"/>
  <c r="I29" i="9"/>
  <c r="H29" i="9"/>
  <c r="G29" i="9"/>
  <c r="F29" i="9"/>
  <c r="C28" i="9"/>
  <c r="C27" i="9"/>
  <c r="C26" i="9"/>
  <c r="G21" i="9"/>
  <c r="H21" i="9" s="1"/>
  <c r="F21" i="9"/>
  <c r="G20" i="9"/>
  <c r="F20" i="9"/>
  <c r="G17" i="9"/>
  <c r="F17" i="9"/>
  <c r="G14" i="9"/>
  <c r="F14" i="9"/>
  <c r="G13" i="9"/>
  <c r="I11" i="9"/>
  <c r="H11" i="9"/>
  <c r="F11" i="9"/>
  <c r="F96" i="9" s="1"/>
  <c r="C120" i="8"/>
  <c r="C119" i="8"/>
  <c r="H117" i="8"/>
  <c r="G86" i="8"/>
  <c r="F86" i="8"/>
  <c r="G85" i="8"/>
  <c r="H85" i="8" s="1"/>
  <c r="I85" i="8" s="1"/>
  <c r="J85" i="8" s="1"/>
  <c r="K85" i="8" s="1"/>
  <c r="L85" i="8" s="1"/>
  <c r="F85" i="8"/>
  <c r="G83" i="8"/>
  <c r="H83" i="8" s="1"/>
  <c r="H84" i="8" s="1"/>
  <c r="F83" i="8"/>
  <c r="L82" i="8"/>
  <c r="K82" i="8"/>
  <c r="J82" i="8"/>
  <c r="I82" i="8"/>
  <c r="H82" i="8"/>
  <c r="G81" i="8"/>
  <c r="F81" i="8"/>
  <c r="G80" i="8"/>
  <c r="F80" i="8"/>
  <c r="G79" i="8"/>
  <c r="F79" i="8"/>
  <c r="F82" i="8" s="1"/>
  <c r="G78" i="8"/>
  <c r="G82" i="8" s="1"/>
  <c r="F78" i="8"/>
  <c r="L77" i="8"/>
  <c r="K77" i="8"/>
  <c r="J77" i="8"/>
  <c r="I77" i="8"/>
  <c r="H77" i="8"/>
  <c r="G76" i="8"/>
  <c r="F76" i="8"/>
  <c r="G75" i="8"/>
  <c r="F75" i="8"/>
  <c r="G74" i="8"/>
  <c r="F74" i="8"/>
  <c r="G69" i="8"/>
  <c r="F69" i="8"/>
  <c r="G67" i="8"/>
  <c r="D119" i="8" s="1"/>
  <c r="G119" i="8" s="1"/>
  <c r="H119" i="8" s="1"/>
  <c r="F67" i="8"/>
  <c r="L64" i="8"/>
  <c r="K64" i="8"/>
  <c r="J64" i="8"/>
  <c r="I64" i="8"/>
  <c r="H64" i="8"/>
  <c r="G63" i="8"/>
  <c r="F63" i="8"/>
  <c r="G62" i="8"/>
  <c r="F62" i="8"/>
  <c r="G61" i="8"/>
  <c r="F61" i="8"/>
  <c r="G60" i="8"/>
  <c r="F60" i="8"/>
  <c r="G56" i="8"/>
  <c r="F56" i="8"/>
  <c r="G36" i="8"/>
  <c r="G32" i="8"/>
  <c r="F32" i="8"/>
  <c r="G30" i="8"/>
  <c r="F30" i="8"/>
  <c r="L29" i="8"/>
  <c r="K29" i="8"/>
  <c r="J29" i="8"/>
  <c r="I29" i="8"/>
  <c r="H29" i="8"/>
  <c r="G29" i="8"/>
  <c r="F29" i="8"/>
  <c r="C28" i="8"/>
  <c r="C27" i="8"/>
  <c r="C26" i="8"/>
  <c r="G21" i="8"/>
  <c r="F21" i="8"/>
  <c r="G20" i="8"/>
  <c r="F119" i="8" s="1"/>
  <c r="F20" i="8"/>
  <c r="G17" i="8"/>
  <c r="F17" i="8"/>
  <c r="G14" i="8"/>
  <c r="F14" i="8"/>
  <c r="G13" i="8"/>
  <c r="I11" i="8"/>
  <c r="H11" i="8"/>
  <c r="H56" i="8" s="1"/>
  <c r="F11" i="8"/>
  <c r="F119" i="7"/>
  <c r="C119" i="7"/>
  <c r="H87" i="7"/>
  <c r="G86" i="7"/>
  <c r="F86" i="7"/>
  <c r="G85" i="7"/>
  <c r="F85" i="7"/>
  <c r="K84" i="7"/>
  <c r="K87" i="7" s="1"/>
  <c r="G83" i="7"/>
  <c r="F83" i="7"/>
  <c r="L82" i="7"/>
  <c r="K82" i="7"/>
  <c r="J82" i="7"/>
  <c r="J84" i="7" s="1"/>
  <c r="J87" i="7" s="1"/>
  <c r="I82" i="7"/>
  <c r="H82" i="7"/>
  <c r="H84" i="7" s="1"/>
  <c r="G81" i="7"/>
  <c r="F81" i="7"/>
  <c r="G80" i="7"/>
  <c r="F80" i="7"/>
  <c r="G79" i="7"/>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F61" i="7"/>
  <c r="G60" i="7"/>
  <c r="G100" i="7" s="1"/>
  <c r="F60" i="7"/>
  <c r="F100" i="7" s="1"/>
  <c r="G56" i="7"/>
  <c r="F56" i="7" s="1"/>
  <c r="G32" i="7"/>
  <c r="F32" i="7"/>
  <c r="G30" i="7"/>
  <c r="F30" i="7"/>
  <c r="L29" i="7"/>
  <c r="K29" i="7"/>
  <c r="J29" i="7"/>
  <c r="I29" i="7"/>
  <c r="H29" i="7"/>
  <c r="G29" i="7"/>
  <c r="F29" i="7"/>
  <c r="C28" i="7"/>
  <c r="C27" i="7"/>
  <c r="C26" i="7"/>
  <c r="G21" i="7"/>
  <c r="H21" i="7" s="1"/>
  <c r="I21" i="7" s="1"/>
  <c r="J21" i="7" s="1"/>
  <c r="K21" i="7" s="1"/>
  <c r="L21" i="7" s="1"/>
  <c r="F21" i="7"/>
  <c r="G20" i="7"/>
  <c r="F20" i="7"/>
  <c r="G17" i="7"/>
  <c r="F17" i="7"/>
  <c r="G14" i="7"/>
  <c r="F14" i="7"/>
  <c r="H11" i="7"/>
  <c r="F11" i="7"/>
  <c r="C119" i="6"/>
  <c r="H117" i="6"/>
  <c r="C120" i="6" s="1"/>
  <c r="G100" i="6"/>
  <c r="F100" i="6"/>
  <c r="G86" i="6"/>
  <c r="F86" i="6"/>
  <c r="G85" i="6"/>
  <c r="F85" i="6"/>
  <c r="F105" i="6" s="1"/>
  <c r="G83" i="6"/>
  <c r="F83" i="6"/>
  <c r="G81" i="6"/>
  <c r="F81" i="6"/>
  <c r="G80" i="6"/>
  <c r="F80" i="6"/>
  <c r="G79" i="6"/>
  <c r="F79" i="6"/>
  <c r="G78" i="6"/>
  <c r="F78" i="6"/>
  <c r="F82" i="6" s="1"/>
  <c r="G76" i="6"/>
  <c r="G77" i="6" s="1"/>
  <c r="F76" i="6"/>
  <c r="G75" i="6"/>
  <c r="F75" i="6"/>
  <c r="G74" i="6"/>
  <c r="F74" i="6"/>
  <c r="G69" i="6"/>
  <c r="F69" i="6"/>
  <c r="G67" i="6"/>
  <c r="D119" i="6" s="1"/>
  <c r="G119" i="6" s="1"/>
  <c r="H119" i="6" s="1"/>
  <c r="H126" i="6" s="1"/>
  <c r="H20" i="6" s="1"/>
  <c r="F67" i="6"/>
  <c r="G63" i="6"/>
  <c r="F63" i="6"/>
  <c r="F64" i="6" s="1"/>
  <c r="F70" i="6" s="1"/>
  <c r="G62" i="6"/>
  <c r="F62" i="6"/>
  <c r="G61" i="6"/>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H85" i="9" l="1"/>
  <c r="I85" i="9" s="1"/>
  <c r="J85" i="9" s="1"/>
  <c r="K85" i="9" s="1"/>
  <c r="L85" i="9" s="1"/>
  <c r="G143" i="9"/>
  <c r="G43" i="11"/>
  <c r="G94" i="5"/>
  <c r="F153" i="12"/>
  <c r="F138" i="12"/>
  <c r="F141" i="10"/>
  <c r="G82" i="7"/>
  <c r="F168" i="12"/>
  <c r="F64" i="12"/>
  <c r="F169" i="12" s="1"/>
  <c r="G155" i="13"/>
  <c r="G105" i="6"/>
  <c r="G82" i="9"/>
  <c r="G151" i="13"/>
  <c r="G82" i="13"/>
  <c r="G77" i="9"/>
  <c r="G84" i="9" s="1"/>
  <c r="G87" i="9" s="1"/>
  <c r="F82" i="9"/>
  <c r="F138" i="10"/>
  <c r="G64" i="6"/>
  <c r="G44" i="8"/>
  <c r="G44" i="9"/>
  <c r="F105" i="10"/>
  <c r="F108" i="10" s="1"/>
  <c r="G143" i="10"/>
  <c r="F173" i="13"/>
  <c r="G64" i="7"/>
  <c r="G70" i="7" s="1"/>
  <c r="F70" i="10"/>
  <c r="F140" i="10" s="1"/>
  <c r="G69" i="4"/>
  <c r="G82" i="6"/>
  <c r="G43" i="8"/>
  <c r="G43" i="9"/>
  <c r="F103" i="10"/>
  <c r="F109" i="10" s="1"/>
  <c r="G44" i="11"/>
  <c r="G82" i="5"/>
  <c r="G84" i="5" s="1"/>
  <c r="G87" i="5" s="1"/>
  <c r="G64" i="9"/>
  <c r="G139" i="9" s="1"/>
  <c r="G77" i="13"/>
  <c r="G84" i="13" s="1"/>
  <c r="G87" i="13" s="1"/>
  <c r="G89" i="13" s="1"/>
  <c r="F150" i="11"/>
  <c r="G154" i="13"/>
  <c r="G77" i="5"/>
  <c r="F77" i="6"/>
  <c r="F64" i="13"/>
  <c r="F70" i="13" s="1"/>
  <c r="F51" i="4"/>
  <c r="F57" i="4" s="1"/>
  <c r="F89" i="4" s="1"/>
  <c r="F64" i="4"/>
  <c r="F90" i="4" s="1"/>
  <c r="H21" i="10"/>
  <c r="F70" i="12"/>
  <c r="F170" i="12" s="1"/>
  <c r="G150" i="13"/>
  <c r="H150" i="13" s="1"/>
  <c r="I150" i="13" s="1"/>
  <c r="J150" i="13" s="1"/>
  <c r="K150" i="13" s="1"/>
  <c r="L150" i="13" s="1"/>
  <c r="F102" i="6"/>
  <c r="G163" i="12"/>
  <c r="I119" i="7"/>
  <c r="I126" i="7" s="1"/>
  <c r="I20" i="7" s="1"/>
  <c r="H126" i="7"/>
  <c r="H20" i="7" s="1"/>
  <c r="J119" i="7"/>
  <c r="J126" i="7" s="1"/>
  <c r="J20" i="7" s="1"/>
  <c r="G102" i="7"/>
  <c r="F44" i="8"/>
  <c r="H44" i="8" s="1"/>
  <c r="G150" i="11"/>
  <c r="H150" i="11" s="1"/>
  <c r="I150" i="11" s="1"/>
  <c r="J150" i="11" s="1"/>
  <c r="K150" i="11" s="1"/>
  <c r="L150" i="11" s="1"/>
  <c r="G133" i="11"/>
  <c r="I187" i="12"/>
  <c r="F22" i="3"/>
  <c r="F31" i="3" s="1"/>
  <c r="F33" i="3" s="1"/>
  <c r="F34" i="3" s="1"/>
  <c r="F19" i="3"/>
  <c r="I56" i="5"/>
  <c r="J11" i="5"/>
  <c r="I56" i="8"/>
  <c r="J11" i="8"/>
  <c r="I117" i="8"/>
  <c r="C121" i="8" s="1"/>
  <c r="G117" i="10"/>
  <c r="G44" i="10"/>
  <c r="H69" i="11"/>
  <c r="F64" i="8"/>
  <c r="F100" i="8"/>
  <c r="G77" i="8"/>
  <c r="I83" i="9"/>
  <c r="I157" i="9"/>
  <c r="G64" i="10"/>
  <c r="F82" i="11"/>
  <c r="I187" i="11"/>
  <c r="J187" i="11"/>
  <c r="J11" i="3"/>
  <c r="I43" i="3"/>
  <c r="I11" i="4"/>
  <c r="H43" i="4"/>
  <c r="J19" i="5"/>
  <c r="J22" i="5"/>
  <c r="J31" i="5" s="1"/>
  <c r="J33" i="5" s="1"/>
  <c r="J34" i="5" s="1"/>
  <c r="I117" i="6"/>
  <c r="C121" i="6" s="1"/>
  <c r="I56" i="6"/>
  <c r="J11" i="6"/>
  <c r="F70" i="9"/>
  <c r="F139" i="9"/>
  <c r="F44" i="11"/>
  <c r="H44" i="11" s="1"/>
  <c r="G48" i="13"/>
  <c r="H48" i="13" s="1"/>
  <c r="G15" i="13"/>
  <c r="G163" i="13" s="1"/>
  <c r="G145" i="13"/>
  <c r="G149" i="13" s="1"/>
  <c r="D187" i="13"/>
  <c r="G187" i="13" s="1"/>
  <c r="H187" i="13" s="1"/>
  <c r="F132" i="10"/>
  <c r="F13" i="13"/>
  <c r="F44" i="13" s="1"/>
  <c r="F13" i="11"/>
  <c r="F13" i="6"/>
  <c r="F15" i="6" s="1"/>
  <c r="F13" i="5"/>
  <c r="F15" i="5" s="1"/>
  <c r="F13" i="10"/>
  <c r="F13" i="4"/>
  <c r="F15" i="4" s="1"/>
  <c r="D19" i="2"/>
  <c r="F13" i="7"/>
  <c r="F15" i="7" s="1"/>
  <c r="F94" i="7"/>
  <c r="F94" i="8"/>
  <c r="H69" i="9"/>
  <c r="G150" i="12"/>
  <c r="G133" i="10"/>
  <c r="G95" i="5"/>
  <c r="E34" i="2"/>
  <c r="E21" i="2"/>
  <c r="G43" i="7"/>
  <c r="H21" i="8"/>
  <c r="H69" i="8"/>
  <c r="I157" i="10"/>
  <c r="J157" i="10" s="1"/>
  <c r="J126" i="11"/>
  <c r="J96" i="11"/>
  <c r="K11" i="11"/>
  <c r="J185" i="11"/>
  <c r="C190" i="11" s="1"/>
  <c r="J56" i="11"/>
  <c r="G43" i="13"/>
  <c r="F84" i="7"/>
  <c r="F87" i="7" s="1"/>
  <c r="F135" i="13"/>
  <c r="F77" i="13"/>
  <c r="F84" i="13" s="1"/>
  <c r="F87" i="13" s="1"/>
  <c r="F89" i="13" s="1"/>
  <c r="F81" i="4"/>
  <c r="F64" i="5"/>
  <c r="F100" i="5"/>
  <c r="F84" i="5"/>
  <c r="F87" i="5" s="1"/>
  <c r="F103" i="7"/>
  <c r="F13" i="8"/>
  <c r="F15" i="8" s="1"/>
  <c r="G100" i="8"/>
  <c r="G64" i="8"/>
  <c r="F84" i="10"/>
  <c r="F87" i="10" s="1"/>
  <c r="F13" i="12"/>
  <c r="G64" i="12"/>
  <c r="G70" i="12" s="1"/>
  <c r="G170" i="12" s="1"/>
  <c r="C236" i="13"/>
  <c r="C246" i="13"/>
  <c r="G41" i="8"/>
  <c r="H41" i="8" s="1"/>
  <c r="G15" i="8"/>
  <c r="G94" i="8"/>
  <c r="G48" i="8"/>
  <c r="H48" i="8" s="1"/>
  <c r="I83" i="8"/>
  <c r="J83" i="8" s="1"/>
  <c r="I119" i="8"/>
  <c r="J11" i="9"/>
  <c r="I56" i="9"/>
  <c r="I96" i="9"/>
  <c r="G121" i="10"/>
  <c r="H121" i="10" s="1"/>
  <c r="G64" i="11"/>
  <c r="F153" i="11"/>
  <c r="F147" i="11"/>
  <c r="G15" i="12"/>
  <c r="G145" i="12"/>
  <c r="G149" i="12" s="1"/>
  <c r="D79" i="2"/>
  <c r="G71" i="4"/>
  <c r="G74" i="4" s="1"/>
  <c r="F84" i="6"/>
  <c r="F87" i="6" s="1"/>
  <c r="F108" i="6" s="1"/>
  <c r="G119" i="10"/>
  <c r="G103" i="10"/>
  <c r="F123" i="10"/>
  <c r="G15" i="11"/>
  <c r="G163" i="11" s="1"/>
  <c r="H21" i="11"/>
  <c r="G153" i="11"/>
  <c r="G147" i="11"/>
  <c r="G151" i="11" s="1"/>
  <c r="G138" i="12"/>
  <c r="G18" i="5"/>
  <c r="F13" i="9"/>
  <c r="F43" i="9" s="1"/>
  <c r="H43" i="9" s="1"/>
  <c r="G138" i="9"/>
  <c r="G105" i="10"/>
  <c r="G77" i="10"/>
  <c r="F64" i="11"/>
  <c r="F136" i="11"/>
  <c r="F154" i="11" s="1"/>
  <c r="F77" i="11"/>
  <c r="F84" i="11" s="1"/>
  <c r="F87" i="11" s="1"/>
  <c r="I185" i="13"/>
  <c r="C189" i="13" s="1"/>
  <c r="I126" i="13"/>
  <c r="I56" i="13"/>
  <c r="J11" i="13"/>
  <c r="I96" i="13"/>
  <c r="I201" i="13"/>
  <c r="G133" i="13"/>
  <c r="F171" i="12"/>
  <c r="F103" i="6"/>
  <c r="F103" i="5"/>
  <c r="D69" i="2"/>
  <c r="H56" i="7"/>
  <c r="H117" i="7"/>
  <c r="C120" i="7" s="1"/>
  <c r="I11" i="7"/>
  <c r="G132" i="9"/>
  <c r="G15" i="9"/>
  <c r="G133" i="9" s="1"/>
  <c r="G48" i="9"/>
  <c r="H48" i="9" s="1"/>
  <c r="G141" i="9"/>
  <c r="G43" i="10"/>
  <c r="G116" i="10"/>
  <c r="G120" i="10" s="1"/>
  <c r="H120" i="10" s="1"/>
  <c r="I120" i="10" s="1"/>
  <c r="J120" i="10" s="1"/>
  <c r="K120" i="10" s="1"/>
  <c r="L120" i="10" s="1"/>
  <c r="G136" i="11"/>
  <c r="G77" i="11"/>
  <c r="G77" i="7"/>
  <c r="I109" i="9"/>
  <c r="F124" i="10"/>
  <c r="F82" i="10"/>
  <c r="F126" i="11"/>
  <c r="F96" i="11"/>
  <c r="G162" i="11"/>
  <c r="F147" i="12"/>
  <c r="F151" i="12" s="1"/>
  <c r="F44" i="12"/>
  <c r="H44" i="12" s="1"/>
  <c r="G82" i="12"/>
  <c r="K22" i="5"/>
  <c r="K31" i="5" s="1"/>
  <c r="K33" i="5" s="1"/>
  <c r="K34" i="5" s="1"/>
  <c r="G44" i="6"/>
  <c r="G170" i="13"/>
  <c r="G22" i="3"/>
  <c r="G31" i="3" s="1"/>
  <c r="G33" i="3" s="1"/>
  <c r="G34" i="3" s="1"/>
  <c r="G51" i="4"/>
  <c r="H117" i="5"/>
  <c r="C120" i="5" s="1"/>
  <c r="H56" i="5"/>
  <c r="L19" i="5"/>
  <c r="L22" i="5"/>
  <c r="L31" i="5" s="1"/>
  <c r="L33" i="5" s="1"/>
  <c r="L34" i="5" s="1"/>
  <c r="F43" i="8"/>
  <c r="H43" i="8" s="1"/>
  <c r="I11" i="10"/>
  <c r="G82" i="10"/>
  <c r="G48" i="11"/>
  <c r="H48" i="11" s="1"/>
  <c r="G155" i="11"/>
  <c r="G82" i="11"/>
  <c r="G146" i="12"/>
  <c r="G153" i="12" s="1"/>
  <c r="G43" i="12"/>
  <c r="G44" i="12"/>
  <c r="G147" i="12"/>
  <c r="G154" i="12" s="1"/>
  <c r="I21" i="13"/>
  <c r="I69" i="13" s="1"/>
  <c r="F130" i="13"/>
  <c r="F170" i="13"/>
  <c r="G171" i="11"/>
  <c r="G90" i="4"/>
  <c r="G103" i="6"/>
  <c r="E69" i="2"/>
  <c r="G84" i="6"/>
  <c r="G87" i="6" s="1"/>
  <c r="H70" i="7"/>
  <c r="G141" i="10"/>
  <c r="F168" i="11"/>
  <c r="G48" i="12"/>
  <c r="H48" i="12" s="1"/>
  <c r="G153" i="13"/>
  <c r="G138" i="13"/>
  <c r="I119" i="6"/>
  <c r="I84" i="7"/>
  <c r="I87" i="7" s="1"/>
  <c r="G15" i="10"/>
  <c r="G41" i="10"/>
  <c r="H41" i="10" s="1"/>
  <c r="G48" i="10"/>
  <c r="H48" i="10" s="1"/>
  <c r="J119" i="6"/>
  <c r="J126" i="6" s="1"/>
  <c r="J20" i="6" s="1"/>
  <c r="H126" i="12"/>
  <c r="H185" i="12"/>
  <c r="C188" i="12" s="1"/>
  <c r="H56" i="12"/>
  <c r="H21" i="12"/>
  <c r="F201" i="13"/>
  <c r="F126" i="13"/>
  <c r="F96" i="13"/>
  <c r="G173" i="12"/>
  <c r="G105" i="8"/>
  <c r="G105" i="7"/>
  <c r="G173" i="13"/>
  <c r="G173" i="11"/>
  <c r="G15" i="4"/>
  <c r="G82" i="4" s="1"/>
  <c r="G103" i="5"/>
  <c r="F64" i="7"/>
  <c r="F70" i="7" s="1"/>
  <c r="F77" i="8"/>
  <c r="F77" i="9"/>
  <c r="I11" i="12"/>
  <c r="H96" i="13"/>
  <c r="H126" i="13"/>
  <c r="H185" i="13"/>
  <c r="C188" i="13" s="1"/>
  <c r="G162" i="12"/>
  <c r="G13" i="7"/>
  <c r="G13" i="6"/>
  <c r="G64" i="5"/>
  <c r="F101" i="6"/>
  <c r="F139" i="10"/>
  <c r="F82" i="12"/>
  <c r="F84" i="12" s="1"/>
  <c r="F87" i="12" s="1"/>
  <c r="G162" i="13"/>
  <c r="F143" i="9"/>
  <c r="F105" i="7"/>
  <c r="F147" i="13"/>
  <c r="F151" i="13" s="1"/>
  <c r="H151" i="13" s="1"/>
  <c r="C235" i="13"/>
  <c r="F169" i="13"/>
  <c r="D78" i="2"/>
  <c r="F101" i="7"/>
  <c r="G133" i="12"/>
  <c r="E78" i="2"/>
  <c r="F105" i="8"/>
  <c r="F143" i="10"/>
  <c r="F150" i="12"/>
  <c r="H150" i="12" s="1"/>
  <c r="I150" i="12" s="1"/>
  <c r="J150" i="12" s="1"/>
  <c r="K150" i="12" s="1"/>
  <c r="L150" i="12" s="1"/>
  <c r="G77" i="12"/>
  <c r="G84" i="12" s="1"/>
  <c r="G87" i="12" s="1"/>
  <c r="G89" i="12" s="1"/>
  <c r="F133" i="12"/>
  <c r="G44" i="13"/>
  <c r="F43" i="13"/>
  <c r="G64" i="13"/>
  <c r="G70" i="13" s="1"/>
  <c r="F71" i="4" l="1"/>
  <c r="F74" i="4" s="1"/>
  <c r="H43" i="13"/>
  <c r="I43" i="13" s="1"/>
  <c r="F89" i="12"/>
  <c r="F171" i="13"/>
  <c r="F89" i="10"/>
  <c r="F95" i="4"/>
  <c r="G169" i="13"/>
  <c r="F155" i="13"/>
  <c r="H155" i="13" s="1"/>
  <c r="H69" i="10"/>
  <c r="I21" i="10" s="1"/>
  <c r="G70" i="9"/>
  <c r="G89" i="9" s="1"/>
  <c r="G84" i="7"/>
  <c r="G87" i="7" s="1"/>
  <c r="G108" i="7" s="1"/>
  <c r="F176" i="12"/>
  <c r="G171" i="13"/>
  <c r="G101" i="7"/>
  <c r="F43" i="7"/>
  <c r="H43" i="7" s="1"/>
  <c r="I43" i="7" s="1"/>
  <c r="I84" i="8"/>
  <c r="F44" i="7"/>
  <c r="F84" i="9"/>
  <c r="F87" i="9" s="1"/>
  <c r="F146" i="9" s="1"/>
  <c r="H153" i="12"/>
  <c r="I153" i="12" s="1"/>
  <c r="J153" i="12" s="1"/>
  <c r="K153" i="12" s="1"/>
  <c r="L153" i="12" s="1"/>
  <c r="F88" i="4"/>
  <c r="F139" i="12"/>
  <c r="F141" i="9"/>
  <c r="H44" i="13"/>
  <c r="I44" i="13" s="1"/>
  <c r="G101" i="6"/>
  <c r="G70" i="6"/>
  <c r="G102" i="6" s="1"/>
  <c r="I121" i="10"/>
  <c r="H13" i="10"/>
  <c r="I41" i="10"/>
  <c r="F169" i="11"/>
  <c r="F70" i="11"/>
  <c r="H36" i="10"/>
  <c r="I48" i="10"/>
  <c r="G18" i="9"/>
  <c r="G16" i="9"/>
  <c r="I126" i="6"/>
  <c r="I20" i="6" s="1"/>
  <c r="H102" i="12"/>
  <c r="J21" i="13"/>
  <c r="J69" i="13" s="1"/>
  <c r="I102" i="13"/>
  <c r="I43" i="8"/>
  <c r="I117" i="7"/>
  <c r="C121" i="7" s="1"/>
  <c r="I56" i="7"/>
  <c r="J11" i="7"/>
  <c r="G139" i="13"/>
  <c r="G16" i="12"/>
  <c r="G18" i="12"/>
  <c r="G18" i="8"/>
  <c r="G16" i="8"/>
  <c r="F145" i="12"/>
  <c r="F149" i="12" s="1"/>
  <c r="H149" i="12" s="1"/>
  <c r="I149" i="12" s="1"/>
  <c r="J149" i="12" s="1"/>
  <c r="K149" i="12" s="1"/>
  <c r="L149" i="12" s="1"/>
  <c r="F43" i="12"/>
  <c r="H43" i="12" s="1"/>
  <c r="F15" i="12"/>
  <c r="F163" i="12" s="1"/>
  <c r="G95" i="8"/>
  <c r="F16" i="5"/>
  <c r="F18" i="5"/>
  <c r="F70" i="8"/>
  <c r="F101" i="8"/>
  <c r="F104" i="6"/>
  <c r="F172" i="12"/>
  <c r="F104" i="5"/>
  <c r="F142" i="10"/>
  <c r="F172" i="13"/>
  <c r="F104" i="7"/>
  <c r="D76" i="2"/>
  <c r="D81" i="2" s="1"/>
  <c r="F172" i="11"/>
  <c r="I69" i="9"/>
  <c r="I48" i="11"/>
  <c r="J11" i="4"/>
  <c r="I43" i="4"/>
  <c r="I155" i="13"/>
  <c r="F162" i="12"/>
  <c r="F15" i="11"/>
  <c r="F145" i="11"/>
  <c r="F149" i="11" s="1"/>
  <c r="H149" i="11" s="1"/>
  <c r="I149" i="11" s="1"/>
  <c r="J149" i="11" s="1"/>
  <c r="K149" i="11" s="1"/>
  <c r="L149" i="11" s="1"/>
  <c r="F43" i="11"/>
  <c r="H43" i="11" s="1"/>
  <c r="K119" i="7"/>
  <c r="K126" i="7" s="1"/>
  <c r="K20" i="7" s="1"/>
  <c r="I96" i="12"/>
  <c r="I126" i="12"/>
  <c r="J11" i="12"/>
  <c r="I56" i="12"/>
  <c r="I185" i="12"/>
  <c r="C189" i="12" s="1"/>
  <c r="I56" i="10"/>
  <c r="J11" i="10"/>
  <c r="I96" i="10"/>
  <c r="I155" i="10"/>
  <c r="C159" i="10" s="1"/>
  <c r="G84" i="10"/>
  <c r="G87" i="10" s="1"/>
  <c r="F154" i="12"/>
  <c r="H154" i="12" s="1"/>
  <c r="K11" i="9"/>
  <c r="J96" i="9"/>
  <c r="J56" i="9"/>
  <c r="J155" i="9"/>
  <c r="C160" i="9" s="1"/>
  <c r="F162" i="11"/>
  <c r="K11" i="3"/>
  <c r="J43" i="3"/>
  <c r="G125" i="10"/>
  <c r="H125" i="10" s="1"/>
  <c r="G124" i="10"/>
  <c r="H124" i="10" s="1"/>
  <c r="F149" i="13"/>
  <c r="H149" i="13" s="1"/>
  <c r="I149" i="13" s="1"/>
  <c r="J149" i="13" s="1"/>
  <c r="K149" i="13" s="1"/>
  <c r="L149" i="13" s="1"/>
  <c r="F133" i="13"/>
  <c r="I43" i="9"/>
  <c r="F44" i="6"/>
  <c r="H44" i="6" s="1"/>
  <c r="G108" i="10"/>
  <c r="G123" i="10"/>
  <c r="H123" i="10" s="1"/>
  <c r="I123" i="10" s="1"/>
  <c r="J123" i="10" s="1"/>
  <c r="K123" i="10" s="1"/>
  <c r="L123" i="10" s="1"/>
  <c r="I21" i="8"/>
  <c r="I69" i="8" s="1"/>
  <c r="F15" i="13"/>
  <c r="F163" i="13" s="1"/>
  <c r="F145" i="13"/>
  <c r="G139" i="10"/>
  <c r="G70" i="10"/>
  <c r="I151" i="13"/>
  <c r="F171" i="11"/>
  <c r="F15" i="9"/>
  <c r="F44" i="9"/>
  <c r="H44" i="9" s="1"/>
  <c r="G41" i="9"/>
  <c r="H41" i="9" s="1"/>
  <c r="G41" i="12"/>
  <c r="H41" i="12" s="1"/>
  <c r="G70" i="8"/>
  <c r="G101" i="8"/>
  <c r="F153" i="13"/>
  <c r="H153" i="13" s="1"/>
  <c r="I153" i="13" s="1"/>
  <c r="J153" i="13" s="1"/>
  <c r="K153" i="13" s="1"/>
  <c r="L153" i="13" s="1"/>
  <c r="F138" i="13"/>
  <c r="K96" i="11"/>
  <c r="K185" i="11"/>
  <c r="C191" i="11" s="1"/>
  <c r="L11" i="11"/>
  <c r="K126" i="11"/>
  <c r="K56" i="11"/>
  <c r="F43" i="6"/>
  <c r="F108" i="7"/>
  <c r="F102" i="7"/>
  <c r="I21" i="11"/>
  <c r="F151" i="11"/>
  <c r="H151" i="11" s="1"/>
  <c r="F155" i="11"/>
  <c r="H155" i="11" s="1"/>
  <c r="F132" i="9"/>
  <c r="J56" i="6"/>
  <c r="J117" i="6"/>
  <c r="C122" i="6" s="1"/>
  <c r="K11" i="6"/>
  <c r="J157" i="9"/>
  <c r="K157" i="9" s="1"/>
  <c r="I44" i="8"/>
  <c r="G44" i="7"/>
  <c r="G15" i="7"/>
  <c r="G94" i="7"/>
  <c r="G41" i="7"/>
  <c r="H41" i="7" s="1"/>
  <c r="K119" i="6"/>
  <c r="K126" i="6" s="1"/>
  <c r="K20" i="6" s="1"/>
  <c r="I48" i="12"/>
  <c r="G154" i="11"/>
  <c r="H154" i="11" s="1"/>
  <c r="G138" i="11"/>
  <c r="J185" i="13"/>
  <c r="C190" i="13" s="1"/>
  <c r="K11" i="13"/>
  <c r="J96" i="13"/>
  <c r="J56" i="13"/>
  <c r="J201" i="13"/>
  <c r="J126" i="13"/>
  <c r="G16" i="11"/>
  <c r="G18" i="11"/>
  <c r="F138" i="11"/>
  <c r="F139" i="11" s="1"/>
  <c r="J84" i="8"/>
  <c r="K83" i="8"/>
  <c r="F16" i="8"/>
  <c r="F18" i="8"/>
  <c r="E39" i="2"/>
  <c r="E36" i="2"/>
  <c r="F95" i="6"/>
  <c r="F82" i="4"/>
  <c r="F95" i="7"/>
  <c r="F163" i="11"/>
  <c r="D34" i="2"/>
  <c r="F95" i="8"/>
  <c r="F95" i="5"/>
  <c r="F133" i="9"/>
  <c r="D21" i="2"/>
  <c r="F162" i="13"/>
  <c r="F176" i="13"/>
  <c r="J83" i="9"/>
  <c r="I84" i="9"/>
  <c r="K11" i="8"/>
  <c r="J56" i="8"/>
  <c r="J117" i="8"/>
  <c r="C122" i="8" s="1"/>
  <c r="J187" i="12"/>
  <c r="K187" i="12" s="1"/>
  <c r="I21" i="9"/>
  <c r="G169" i="12"/>
  <c r="F155" i="12"/>
  <c r="F140" i="9"/>
  <c r="G103" i="7"/>
  <c r="H153" i="11"/>
  <c r="I153" i="11" s="1"/>
  <c r="J153" i="11" s="1"/>
  <c r="K153" i="11" s="1"/>
  <c r="L153" i="11" s="1"/>
  <c r="I48" i="8"/>
  <c r="F154" i="13"/>
  <c r="H154" i="13" s="1"/>
  <c r="F18" i="4"/>
  <c r="F16" i="4"/>
  <c r="G41" i="13"/>
  <c r="H41" i="13" s="1"/>
  <c r="G84" i="8"/>
  <c r="G87" i="8" s="1"/>
  <c r="G103" i="8"/>
  <c r="G18" i="4"/>
  <c r="G16" i="4"/>
  <c r="I44" i="12"/>
  <c r="G18" i="13"/>
  <c r="G16" i="13"/>
  <c r="F89" i="11"/>
  <c r="H13" i="8"/>
  <c r="H36" i="8" s="1"/>
  <c r="I41" i="8"/>
  <c r="F16" i="6"/>
  <c r="F18" i="6"/>
  <c r="I48" i="13"/>
  <c r="G16" i="10"/>
  <c r="G18" i="10"/>
  <c r="I48" i="9"/>
  <c r="F70" i="5"/>
  <c r="F101" i="5"/>
  <c r="F94" i="5"/>
  <c r="I44" i="11"/>
  <c r="K187" i="11"/>
  <c r="L187" i="11" s="1"/>
  <c r="G139" i="11"/>
  <c r="G171" i="12"/>
  <c r="G104" i="6"/>
  <c r="G172" i="12"/>
  <c r="G104" i="5"/>
  <c r="G172" i="13"/>
  <c r="G142" i="9"/>
  <c r="E76" i="2"/>
  <c r="E81" i="2" s="1"/>
  <c r="G172" i="11"/>
  <c r="G91" i="4"/>
  <c r="L119" i="7"/>
  <c r="L126" i="7" s="1"/>
  <c r="L20" i="7" s="1"/>
  <c r="G70" i="5"/>
  <c r="G101" i="5"/>
  <c r="F84" i="8"/>
  <c r="F87" i="8" s="1"/>
  <c r="F89" i="8" s="1"/>
  <c r="F103" i="8"/>
  <c r="F16" i="7"/>
  <c r="F18" i="7"/>
  <c r="G41" i="6"/>
  <c r="H41" i="6" s="1"/>
  <c r="G15" i="6"/>
  <c r="G43" i="6"/>
  <c r="G94" i="6"/>
  <c r="G155" i="12"/>
  <c r="G151" i="12"/>
  <c r="H151" i="12" s="1"/>
  <c r="G84" i="11"/>
  <c r="G87" i="11" s="1"/>
  <c r="G19" i="5"/>
  <c r="G22" i="5"/>
  <c r="G31" i="5" s="1"/>
  <c r="G33" i="5" s="1"/>
  <c r="G34" i="5" s="1"/>
  <c r="J119" i="8"/>
  <c r="I187" i="13"/>
  <c r="J187" i="13" s="1"/>
  <c r="H69" i="12"/>
  <c r="I21" i="12" s="1"/>
  <c r="G176" i="13"/>
  <c r="G139" i="12"/>
  <c r="G41" i="11"/>
  <c r="H41" i="11" s="1"/>
  <c r="G88" i="4"/>
  <c r="G57" i="4"/>
  <c r="G109" i="10"/>
  <c r="G111" i="10" s="1"/>
  <c r="G70" i="11"/>
  <c r="G169" i="11"/>
  <c r="G176" i="12"/>
  <c r="F94" i="6"/>
  <c r="K157" i="10"/>
  <c r="F146" i="10"/>
  <c r="F44" i="10"/>
  <c r="H44" i="10" s="1"/>
  <c r="F43" i="10"/>
  <c r="H43" i="10" s="1"/>
  <c r="F15" i="10"/>
  <c r="F115" i="10"/>
  <c r="F119" i="10" s="1"/>
  <c r="H119" i="10" s="1"/>
  <c r="I119" i="10" s="1"/>
  <c r="J119" i="10" s="1"/>
  <c r="K119" i="10" s="1"/>
  <c r="L119" i="10" s="1"/>
  <c r="J117" i="5"/>
  <c r="C122" i="5" s="1"/>
  <c r="K11" i="5"/>
  <c r="J56" i="5"/>
  <c r="H155" i="12" l="1"/>
  <c r="F89" i="9"/>
  <c r="F91" i="4"/>
  <c r="H44" i="7"/>
  <c r="G104" i="7"/>
  <c r="F142" i="9"/>
  <c r="G108" i="6"/>
  <c r="G146" i="9"/>
  <c r="G140" i="9"/>
  <c r="G141" i="12"/>
  <c r="G89" i="8"/>
  <c r="I69" i="10"/>
  <c r="J21" i="10" s="1"/>
  <c r="I151" i="12"/>
  <c r="I102" i="12"/>
  <c r="I154" i="11"/>
  <c r="I44" i="7"/>
  <c r="I154" i="13"/>
  <c r="H65" i="8"/>
  <c r="D120" i="8"/>
  <c r="G120" i="8" s="1"/>
  <c r="H120" i="8" s="1"/>
  <c r="I155" i="11"/>
  <c r="J151" i="13"/>
  <c r="G89" i="10"/>
  <c r="K56" i="8"/>
  <c r="K117" i="8"/>
  <c r="C123" i="8" s="1"/>
  <c r="L11" i="8"/>
  <c r="I36" i="10"/>
  <c r="D159" i="10" s="1"/>
  <c r="G159" i="10" s="1"/>
  <c r="I159" i="10" s="1"/>
  <c r="J48" i="10"/>
  <c r="H13" i="7"/>
  <c r="H17" i="7" s="1"/>
  <c r="I41" i="7"/>
  <c r="D158" i="10"/>
  <c r="G158" i="10" s="1"/>
  <c r="H158" i="10" s="1"/>
  <c r="H65" i="10"/>
  <c r="F16" i="10"/>
  <c r="F18" i="10"/>
  <c r="J21" i="8"/>
  <c r="J155" i="13"/>
  <c r="L119" i="6"/>
  <c r="L126" i="6" s="1"/>
  <c r="L20" i="6" s="1"/>
  <c r="F176" i="11"/>
  <c r="F170" i="11"/>
  <c r="J43" i="9"/>
  <c r="J43" i="7"/>
  <c r="J48" i="8"/>
  <c r="D39" i="2"/>
  <c r="D36" i="2"/>
  <c r="F84" i="4"/>
  <c r="G19" i="11"/>
  <c r="G22" i="11"/>
  <c r="G31" i="11" s="1"/>
  <c r="H15" i="8"/>
  <c r="H17" i="8"/>
  <c r="F16" i="13"/>
  <c r="F18" i="13"/>
  <c r="J69" i="8"/>
  <c r="F22" i="5"/>
  <c r="F31" i="5" s="1"/>
  <c r="F33" i="5" s="1"/>
  <c r="F34" i="5" s="1"/>
  <c r="F19" i="5"/>
  <c r="J117" i="7"/>
  <c r="C122" i="7" s="1"/>
  <c r="K11" i="7"/>
  <c r="J56" i="7"/>
  <c r="J44" i="13"/>
  <c r="I69" i="12"/>
  <c r="J21" i="12" s="1"/>
  <c r="H13" i="13"/>
  <c r="I41" i="13"/>
  <c r="J44" i="8"/>
  <c r="G108" i="8"/>
  <c r="G102" i="8"/>
  <c r="I43" i="10"/>
  <c r="H14" i="10"/>
  <c r="H116" i="10" s="1"/>
  <c r="G95" i="4"/>
  <c r="G89" i="4"/>
  <c r="G89" i="11"/>
  <c r="J48" i="13"/>
  <c r="G19" i="4"/>
  <c r="G22" i="4"/>
  <c r="G31" i="4" s="1"/>
  <c r="G33" i="4" s="1"/>
  <c r="G18" i="7"/>
  <c r="G16" i="7"/>
  <c r="G95" i="7"/>
  <c r="I125" i="10"/>
  <c r="J48" i="11"/>
  <c r="F104" i="8"/>
  <c r="G146" i="10"/>
  <c r="G140" i="10"/>
  <c r="I154" i="12"/>
  <c r="L11" i="5"/>
  <c r="K56" i="5"/>
  <c r="K117" i="5"/>
  <c r="C123" i="5" s="1"/>
  <c r="J43" i="13"/>
  <c r="G19" i="12"/>
  <c r="G22" i="12"/>
  <c r="G31" i="12" s="1"/>
  <c r="H13" i="6"/>
  <c r="I41" i="6"/>
  <c r="J102" i="13"/>
  <c r="K21" i="13"/>
  <c r="K69" i="13" s="1"/>
  <c r="K119" i="8"/>
  <c r="L119" i="8"/>
  <c r="J41" i="8"/>
  <c r="I13" i="8"/>
  <c r="I17" i="8" s="1"/>
  <c r="J21" i="11"/>
  <c r="G108" i="5"/>
  <c r="G102" i="5"/>
  <c r="I41" i="12"/>
  <c r="H13" i="12"/>
  <c r="H14" i="12" s="1"/>
  <c r="H146" i="12" s="1"/>
  <c r="J155" i="10"/>
  <c r="C160" i="10" s="1"/>
  <c r="J56" i="10"/>
  <c r="K11" i="10"/>
  <c r="J96" i="10"/>
  <c r="F18" i="12"/>
  <c r="F16" i="12"/>
  <c r="I69" i="11"/>
  <c r="G97" i="5"/>
  <c r="L157" i="9"/>
  <c r="I43" i="11"/>
  <c r="G19" i="9"/>
  <c r="G22" i="9"/>
  <c r="G31" i="9" s="1"/>
  <c r="G142" i="10"/>
  <c r="G22" i="10"/>
  <c r="G31" i="10" s="1"/>
  <c r="G19" i="10"/>
  <c r="G19" i="13"/>
  <c r="G22" i="13"/>
  <c r="G31" i="13" s="1"/>
  <c r="K201" i="13"/>
  <c r="K56" i="13"/>
  <c r="K126" i="13"/>
  <c r="K185" i="13"/>
  <c r="C191" i="13" s="1"/>
  <c r="L11" i="13"/>
  <c r="K96" i="13"/>
  <c r="I44" i="9"/>
  <c r="K43" i="3"/>
  <c r="L11" i="3"/>
  <c r="L43" i="3" s="1"/>
  <c r="I13" i="10"/>
  <c r="J41" i="10"/>
  <c r="F19" i="6"/>
  <c r="F22" i="6"/>
  <c r="F31" i="6" s="1"/>
  <c r="F19" i="4"/>
  <c r="F22" i="4"/>
  <c r="F31" i="4" s="1"/>
  <c r="F33" i="4" s="1"/>
  <c r="F34" i="4" s="1"/>
  <c r="G134" i="9"/>
  <c r="G96" i="7"/>
  <c r="G164" i="12"/>
  <c r="G164" i="11"/>
  <c r="G96" i="8"/>
  <c r="G96" i="5"/>
  <c r="G83" i="4"/>
  <c r="E40" i="2"/>
  <c r="G164" i="13"/>
  <c r="G134" i="10"/>
  <c r="F22" i="8"/>
  <c r="F31" i="8" s="1"/>
  <c r="F19" i="8"/>
  <c r="J48" i="12"/>
  <c r="F16" i="9"/>
  <c r="F18" i="9"/>
  <c r="H17" i="6"/>
  <c r="I44" i="6"/>
  <c r="F16" i="11"/>
  <c r="F18" i="11"/>
  <c r="K11" i="4"/>
  <c r="J43" i="4"/>
  <c r="H115" i="10"/>
  <c r="H100" i="10" s="1"/>
  <c r="H15" i="10"/>
  <c r="L157" i="10"/>
  <c r="I155" i="12"/>
  <c r="L83" i="8"/>
  <c r="L84" i="8" s="1"/>
  <c r="K84" i="8"/>
  <c r="J43" i="8"/>
  <c r="G176" i="11"/>
  <c r="G170" i="11"/>
  <c r="G18" i="6"/>
  <c r="G96" i="6" s="1"/>
  <c r="G16" i="6"/>
  <c r="G95" i="6"/>
  <c r="J44" i="12"/>
  <c r="J121" i="10"/>
  <c r="F108" i="5"/>
  <c r="F102" i="5"/>
  <c r="I151" i="11"/>
  <c r="F139" i="13"/>
  <c r="G141" i="13" s="1"/>
  <c r="F108" i="8"/>
  <c r="F102" i="8"/>
  <c r="I44" i="10"/>
  <c r="H17" i="10"/>
  <c r="H117" i="10" s="1"/>
  <c r="H102" i="10" s="1"/>
  <c r="H63" i="10" s="1"/>
  <c r="J48" i="9"/>
  <c r="J84" i="9"/>
  <c r="K83" i="9"/>
  <c r="I124" i="10"/>
  <c r="G104" i="8"/>
  <c r="G141" i="11"/>
  <c r="H43" i="6"/>
  <c r="H13" i="9"/>
  <c r="H17" i="9" s="1"/>
  <c r="I41" i="9"/>
  <c r="I43" i="12"/>
  <c r="H13" i="11"/>
  <c r="H14" i="11" s="1"/>
  <c r="H146" i="11" s="1"/>
  <c r="I41" i="11"/>
  <c r="K187" i="13"/>
  <c r="K56" i="6"/>
  <c r="L11" i="6"/>
  <c r="K117" i="6"/>
  <c r="C123" i="6" s="1"/>
  <c r="L187" i="12"/>
  <c r="F19" i="7"/>
  <c r="F22" i="7"/>
  <c r="F31" i="7" s="1"/>
  <c r="J44" i="11"/>
  <c r="J21" i="9"/>
  <c r="F133" i="10"/>
  <c r="L56" i="11"/>
  <c r="L185" i="11"/>
  <c r="C192" i="11" s="1"/>
  <c r="L96" i="11"/>
  <c r="L126" i="11"/>
  <c r="K96" i="9"/>
  <c r="L11" i="9"/>
  <c r="K155" i="9"/>
  <c r="C161" i="9" s="1"/>
  <c r="K56" i="9"/>
  <c r="J126" i="12"/>
  <c r="K11" i="12"/>
  <c r="J96" i="12"/>
  <c r="J56" i="12"/>
  <c r="J185" i="12"/>
  <c r="C190" i="12" s="1"/>
  <c r="G22" i="8"/>
  <c r="G31" i="8" s="1"/>
  <c r="G19" i="8"/>
  <c r="H14" i="8"/>
  <c r="J69" i="10" l="1"/>
  <c r="K21" i="10" s="1"/>
  <c r="I36" i="8"/>
  <c r="D121" i="8" s="1"/>
  <c r="G121" i="8" s="1"/>
  <c r="I121" i="8" s="1"/>
  <c r="I14" i="8"/>
  <c r="I15" i="8" s="1"/>
  <c r="J102" i="12"/>
  <c r="L96" i="9"/>
  <c r="L155" i="9"/>
  <c r="C162" i="9" s="1"/>
  <c r="L56" i="9"/>
  <c r="H135" i="12"/>
  <c r="H131" i="12"/>
  <c r="H62" i="12" s="1"/>
  <c r="G33" i="9"/>
  <c r="G46" i="9"/>
  <c r="K43" i="13"/>
  <c r="J41" i="9"/>
  <c r="I13" i="9"/>
  <c r="J155" i="12"/>
  <c r="H15" i="12"/>
  <c r="H145" i="12"/>
  <c r="H130" i="12" s="1"/>
  <c r="H36" i="12"/>
  <c r="H17" i="12"/>
  <c r="H147" i="12" s="1"/>
  <c r="G19" i="7"/>
  <c r="G22" i="7"/>
  <c r="G31" i="7" s="1"/>
  <c r="K48" i="13"/>
  <c r="I65" i="10"/>
  <c r="I120" i="8"/>
  <c r="I126" i="8" s="1"/>
  <c r="I20" i="8" s="1"/>
  <c r="H126" i="8"/>
  <c r="H20" i="8" s="1"/>
  <c r="H66" i="8" s="1"/>
  <c r="I66" i="8" s="1"/>
  <c r="K44" i="11"/>
  <c r="H36" i="9"/>
  <c r="H14" i="9"/>
  <c r="H15" i="9" s="1"/>
  <c r="L83" i="9"/>
  <c r="L84" i="9" s="1"/>
  <c r="K84" i="9"/>
  <c r="J44" i="9"/>
  <c r="I17" i="9"/>
  <c r="G46" i="13"/>
  <c r="G33" i="13"/>
  <c r="I13" i="12"/>
  <c r="J41" i="12"/>
  <c r="I158" i="10"/>
  <c r="I164" i="10" s="1"/>
  <c r="I20" i="10" s="1"/>
  <c r="H164" i="10"/>
  <c r="H20" i="10" s="1"/>
  <c r="H66" i="10" s="1"/>
  <c r="H67" i="10" s="1"/>
  <c r="I65" i="8"/>
  <c r="I43" i="6"/>
  <c r="H14" i="6"/>
  <c r="H15" i="6" s="1"/>
  <c r="G22" i="6"/>
  <c r="G31" i="6" s="1"/>
  <c r="G19" i="6"/>
  <c r="L187" i="13"/>
  <c r="I14" i="11"/>
  <c r="I146" i="11" s="1"/>
  <c r="J43" i="11"/>
  <c r="J69" i="11"/>
  <c r="K21" i="11" s="1"/>
  <c r="K44" i="8"/>
  <c r="F97" i="5"/>
  <c r="K155" i="13"/>
  <c r="J151" i="11"/>
  <c r="G33" i="12"/>
  <c r="G46" i="12"/>
  <c r="G34" i="4"/>
  <c r="G84" i="4"/>
  <c r="J43" i="10"/>
  <c r="I14" i="10"/>
  <c r="I116" i="10" s="1"/>
  <c r="H18" i="8"/>
  <c r="H16" i="8"/>
  <c r="J36" i="8"/>
  <c r="D122" i="8" s="1"/>
  <c r="G122" i="8" s="1"/>
  <c r="J122" i="8" s="1"/>
  <c r="K48" i="8"/>
  <c r="J154" i="11"/>
  <c r="K96" i="10"/>
  <c r="K155" i="10"/>
  <c r="C161" i="10" s="1"/>
  <c r="L11" i="10"/>
  <c r="K56" i="10"/>
  <c r="K44" i="13"/>
  <c r="G33" i="11"/>
  <c r="G46" i="11"/>
  <c r="K43" i="7"/>
  <c r="F22" i="10"/>
  <c r="F31" i="10" s="1"/>
  <c r="F19" i="10"/>
  <c r="L117" i="8"/>
  <c r="C124" i="8" s="1"/>
  <c r="L56" i="8"/>
  <c r="F33" i="8"/>
  <c r="F46" i="8"/>
  <c r="I13" i="7"/>
  <c r="I17" i="7" s="1"/>
  <c r="J41" i="7"/>
  <c r="J44" i="10"/>
  <c r="I17" i="10"/>
  <c r="I117" i="10" s="1"/>
  <c r="I102" i="10" s="1"/>
  <c r="I63" i="10" s="1"/>
  <c r="L21" i="13"/>
  <c r="L102" i="13" s="1"/>
  <c r="K102" i="13"/>
  <c r="K117" i="7"/>
  <c r="C123" i="7" s="1"/>
  <c r="K56" i="7"/>
  <c r="L11" i="7"/>
  <c r="K43" i="9"/>
  <c r="H14" i="7"/>
  <c r="H15" i="7" s="1"/>
  <c r="J44" i="6"/>
  <c r="I17" i="6"/>
  <c r="F19" i="9"/>
  <c r="F22" i="9"/>
  <c r="F31" i="9" s="1"/>
  <c r="K21" i="8"/>
  <c r="H16" i="10"/>
  <c r="H18" i="10"/>
  <c r="J125" i="10"/>
  <c r="K151" i="13"/>
  <c r="H103" i="10"/>
  <c r="H61" i="10"/>
  <c r="H107" i="10"/>
  <c r="H76" i="10" s="1"/>
  <c r="I13" i="13"/>
  <c r="J41" i="13"/>
  <c r="F134" i="10"/>
  <c r="F96" i="8"/>
  <c r="F96" i="5"/>
  <c r="D40" i="2"/>
  <c r="F96" i="7"/>
  <c r="F164" i="12"/>
  <c r="F96" i="6"/>
  <c r="F83" i="4"/>
  <c r="F164" i="11"/>
  <c r="F134" i="9"/>
  <c r="F164" i="13"/>
  <c r="J155" i="11"/>
  <c r="K96" i="12"/>
  <c r="K56" i="12"/>
  <c r="L11" i="12"/>
  <c r="K185" i="12"/>
  <c r="C191" i="12" s="1"/>
  <c r="K126" i="12"/>
  <c r="J124" i="10"/>
  <c r="K48" i="9"/>
  <c r="J14" i="8"/>
  <c r="K43" i="8"/>
  <c r="J13" i="10"/>
  <c r="K41" i="10"/>
  <c r="L201" i="13"/>
  <c r="L126" i="13"/>
  <c r="L56" i="13"/>
  <c r="L185" i="13"/>
  <c r="C192" i="13" s="1"/>
  <c r="L96" i="13"/>
  <c r="F19" i="12"/>
  <c r="F22" i="12"/>
  <c r="F31" i="12" s="1"/>
  <c r="I13" i="6"/>
  <c r="J41" i="6"/>
  <c r="L56" i="5"/>
  <c r="L117" i="5"/>
  <c r="C124" i="5" s="1"/>
  <c r="H145" i="13"/>
  <c r="H130" i="13" s="1"/>
  <c r="H14" i="13"/>
  <c r="H146" i="13" s="1"/>
  <c r="H17" i="13"/>
  <c r="H147" i="13" s="1"/>
  <c r="H36" i="13"/>
  <c r="J151" i="12"/>
  <c r="L56" i="6"/>
  <c r="L117" i="6"/>
  <c r="C124" i="6" s="1"/>
  <c r="F22" i="11"/>
  <c r="F31" i="11" s="1"/>
  <c r="F19" i="11"/>
  <c r="J154" i="12"/>
  <c r="K44" i="12"/>
  <c r="J44" i="7"/>
  <c r="F33" i="6"/>
  <c r="F46" i="6"/>
  <c r="G33" i="8"/>
  <c r="G46" i="8"/>
  <c r="I14" i="12"/>
  <c r="I146" i="12" s="1"/>
  <c r="J43" i="12"/>
  <c r="K48" i="11"/>
  <c r="K69" i="10"/>
  <c r="L21" i="10" s="1"/>
  <c r="J69" i="9"/>
  <c r="K21" i="9" s="1"/>
  <c r="F33" i="7"/>
  <c r="F46" i="7"/>
  <c r="J41" i="11"/>
  <c r="I13" i="11"/>
  <c r="K121" i="10"/>
  <c r="H135" i="11"/>
  <c r="H131" i="11"/>
  <c r="H62" i="11" s="1"/>
  <c r="H145" i="11"/>
  <c r="H130" i="11" s="1"/>
  <c r="H15" i="11"/>
  <c r="H36" i="11"/>
  <c r="H17" i="11"/>
  <c r="H147" i="11" s="1"/>
  <c r="G33" i="10"/>
  <c r="G46" i="10"/>
  <c r="F19" i="13"/>
  <c r="F22" i="13"/>
  <c r="F31" i="13" s="1"/>
  <c r="H106" i="10"/>
  <c r="H75" i="10" s="1"/>
  <c r="K43" i="4"/>
  <c r="L11" i="4"/>
  <c r="L43" i="4" s="1"/>
  <c r="K48" i="12"/>
  <c r="I115" i="10"/>
  <c r="I100" i="10" s="1"/>
  <c r="K41" i="8"/>
  <c r="J13" i="8"/>
  <c r="J17" i="8" s="1"/>
  <c r="H105" i="10"/>
  <c r="H101" i="10"/>
  <c r="H62" i="10" s="1"/>
  <c r="J69" i="12"/>
  <c r="K48" i="10"/>
  <c r="J36" i="10"/>
  <c r="D160" i="10" s="1"/>
  <c r="G160" i="10" s="1"/>
  <c r="J160" i="10" s="1"/>
  <c r="J154" i="13"/>
  <c r="I15" i="10" l="1"/>
  <c r="I16" i="10" s="1"/>
  <c r="H16" i="9"/>
  <c r="H18" i="9"/>
  <c r="H18" i="6"/>
  <c r="H16" i="6"/>
  <c r="H18" i="7"/>
  <c r="H16" i="7"/>
  <c r="I135" i="11"/>
  <c r="I131" i="11"/>
  <c r="I62" i="11" s="1"/>
  <c r="F34" i="6"/>
  <c r="F97" i="6"/>
  <c r="L121" i="10"/>
  <c r="D188" i="13"/>
  <c r="G188" i="13" s="1"/>
  <c r="H188" i="13" s="1"/>
  <c r="H109" i="13"/>
  <c r="H65" i="13"/>
  <c r="F33" i="10"/>
  <c r="F46" i="10"/>
  <c r="H46" i="10" s="1"/>
  <c r="H74" i="10"/>
  <c r="H77" i="10" s="1"/>
  <c r="H84" i="10" s="1"/>
  <c r="H108" i="10"/>
  <c r="H109" i="10" s="1"/>
  <c r="H111" i="10" s="1"/>
  <c r="I61" i="10"/>
  <c r="I145" i="11"/>
  <c r="I130" i="11" s="1"/>
  <c r="I15" i="11"/>
  <c r="I17" i="11"/>
  <c r="I147" i="11" s="1"/>
  <c r="I36" i="11"/>
  <c r="D189" i="11" s="1"/>
  <c r="G189" i="11" s="1"/>
  <c r="I189" i="11" s="1"/>
  <c r="L48" i="11"/>
  <c r="H132" i="13"/>
  <c r="H63" i="13" s="1"/>
  <c r="H137" i="13"/>
  <c r="H76" i="13" s="1"/>
  <c r="H136" i="13"/>
  <c r="H75" i="13" s="1"/>
  <c r="I106" i="10"/>
  <c r="I75" i="10" s="1"/>
  <c r="K155" i="11"/>
  <c r="F33" i="9"/>
  <c r="F46" i="9"/>
  <c r="H46" i="9" s="1"/>
  <c r="L43" i="9"/>
  <c r="H46" i="8"/>
  <c r="I101" i="10"/>
  <c r="I62" i="10" s="1"/>
  <c r="I105" i="10"/>
  <c r="D188" i="12"/>
  <c r="G188" i="12" s="1"/>
  <c r="H188" i="12" s="1"/>
  <c r="H109" i="12"/>
  <c r="H65" i="12"/>
  <c r="K154" i="13"/>
  <c r="K41" i="11"/>
  <c r="J13" i="11"/>
  <c r="J14" i="11" s="1"/>
  <c r="J146" i="11" s="1"/>
  <c r="H135" i="13"/>
  <c r="H131" i="13"/>
  <c r="H62" i="13" s="1"/>
  <c r="K41" i="6"/>
  <c r="J13" i="6"/>
  <c r="J17" i="6" s="1"/>
  <c r="K124" i="10"/>
  <c r="I107" i="10"/>
  <c r="I76" i="10" s="1"/>
  <c r="K69" i="8"/>
  <c r="F34" i="8"/>
  <c r="F97" i="8"/>
  <c r="K43" i="10"/>
  <c r="J14" i="10"/>
  <c r="J116" i="10" s="1"/>
  <c r="G33" i="6"/>
  <c r="G46" i="6"/>
  <c r="L44" i="11"/>
  <c r="H61" i="12"/>
  <c r="G34" i="10"/>
  <c r="G135" i="10"/>
  <c r="J17" i="7"/>
  <c r="K44" i="7"/>
  <c r="F33" i="11"/>
  <c r="F46" i="11"/>
  <c r="H46" i="11" s="1"/>
  <c r="H15" i="13"/>
  <c r="K125" i="10"/>
  <c r="L117" i="7"/>
  <c r="C124" i="7" s="1"/>
  <c r="L56" i="7"/>
  <c r="L43" i="7"/>
  <c r="H18" i="12"/>
  <c r="H16" i="12"/>
  <c r="K154" i="12"/>
  <c r="L48" i="8"/>
  <c r="H74" i="11"/>
  <c r="K41" i="13"/>
  <c r="J13" i="13"/>
  <c r="J17" i="10"/>
  <c r="J117" i="10" s="1"/>
  <c r="J102" i="10" s="1"/>
  <c r="J63" i="10" s="1"/>
  <c r="K44" i="10"/>
  <c r="I67" i="8"/>
  <c r="I70" i="8" s="1"/>
  <c r="J65" i="8"/>
  <c r="J158" i="10"/>
  <c r="K158" i="10" s="1"/>
  <c r="I15" i="13"/>
  <c r="I145" i="13"/>
  <c r="I130" i="13" s="1"/>
  <c r="I36" i="13"/>
  <c r="I14" i="13"/>
  <c r="I146" i="13" s="1"/>
  <c r="I17" i="13"/>
  <c r="I147" i="13" s="1"/>
  <c r="J13" i="7"/>
  <c r="K41" i="7"/>
  <c r="H67" i="8"/>
  <c r="H70" i="8" s="1"/>
  <c r="K44" i="9"/>
  <c r="D158" i="9"/>
  <c r="G158" i="9" s="1"/>
  <c r="H158" i="9" s="1"/>
  <c r="H65" i="9"/>
  <c r="G34" i="9"/>
  <c r="G135" i="9"/>
  <c r="I18" i="10"/>
  <c r="G34" i="8"/>
  <c r="G97" i="8"/>
  <c r="L48" i="9"/>
  <c r="K44" i="6"/>
  <c r="I14" i="7"/>
  <c r="I15" i="7" s="1"/>
  <c r="L155" i="10"/>
  <c r="C162" i="10" s="1"/>
  <c r="L96" i="10"/>
  <c r="L56" i="10"/>
  <c r="H19" i="8"/>
  <c r="H22" i="8"/>
  <c r="H31" i="8" s="1"/>
  <c r="L44" i="8"/>
  <c r="K17" i="8"/>
  <c r="J120" i="8"/>
  <c r="H132" i="12"/>
  <c r="H63" i="12" s="1"/>
  <c r="H137" i="12"/>
  <c r="H76" i="12" s="1"/>
  <c r="H136" i="12"/>
  <c r="H75" i="12" s="1"/>
  <c r="K21" i="12"/>
  <c r="K69" i="12" s="1"/>
  <c r="L48" i="12"/>
  <c r="H136" i="11"/>
  <c r="H75" i="11" s="1"/>
  <c r="H137" i="11"/>
  <c r="H76" i="11" s="1"/>
  <c r="H132" i="11"/>
  <c r="H63" i="11" s="1"/>
  <c r="I18" i="8"/>
  <c r="I16" i="8"/>
  <c r="K13" i="10"/>
  <c r="K36" i="10" s="1"/>
  <c r="D161" i="10" s="1"/>
  <c r="G161" i="10" s="1"/>
  <c r="K161" i="10" s="1"/>
  <c r="L41" i="10"/>
  <c r="L13" i="10" s="1"/>
  <c r="K151" i="11"/>
  <c r="J65" i="10"/>
  <c r="K155" i="12"/>
  <c r="D188" i="11"/>
  <c r="G188" i="11" s="1"/>
  <c r="H188" i="11" s="1"/>
  <c r="H65" i="11"/>
  <c r="K69" i="9"/>
  <c r="L44" i="12"/>
  <c r="J115" i="10"/>
  <c r="J100" i="10" s="1"/>
  <c r="H22" i="10"/>
  <c r="H31" i="10" s="1"/>
  <c r="H19" i="10"/>
  <c r="G34" i="11"/>
  <c r="G165" i="11"/>
  <c r="K154" i="11"/>
  <c r="J43" i="6"/>
  <c r="I14" i="6"/>
  <c r="I15" i="6" s="1"/>
  <c r="J13" i="12"/>
  <c r="K41" i="12"/>
  <c r="L48" i="10"/>
  <c r="J15" i="8"/>
  <c r="H18" i="11"/>
  <c r="H16" i="11"/>
  <c r="L69" i="10"/>
  <c r="L185" i="12"/>
  <c r="C192" i="12" s="1"/>
  <c r="L96" i="12"/>
  <c r="L56" i="12"/>
  <c r="L126" i="12"/>
  <c r="L151" i="13"/>
  <c r="I66" i="10"/>
  <c r="I67" i="10" s="1"/>
  <c r="I15" i="12"/>
  <c r="I145" i="12"/>
  <c r="I130" i="12" s="1"/>
  <c r="I17" i="12"/>
  <c r="I147" i="12" s="1"/>
  <c r="I36" i="12"/>
  <c r="L48" i="13"/>
  <c r="I36" i="9"/>
  <c r="D159" i="9" s="1"/>
  <c r="G159" i="9" s="1"/>
  <c r="I159" i="9" s="1"/>
  <c r="I14" i="9"/>
  <c r="I15" i="9" s="1"/>
  <c r="L69" i="13"/>
  <c r="K13" i="8"/>
  <c r="L41" i="8"/>
  <c r="H133" i="11"/>
  <c r="H61" i="11"/>
  <c r="H64" i="11" s="1"/>
  <c r="J14" i="12"/>
  <c r="J146" i="12" s="1"/>
  <c r="K43" i="12"/>
  <c r="K151" i="12"/>
  <c r="F33" i="12"/>
  <c r="F46" i="12"/>
  <c r="H46" i="12" s="1"/>
  <c r="K14" i="8"/>
  <c r="L43" i="8"/>
  <c r="L44" i="13"/>
  <c r="K69" i="11"/>
  <c r="L21" i="11" s="1"/>
  <c r="K41" i="9"/>
  <c r="J13" i="9"/>
  <c r="H46" i="6"/>
  <c r="L155" i="13"/>
  <c r="H74" i="12"/>
  <c r="H77" i="12" s="1"/>
  <c r="H84" i="12" s="1"/>
  <c r="F33" i="13"/>
  <c r="F46" i="13"/>
  <c r="H46" i="13" s="1"/>
  <c r="F34" i="7"/>
  <c r="F97" i="7"/>
  <c r="H61" i="13"/>
  <c r="I135" i="12"/>
  <c r="I131" i="12"/>
  <c r="I62" i="12" s="1"/>
  <c r="H64" i="10"/>
  <c r="H70" i="10" s="1"/>
  <c r="G34" i="12"/>
  <c r="G165" i="12"/>
  <c r="K43" i="11"/>
  <c r="G34" i="13"/>
  <c r="G165" i="13"/>
  <c r="G33" i="7"/>
  <c r="G46" i="7"/>
  <c r="H46" i="7" s="1"/>
  <c r="L43" i="13"/>
  <c r="L36" i="10" l="1"/>
  <c r="D162" i="10" s="1"/>
  <c r="G162" i="10" s="1"/>
  <c r="L162" i="10" s="1"/>
  <c r="L13" i="8"/>
  <c r="L17" i="8" s="1"/>
  <c r="H138" i="11"/>
  <c r="L14" i="8"/>
  <c r="J135" i="11"/>
  <c r="J131" i="11"/>
  <c r="J62" i="11" s="1"/>
  <c r="I46" i="7"/>
  <c r="I18" i="9"/>
  <c r="I16" i="9"/>
  <c r="I18" i="7"/>
  <c r="I16" i="7"/>
  <c r="L43" i="12"/>
  <c r="K14" i="12"/>
  <c r="K146" i="12" s="1"/>
  <c r="I46" i="10"/>
  <c r="H32" i="10"/>
  <c r="G34" i="7"/>
  <c r="G97" i="7"/>
  <c r="L115" i="10"/>
  <c r="L100" i="10" s="1"/>
  <c r="I19" i="10"/>
  <c r="I22" i="10"/>
  <c r="I31" i="10" s="1"/>
  <c r="H18" i="13"/>
  <c r="H16" i="13"/>
  <c r="L41" i="11"/>
  <c r="L13" i="11" s="1"/>
  <c r="L36" i="11" s="1"/>
  <c r="D192" i="11" s="1"/>
  <c r="G192" i="11" s="1"/>
  <c r="L192" i="11" s="1"/>
  <c r="K13" i="11"/>
  <c r="I65" i="12"/>
  <c r="H138" i="12"/>
  <c r="L15" i="8"/>
  <c r="I65" i="11"/>
  <c r="L151" i="11"/>
  <c r="K115" i="10"/>
  <c r="K100" i="10" s="1"/>
  <c r="L41" i="7"/>
  <c r="K13" i="7"/>
  <c r="K17" i="7" s="1"/>
  <c r="I46" i="11"/>
  <c r="I188" i="13"/>
  <c r="J188" i="13" s="1"/>
  <c r="H194" i="13"/>
  <c r="H20" i="13" s="1"/>
  <c r="H133" i="13"/>
  <c r="H139" i="13" s="1"/>
  <c r="H141" i="13" s="1"/>
  <c r="H104" i="13" s="1"/>
  <c r="K15" i="8"/>
  <c r="K43" i="6"/>
  <c r="J14" i="6"/>
  <c r="J15" i="6" s="1"/>
  <c r="I188" i="11"/>
  <c r="I194" i="11" s="1"/>
  <c r="I20" i="11" s="1"/>
  <c r="H194" i="11"/>
  <c r="H20" i="11" s="1"/>
  <c r="H66" i="11" s="1"/>
  <c r="H67" i="11" s="1"/>
  <c r="H70" i="11" s="1"/>
  <c r="J14" i="7"/>
  <c r="J15" i="7" s="1"/>
  <c r="H19" i="12"/>
  <c r="F34" i="11"/>
  <c r="F165" i="11"/>
  <c r="G34" i="6"/>
  <c r="G97" i="6"/>
  <c r="I188" i="12"/>
  <c r="J188" i="12"/>
  <c r="K188" i="12"/>
  <c r="H194" i="12"/>
  <c r="H20" i="12" s="1"/>
  <c r="H22" i="6"/>
  <c r="H31" i="6" s="1"/>
  <c r="H19" i="6"/>
  <c r="I46" i="12"/>
  <c r="I19" i="8"/>
  <c r="I22" i="8"/>
  <c r="I31" i="8" s="1"/>
  <c r="L21" i="12"/>
  <c r="L102" i="12" s="1"/>
  <c r="K102" i="12"/>
  <c r="L44" i="7"/>
  <c r="I64" i="10"/>
  <c r="I70" i="10" s="1"/>
  <c r="I18" i="13"/>
  <c r="I16" i="13"/>
  <c r="L154" i="12"/>
  <c r="I74" i="10"/>
  <c r="I77" i="10" s="1"/>
  <c r="I84" i="10" s="1"/>
  <c r="I108" i="10"/>
  <c r="I18" i="11"/>
  <c r="I16" i="11"/>
  <c r="J131" i="12"/>
  <c r="J62" i="12" s="1"/>
  <c r="J135" i="12"/>
  <c r="H138" i="13"/>
  <c r="H74" i="13"/>
  <c r="H77" i="13" s="1"/>
  <c r="H84" i="13" s="1"/>
  <c r="L155" i="11"/>
  <c r="F34" i="10"/>
  <c r="F135" i="10"/>
  <c r="I46" i="6"/>
  <c r="L41" i="12"/>
  <c r="K13" i="12"/>
  <c r="I46" i="8"/>
  <c r="H32" i="8"/>
  <c r="H33" i="8" s="1"/>
  <c r="I65" i="13"/>
  <c r="H22" i="7"/>
  <c r="H31" i="7" s="1"/>
  <c r="H19" i="7"/>
  <c r="L69" i="11"/>
  <c r="J145" i="12"/>
  <c r="J130" i="12" s="1"/>
  <c r="J15" i="12"/>
  <c r="J36" i="12"/>
  <c r="J17" i="12"/>
  <c r="J147" i="12" s="1"/>
  <c r="L44" i="10"/>
  <c r="L17" i="10" s="1"/>
  <c r="L117" i="10" s="1"/>
  <c r="L102" i="10" s="1"/>
  <c r="L63" i="10" s="1"/>
  <c r="K17" i="10"/>
  <c r="K117" i="10" s="1"/>
  <c r="K102" i="10" s="1"/>
  <c r="K63" i="10" s="1"/>
  <c r="J14" i="9"/>
  <c r="J15" i="9" s="1"/>
  <c r="J36" i="9"/>
  <c r="D160" i="9" s="1"/>
  <c r="G160" i="9" s="1"/>
  <c r="J160" i="9" s="1"/>
  <c r="F34" i="12"/>
  <c r="F165" i="12"/>
  <c r="H33" i="10"/>
  <c r="I46" i="9"/>
  <c r="I103" i="10"/>
  <c r="K13" i="9"/>
  <c r="L41" i="9"/>
  <c r="K65" i="8"/>
  <c r="I61" i="11"/>
  <c r="I18" i="6"/>
  <c r="I16" i="6"/>
  <c r="K17" i="9"/>
  <c r="L44" i="9"/>
  <c r="I74" i="11"/>
  <c r="L44" i="6"/>
  <c r="K17" i="6"/>
  <c r="J145" i="11"/>
  <c r="J130" i="11" s="1"/>
  <c r="J15" i="11"/>
  <c r="J36" i="11"/>
  <c r="D190" i="11" s="1"/>
  <c r="G190" i="11" s="1"/>
  <c r="J190" i="11" s="1"/>
  <c r="J17" i="11"/>
  <c r="J147" i="11" s="1"/>
  <c r="H139" i="11"/>
  <c r="H141" i="11" s="1"/>
  <c r="K14" i="11"/>
  <c r="K146" i="11" s="1"/>
  <c r="L43" i="11"/>
  <c r="D189" i="12"/>
  <c r="G189" i="12" s="1"/>
  <c r="I189" i="12" s="1"/>
  <c r="I109" i="12"/>
  <c r="L151" i="12"/>
  <c r="I136" i="12"/>
  <c r="I75" i="12" s="1"/>
  <c r="I132" i="12"/>
  <c r="I63" i="12" s="1"/>
  <c r="I137" i="12"/>
  <c r="I76" i="12" s="1"/>
  <c r="L155" i="12"/>
  <c r="I132" i="13"/>
  <c r="I63" i="13" s="1"/>
  <c r="I137" i="13"/>
  <c r="I76" i="13" s="1"/>
  <c r="I136" i="13"/>
  <c r="I75" i="13" s="1"/>
  <c r="J101" i="10"/>
  <c r="J62" i="10" s="1"/>
  <c r="J105" i="10"/>
  <c r="J106" i="10"/>
  <c r="J75" i="10" s="1"/>
  <c r="F34" i="9"/>
  <c r="F135" i="9"/>
  <c r="H19" i="9"/>
  <c r="I46" i="13"/>
  <c r="I61" i="12"/>
  <c r="H19" i="11"/>
  <c r="I65" i="9"/>
  <c r="I135" i="13"/>
  <c r="I131" i="13"/>
  <c r="I62" i="13" s="1"/>
  <c r="L21" i="9"/>
  <c r="L69" i="9" s="1"/>
  <c r="J145" i="13"/>
  <c r="J130" i="13" s="1"/>
  <c r="J36" i="13"/>
  <c r="J17" i="13"/>
  <c r="J147" i="13" s="1"/>
  <c r="J14" i="13"/>
  <c r="J146" i="13" s="1"/>
  <c r="K36" i="8"/>
  <c r="D123" i="8" s="1"/>
  <c r="G123" i="8" s="1"/>
  <c r="K123" i="8" s="1"/>
  <c r="K14" i="10"/>
  <c r="K116" i="10" s="1"/>
  <c r="L43" i="10"/>
  <c r="L14" i="10" s="1"/>
  <c r="L116" i="10" s="1"/>
  <c r="K106" i="10"/>
  <c r="K75" i="10" s="1"/>
  <c r="L124" i="10"/>
  <c r="L21" i="8"/>
  <c r="L69" i="8" s="1"/>
  <c r="I138" i="12"/>
  <c r="I74" i="12"/>
  <c r="I77" i="12" s="1"/>
  <c r="I84" i="12" s="1"/>
  <c r="F34" i="13"/>
  <c r="F165" i="13"/>
  <c r="I18" i="12"/>
  <c r="I16" i="12"/>
  <c r="L154" i="11"/>
  <c r="J61" i="10"/>
  <c r="K120" i="8"/>
  <c r="L120" i="8" s="1"/>
  <c r="I158" i="9"/>
  <c r="I164" i="9" s="1"/>
  <c r="I20" i="9" s="1"/>
  <c r="H164" i="9"/>
  <c r="H20" i="9" s="1"/>
  <c r="H66" i="9" s="1"/>
  <c r="I66" i="9" s="1"/>
  <c r="I109" i="13"/>
  <c r="D189" i="13"/>
  <c r="G189" i="13" s="1"/>
  <c r="I189" i="13" s="1"/>
  <c r="L41" i="13"/>
  <c r="K13" i="13"/>
  <c r="J107" i="10"/>
  <c r="J76" i="10" s="1"/>
  <c r="H133" i="12"/>
  <c r="L154" i="13"/>
  <c r="L158" i="10"/>
  <c r="J16" i="8"/>
  <c r="J18" i="8"/>
  <c r="J15" i="10"/>
  <c r="K65" i="10"/>
  <c r="J17" i="9"/>
  <c r="I61" i="13"/>
  <c r="H77" i="11"/>
  <c r="H84" i="11" s="1"/>
  <c r="L125" i="10"/>
  <c r="L41" i="6"/>
  <c r="K13" i="6"/>
  <c r="I136" i="11"/>
  <c r="I75" i="11" s="1"/>
  <c r="I132" i="11"/>
  <c r="I63" i="11" s="1"/>
  <c r="I137" i="11"/>
  <c r="I76" i="11" s="1"/>
  <c r="L14" i="11" l="1"/>
  <c r="L146" i="11" s="1"/>
  <c r="L17" i="11"/>
  <c r="L147" i="11" s="1"/>
  <c r="L137" i="11" s="1"/>
  <c r="L76" i="11" s="1"/>
  <c r="L13" i="7"/>
  <c r="L14" i="7" s="1"/>
  <c r="K107" i="10"/>
  <c r="K76" i="10" s="1"/>
  <c r="H139" i="12"/>
  <c r="H141" i="12" s="1"/>
  <c r="H104" i="12" s="1"/>
  <c r="L188" i="12"/>
  <c r="L107" i="10"/>
  <c r="L76" i="10" s="1"/>
  <c r="J64" i="10"/>
  <c r="L36" i="8"/>
  <c r="D124" i="8" s="1"/>
  <c r="G124" i="8" s="1"/>
  <c r="L124" i="8" s="1"/>
  <c r="L17" i="7"/>
  <c r="H34" i="8"/>
  <c r="H86" i="8"/>
  <c r="J16" i="6"/>
  <c r="J18" i="6"/>
  <c r="J16" i="7"/>
  <c r="J18" i="7"/>
  <c r="J16" i="9"/>
  <c r="J18" i="9"/>
  <c r="L65" i="10"/>
  <c r="J61" i="11"/>
  <c r="L105" i="10"/>
  <c r="L101" i="10"/>
  <c r="L62" i="10" s="1"/>
  <c r="H101" i="12"/>
  <c r="H66" i="12"/>
  <c r="K105" i="10"/>
  <c r="K101" i="10"/>
  <c r="K62" i="10" s="1"/>
  <c r="H67" i="9"/>
  <c r="H70" i="9" s="1"/>
  <c r="K135" i="12"/>
  <c r="K131" i="12"/>
  <c r="K62" i="12" s="1"/>
  <c r="J158" i="9"/>
  <c r="J65" i="9"/>
  <c r="I67" i="9"/>
  <c r="I70" i="9" s="1"/>
  <c r="K131" i="11"/>
  <c r="K62" i="11" s="1"/>
  <c r="K135" i="11"/>
  <c r="K145" i="12"/>
  <c r="K130" i="12" s="1"/>
  <c r="K15" i="12"/>
  <c r="K36" i="12"/>
  <c r="K17" i="12"/>
  <c r="K147" i="12" s="1"/>
  <c r="J46" i="12"/>
  <c r="L14" i="12"/>
  <c r="L146" i="12" s="1"/>
  <c r="J46" i="7"/>
  <c r="I133" i="13"/>
  <c r="H22" i="9"/>
  <c r="H31" i="9" s="1"/>
  <c r="J108" i="10"/>
  <c r="J74" i="10"/>
  <c r="J77" i="10" s="1"/>
  <c r="J84" i="10" s="1"/>
  <c r="I64" i="11"/>
  <c r="I109" i="10"/>
  <c r="I111" i="10" s="1"/>
  <c r="J65" i="13"/>
  <c r="L13" i="12"/>
  <c r="K16" i="8"/>
  <c r="K18" i="8"/>
  <c r="K14" i="7"/>
  <c r="K15" i="7" s="1"/>
  <c r="J18" i="10"/>
  <c r="J16" i="10"/>
  <c r="K188" i="13"/>
  <c r="J46" i="11"/>
  <c r="J65" i="11"/>
  <c r="I74" i="13"/>
  <c r="I77" i="13" s="1"/>
  <c r="I84" i="13" s="1"/>
  <c r="I138" i="13"/>
  <c r="K14" i="6"/>
  <c r="K15" i="6" s="1"/>
  <c r="L43" i="6"/>
  <c r="I19" i="12"/>
  <c r="I133" i="11"/>
  <c r="L15" i="7"/>
  <c r="J135" i="13"/>
  <c r="J131" i="13"/>
  <c r="J62" i="13" s="1"/>
  <c r="I66" i="11"/>
  <c r="I67" i="11" s="1"/>
  <c r="J65" i="12"/>
  <c r="L61" i="10"/>
  <c r="L13" i="13"/>
  <c r="J137" i="13"/>
  <c r="J76" i="13" s="1"/>
  <c r="J132" i="13"/>
  <c r="J63" i="13" s="1"/>
  <c r="J136" i="13"/>
  <c r="J75" i="13" s="1"/>
  <c r="J136" i="11"/>
  <c r="J75" i="11" s="1"/>
  <c r="J137" i="11"/>
  <c r="J76" i="11" s="1"/>
  <c r="J132" i="11"/>
  <c r="J63" i="11" s="1"/>
  <c r="J109" i="12"/>
  <c r="D190" i="12"/>
  <c r="G190" i="12" s="1"/>
  <c r="J190" i="12" s="1"/>
  <c r="I32" i="8"/>
  <c r="I33" i="8" s="1"/>
  <c r="I34" i="8" s="1"/>
  <c r="J46" i="8"/>
  <c r="J46" i="6"/>
  <c r="I19" i="13"/>
  <c r="J188" i="11"/>
  <c r="L69" i="12"/>
  <c r="K61" i="10"/>
  <c r="K64" i="10" s="1"/>
  <c r="L15" i="10"/>
  <c r="I22" i="7"/>
  <c r="I31" i="7" s="1"/>
  <c r="I19" i="7"/>
  <c r="L13" i="6"/>
  <c r="L17" i="6" s="1"/>
  <c r="D190" i="13"/>
  <c r="G190" i="13" s="1"/>
  <c r="J190" i="13" s="1"/>
  <c r="J109" i="13"/>
  <c r="H22" i="11"/>
  <c r="H31" i="11" s="1"/>
  <c r="I138" i="11"/>
  <c r="L13" i="9"/>
  <c r="I32" i="9"/>
  <c r="J46" i="9"/>
  <c r="J18" i="12"/>
  <c r="J16" i="12"/>
  <c r="H66" i="13"/>
  <c r="H101" i="13"/>
  <c r="K15" i="10"/>
  <c r="K15" i="11"/>
  <c r="K145" i="11"/>
  <c r="K130" i="11" s="1"/>
  <c r="K36" i="11"/>
  <c r="D191" i="11" s="1"/>
  <c r="G191" i="11" s="1"/>
  <c r="K191" i="11" s="1"/>
  <c r="K17" i="11"/>
  <c r="K147" i="11" s="1"/>
  <c r="J74" i="11"/>
  <c r="J61" i="13"/>
  <c r="I19" i="6"/>
  <c r="I22" i="6"/>
  <c r="I31" i="6" s="1"/>
  <c r="I32" i="6" s="1"/>
  <c r="H86" i="10"/>
  <c r="H34" i="10"/>
  <c r="H22" i="12"/>
  <c r="H31" i="12" s="1"/>
  <c r="I32" i="10"/>
  <c r="J46" i="10"/>
  <c r="J19" i="8"/>
  <c r="H22" i="13"/>
  <c r="H31" i="13" s="1"/>
  <c r="H19" i="13"/>
  <c r="J74" i="12"/>
  <c r="I33" i="10"/>
  <c r="I34" i="10" s="1"/>
  <c r="J46" i="13"/>
  <c r="L131" i="11"/>
  <c r="L62" i="11" s="1"/>
  <c r="L135" i="11"/>
  <c r="I194" i="12"/>
  <c r="I20" i="12" s="1"/>
  <c r="I101" i="12" s="1"/>
  <c r="H32" i="7"/>
  <c r="H33" i="7" s="1"/>
  <c r="H34" i="7" s="1"/>
  <c r="I22" i="11"/>
  <c r="I31" i="11" s="1"/>
  <c r="I32" i="11" s="1"/>
  <c r="I19" i="11"/>
  <c r="L16" i="8"/>
  <c r="L18" i="8"/>
  <c r="K145" i="13"/>
  <c r="K130" i="13" s="1"/>
  <c r="K14" i="13"/>
  <c r="K146" i="13" s="1"/>
  <c r="K17" i="13"/>
  <c r="K147" i="13" s="1"/>
  <c r="K36" i="13"/>
  <c r="J137" i="12"/>
  <c r="J76" i="12" s="1"/>
  <c r="J132" i="12"/>
  <c r="J63" i="12" s="1"/>
  <c r="J136" i="12"/>
  <c r="J75" i="12" s="1"/>
  <c r="H32" i="6"/>
  <c r="H33" i="6" s="1"/>
  <c r="H34" i="6" s="1"/>
  <c r="J103" i="10"/>
  <c r="J109" i="10" s="1"/>
  <c r="J111" i="10" s="1"/>
  <c r="L106" i="10"/>
  <c r="L75" i="10" s="1"/>
  <c r="J15" i="13"/>
  <c r="I133" i="12"/>
  <c r="I139" i="12" s="1"/>
  <c r="J16" i="11"/>
  <c r="J18" i="11"/>
  <c r="I77" i="11"/>
  <c r="I84" i="11" s="1"/>
  <c r="L17" i="9"/>
  <c r="K36" i="9"/>
  <c r="D161" i="9" s="1"/>
  <c r="G161" i="9" s="1"/>
  <c r="K161" i="9" s="1"/>
  <c r="K14" i="9"/>
  <c r="K15" i="9" s="1"/>
  <c r="J61" i="12"/>
  <c r="I194" i="13"/>
  <c r="I20" i="13" s="1"/>
  <c r="I101" i="13" s="1"/>
  <c r="L132" i="11"/>
  <c r="L63" i="11" s="1"/>
  <c r="L145" i="11"/>
  <c r="L130" i="11" s="1"/>
  <c r="L15" i="11"/>
  <c r="I22" i="9"/>
  <c r="I31" i="9" s="1"/>
  <c r="I19" i="9"/>
  <c r="K15" i="13" l="1"/>
  <c r="I22" i="12"/>
  <c r="I31" i="12" s="1"/>
  <c r="L136" i="11"/>
  <c r="L75" i="11" s="1"/>
  <c r="J77" i="12"/>
  <c r="J84" i="12" s="1"/>
  <c r="J133" i="13"/>
  <c r="J133" i="12"/>
  <c r="J139" i="12" s="1"/>
  <c r="J141" i="12" s="1"/>
  <c r="J104" i="12" s="1"/>
  <c r="I141" i="12"/>
  <c r="I104" i="12" s="1"/>
  <c r="J77" i="11"/>
  <c r="J84" i="11" s="1"/>
  <c r="J138" i="12"/>
  <c r="L65" i="8"/>
  <c r="I139" i="13"/>
  <c r="I141" i="13" s="1"/>
  <c r="I104" i="13" s="1"/>
  <c r="L64" i="10"/>
  <c r="L14" i="6"/>
  <c r="L15" i="6" s="1"/>
  <c r="K16" i="9"/>
  <c r="K18" i="9"/>
  <c r="L61" i="11"/>
  <c r="L64" i="11" s="1"/>
  <c r="L133" i="11"/>
  <c r="I33" i="7"/>
  <c r="I34" i="7" s="1"/>
  <c r="K65" i="12"/>
  <c r="L135" i="12"/>
  <c r="L131" i="12"/>
  <c r="L62" i="12" s="1"/>
  <c r="H32" i="12"/>
  <c r="H33" i="12" s="1"/>
  <c r="K61" i="12"/>
  <c r="K65" i="9"/>
  <c r="D191" i="13"/>
  <c r="G191" i="13" s="1"/>
  <c r="K191" i="13" s="1"/>
  <c r="K109" i="13"/>
  <c r="L14" i="9"/>
  <c r="L15" i="9" s="1"/>
  <c r="L36" i="9"/>
  <c r="D162" i="9" s="1"/>
  <c r="G162" i="9" s="1"/>
  <c r="L162" i="9" s="1"/>
  <c r="J16" i="13"/>
  <c r="J18" i="13"/>
  <c r="K132" i="13"/>
  <c r="K63" i="13" s="1"/>
  <c r="K137" i="13"/>
  <c r="K76" i="13" s="1"/>
  <c r="K136" i="13"/>
  <c r="K75" i="13" s="1"/>
  <c r="K46" i="13"/>
  <c r="I86" i="10"/>
  <c r="H87" i="10"/>
  <c r="H89" i="10" s="1"/>
  <c r="K61" i="11"/>
  <c r="K103" i="10"/>
  <c r="K46" i="6"/>
  <c r="J32" i="6"/>
  <c r="K65" i="13"/>
  <c r="H33" i="9"/>
  <c r="H32" i="9"/>
  <c r="K158" i="9"/>
  <c r="K74" i="10"/>
  <c r="K77" i="10" s="1"/>
  <c r="K84" i="10" s="1"/>
  <c r="K108" i="10"/>
  <c r="I33" i="11"/>
  <c r="I34" i="11" s="1"/>
  <c r="K46" i="9"/>
  <c r="K65" i="11"/>
  <c r="J19" i="10"/>
  <c r="K18" i="12"/>
  <c r="K16" i="12"/>
  <c r="J64" i="11"/>
  <c r="L74" i="11"/>
  <c r="L77" i="11" s="1"/>
  <c r="L84" i="11" s="1"/>
  <c r="L138" i="11"/>
  <c r="H32" i="13"/>
  <c r="H33" i="13" s="1"/>
  <c r="K132" i="11"/>
  <c r="K63" i="11" s="1"/>
  <c r="K136" i="11"/>
  <c r="K75" i="11" s="1"/>
  <c r="K137" i="11"/>
  <c r="K76" i="11" s="1"/>
  <c r="H32" i="11"/>
  <c r="H33" i="11" s="1"/>
  <c r="L16" i="10"/>
  <c r="L18" i="10"/>
  <c r="L15" i="12"/>
  <c r="L145" i="12"/>
  <c r="L130" i="12" s="1"/>
  <c r="L17" i="12"/>
  <c r="L147" i="12" s="1"/>
  <c r="L36" i="12"/>
  <c r="K46" i="11"/>
  <c r="K135" i="13"/>
  <c r="K131" i="13"/>
  <c r="I33" i="6"/>
  <c r="I34" i="6" s="1"/>
  <c r="K18" i="11"/>
  <c r="K16" i="11"/>
  <c r="K46" i="8"/>
  <c r="I139" i="11"/>
  <c r="I141" i="11" s="1"/>
  <c r="L188" i="13"/>
  <c r="K18" i="7"/>
  <c r="K16" i="7"/>
  <c r="L74" i="10"/>
  <c r="L77" i="10" s="1"/>
  <c r="L84" i="10" s="1"/>
  <c r="L108" i="10"/>
  <c r="I66" i="12"/>
  <c r="H67" i="12"/>
  <c r="J22" i="7"/>
  <c r="J31" i="7" s="1"/>
  <c r="J19" i="7"/>
  <c r="K19" i="8"/>
  <c r="K46" i="12"/>
  <c r="K138" i="12"/>
  <c r="K74" i="12"/>
  <c r="K16" i="13"/>
  <c r="K18" i="13"/>
  <c r="K16" i="10"/>
  <c r="K18" i="10"/>
  <c r="J74" i="13"/>
  <c r="J77" i="13" s="1"/>
  <c r="J84" i="13" s="1"/>
  <c r="J138" i="13"/>
  <c r="J139" i="13" s="1"/>
  <c r="J141" i="13" s="1"/>
  <c r="J104" i="13" s="1"/>
  <c r="K61" i="13"/>
  <c r="I66" i="13"/>
  <c r="H67" i="13"/>
  <c r="L145" i="13"/>
  <c r="L130" i="13" s="1"/>
  <c r="L14" i="13"/>
  <c r="L146" i="13" s="1"/>
  <c r="L17" i="13"/>
  <c r="L147" i="13" s="1"/>
  <c r="L36" i="13"/>
  <c r="I32" i="12"/>
  <c r="I33" i="12" s="1"/>
  <c r="J19" i="6"/>
  <c r="J22" i="6"/>
  <c r="J31" i="6" s="1"/>
  <c r="J19" i="12"/>
  <c r="K18" i="6"/>
  <c r="K16" i="6"/>
  <c r="I86" i="8"/>
  <c r="H87" i="8"/>
  <c r="H89" i="8" s="1"/>
  <c r="I33" i="9"/>
  <c r="I34" i="9" s="1"/>
  <c r="L19" i="8"/>
  <c r="K188" i="11"/>
  <c r="I22" i="13"/>
  <c r="I31" i="13" s="1"/>
  <c r="I70" i="11"/>
  <c r="J32" i="7"/>
  <c r="K46" i="7"/>
  <c r="K132" i="12"/>
  <c r="K63" i="12" s="1"/>
  <c r="K137" i="12"/>
  <c r="K76" i="12" s="1"/>
  <c r="K136" i="12"/>
  <c r="K75" i="12" s="1"/>
  <c r="K74" i="11"/>
  <c r="L18" i="11"/>
  <c r="L16" i="11"/>
  <c r="J19" i="11"/>
  <c r="K46" i="10"/>
  <c r="J138" i="11"/>
  <c r="L103" i="10"/>
  <c r="L18" i="7"/>
  <c r="L16" i="7"/>
  <c r="I32" i="7"/>
  <c r="K109" i="12"/>
  <c r="D191" i="12"/>
  <c r="G191" i="12" s="1"/>
  <c r="K191" i="12" s="1"/>
  <c r="J133" i="11"/>
  <c r="J19" i="9"/>
  <c r="J139" i="11" l="1"/>
  <c r="J141" i="11" s="1"/>
  <c r="K64" i="11"/>
  <c r="I32" i="13"/>
  <c r="I33" i="13" s="1"/>
  <c r="I34" i="12"/>
  <c r="I100" i="12"/>
  <c r="I103" i="12" s="1"/>
  <c r="I105" i="12" s="1"/>
  <c r="I119" i="12" s="1"/>
  <c r="H100" i="13"/>
  <c r="H103" i="13" s="1"/>
  <c r="H105" i="13" s="1"/>
  <c r="H119" i="13" s="1"/>
  <c r="H60" i="13" s="1"/>
  <c r="H34" i="13"/>
  <c r="H86" i="13"/>
  <c r="H100" i="12"/>
  <c r="H103" i="12" s="1"/>
  <c r="H105" i="12" s="1"/>
  <c r="H119" i="12" s="1"/>
  <c r="H60" i="12" s="1"/>
  <c r="H34" i="12"/>
  <c r="H86" i="12"/>
  <c r="L16" i="9"/>
  <c r="L18" i="9"/>
  <c r="L19" i="7"/>
  <c r="L22" i="7"/>
  <c r="L31" i="7" s="1"/>
  <c r="L19" i="10"/>
  <c r="L137" i="13"/>
  <c r="L76" i="13" s="1"/>
  <c r="L132" i="13"/>
  <c r="L63" i="13" s="1"/>
  <c r="L136" i="13"/>
  <c r="L75" i="13" s="1"/>
  <c r="L74" i="12"/>
  <c r="K19" i="6"/>
  <c r="K22" i="6"/>
  <c r="K31" i="6" s="1"/>
  <c r="L131" i="13"/>
  <c r="L62" i="13" s="1"/>
  <c r="L135" i="13"/>
  <c r="K62" i="13"/>
  <c r="K133" i="13"/>
  <c r="H34" i="11"/>
  <c r="H86" i="11"/>
  <c r="I87" i="10"/>
  <c r="I89" i="10" s="1"/>
  <c r="L61" i="13"/>
  <c r="K138" i="13"/>
  <c r="K74" i="13"/>
  <c r="K77" i="13" s="1"/>
  <c r="K84" i="13" s="1"/>
  <c r="L15" i="13"/>
  <c r="I67" i="12"/>
  <c r="L46" i="12"/>
  <c r="L65" i="13"/>
  <c r="K133" i="12"/>
  <c r="K139" i="12" s="1"/>
  <c r="K141" i="12" s="1"/>
  <c r="K104" i="12" s="1"/>
  <c r="L46" i="7"/>
  <c r="L32" i="7" s="1"/>
  <c r="K32" i="7"/>
  <c r="L109" i="10"/>
  <c r="L16" i="6"/>
  <c r="L18" i="6"/>
  <c r="L46" i="6"/>
  <c r="K32" i="6"/>
  <c r="I87" i="8"/>
  <c r="I89" i="8" s="1"/>
  <c r="L46" i="8"/>
  <c r="K109" i="10"/>
  <c r="K111" i="10" s="1"/>
  <c r="L46" i="13"/>
  <c r="I67" i="13"/>
  <c r="L46" i="9"/>
  <c r="L19" i="11"/>
  <c r="K19" i="13"/>
  <c r="D192" i="12"/>
  <c r="G192" i="12" s="1"/>
  <c r="L192" i="12" s="1"/>
  <c r="L109" i="12"/>
  <c r="K19" i="9"/>
  <c r="J33" i="7"/>
  <c r="J34" i="7" s="1"/>
  <c r="K19" i="11"/>
  <c r="L137" i="12"/>
  <c r="L76" i="12" s="1"/>
  <c r="L136" i="12"/>
  <c r="L75" i="12" s="1"/>
  <c r="L132" i="12"/>
  <c r="L63" i="12" s="1"/>
  <c r="K19" i="12"/>
  <c r="L158" i="9"/>
  <c r="K138" i="11"/>
  <c r="L61" i="12"/>
  <c r="K133" i="11"/>
  <c r="K19" i="10"/>
  <c r="L46" i="11"/>
  <c r="L139" i="11"/>
  <c r="L46" i="10"/>
  <c r="K77" i="11"/>
  <c r="K84" i="11" s="1"/>
  <c r="L16" i="12"/>
  <c r="L18" i="12"/>
  <c r="L65" i="12"/>
  <c r="J33" i="6"/>
  <c r="J34" i="6" s="1"/>
  <c r="D192" i="13"/>
  <c r="G192" i="13" s="1"/>
  <c r="L192" i="13" s="1"/>
  <c r="L109" i="13"/>
  <c r="K77" i="12"/>
  <c r="K84" i="12" s="1"/>
  <c r="K22" i="7"/>
  <c r="K31" i="7" s="1"/>
  <c r="K19" i="7"/>
  <c r="L65" i="11"/>
  <c r="H34" i="9"/>
  <c r="H86" i="9"/>
  <c r="J19" i="13"/>
  <c r="L65" i="9"/>
  <c r="L188" i="11"/>
  <c r="L133" i="13" l="1"/>
  <c r="L111" i="10"/>
  <c r="I34" i="13"/>
  <c r="I100" i="13"/>
  <c r="I103" i="13" s="1"/>
  <c r="I105" i="13" s="1"/>
  <c r="I119" i="13" s="1"/>
  <c r="L19" i="12"/>
  <c r="I60" i="12"/>
  <c r="H64" i="12"/>
  <c r="H70" i="12" s="1"/>
  <c r="I86" i="13"/>
  <c r="H87" i="13"/>
  <c r="L19" i="6"/>
  <c r="L22" i="6"/>
  <c r="L31" i="6" s="1"/>
  <c r="K139" i="13"/>
  <c r="K141" i="13" s="1"/>
  <c r="K104" i="13" s="1"/>
  <c r="I60" i="13"/>
  <c r="H64" i="13"/>
  <c r="H70" i="13" s="1"/>
  <c r="K33" i="6"/>
  <c r="K34" i="6" s="1"/>
  <c r="K33" i="7"/>
  <c r="K34" i="7" s="1"/>
  <c r="L18" i="13"/>
  <c r="L16" i="13"/>
  <c r="L33" i="7"/>
  <c r="L34" i="7" s="1"/>
  <c r="L32" i="6"/>
  <c r="K139" i="11"/>
  <c r="K141" i="11" s="1"/>
  <c r="L77" i="12"/>
  <c r="L84" i="12" s="1"/>
  <c r="I86" i="11"/>
  <c r="H87" i="11"/>
  <c r="H89" i="11" s="1"/>
  <c r="I86" i="9"/>
  <c r="H87" i="9"/>
  <c r="H89" i="9" s="1"/>
  <c r="L19" i="9"/>
  <c r="L74" i="13"/>
  <c r="L77" i="13" s="1"/>
  <c r="L84" i="13" s="1"/>
  <c r="L138" i="13"/>
  <c r="L139" i="13" s="1"/>
  <c r="L133" i="12"/>
  <c r="L138" i="12"/>
  <c r="I86" i="12"/>
  <c r="H87" i="12"/>
  <c r="H89" i="12" s="1"/>
  <c r="L139" i="12" l="1"/>
  <c r="L141" i="12" s="1"/>
  <c r="L104" i="12" s="1"/>
  <c r="L141" i="13"/>
  <c r="L104" i="13" s="1"/>
  <c r="I64" i="13"/>
  <c r="I70" i="13" s="1"/>
  <c r="I87" i="11"/>
  <c r="I89" i="11" s="1"/>
  <c r="L141" i="11"/>
  <c r="I87" i="12"/>
  <c r="L33" i="6"/>
  <c r="L34" i="6" s="1"/>
  <c r="I64" i="12"/>
  <c r="I70" i="12" s="1"/>
  <c r="L19" i="13"/>
  <c r="I87" i="9"/>
  <c r="I89" i="9" s="1"/>
  <c r="H89" i="13"/>
  <c r="I87" i="13"/>
  <c r="I89" i="13" l="1"/>
  <c r="I89" i="12"/>
  <c r="J20" i="8" l="1"/>
  <c r="K20" i="8"/>
  <c r="L20" i="8"/>
  <c r="J22" i="8"/>
  <c r="K22" i="8"/>
  <c r="L22" i="8"/>
  <c r="J31" i="8"/>
  <c r="K31" i="8"/>
  <c r="L31" i="8"/>
  <c r="J32" i="8"/>
  <c r="K32" i="8"/>
  <c r="L32" i="8"/>
  <c r="J33" i="8"/>
  <c r="K33" i="8"/>
  <c r="L33" i="8"/>
  <c r="J34" i="8"/>
  <c r="K34" i="8"/>
  <c r="L34" i="8"/>
  <c r="J66" i="8"/>
  <c r="K66" i="8"/>
  <c r="L66" i="8"/>
  <c r="J67" i="8"/>
  <c r="K67" i="8"/>
  <c r="L67" i="8"/>
  <c r="J70" i="8"/>
  <c r="K70" i="8"/>
  <c r="L70" i="8"/>
  <c r="J86" i="8"/>
  <c r="K86" i="8"/>
  <c r="L86" i="8"/>
  <c r="J87" i="8"/>
  <c r="K87" i="8"/>
  <c r="L87" i="8"/>
  <c r="J89" i="8"/>
  <c r="K89" i="8"/>
  <c r="L89" i="8"/>
  <c r="J121" i="8"/>
  <c r="K121" i="8"/>
  <c r="L121" i="8"/>
  <c r="K122" i="8"/>
  <c r="L122" i="8"/>
  <c r="L123" i="8"/>
  <c r="J126" i="8"/>
  <c r="K126" i="8"/>
  <c r="L126" i="8"/>
  <c r="J20" i="9"/>
  <c r="K20" i="9"/>
  <c r="L20" i="9"/>
  <c r="J22" i="9"/>
  <c r="K22" i="9"/>
  <c r="L22" i="9"/>
  <c r="J31" i="9"/>
  <c r="K31" i="9"/>
  <c r="L31" i="9"/>
  <c r="J32" i="9"/>
  <c r="K32" i="9"/>
  <c r="L32" i="9"/>
  <c r="J33" i="9"/>
  <c r="K33" i="9"/>
  <c r="L33" i="9"/>
  <c r="J34" i="9"/>
  <c r="K34" i="9"/>
  <c r="L34" i="9"/>
  <c r="J66" i="9"/>
  <c r="K66" i="9"/>
  <c r="L66" i="9"/>
  <c r="J67" i="9"/>
  <c r="K67" i="9"/>
  <c r="L67" i="9"/>
  <c r="J70" i="9"/>
  <c r="K70" i="9"/>
  <c r="L70" i="9"/>
  <c r="J86" i="9"/>
  <c r="K86" i="9"/>
  <c r="L86" i="9"/>
  <c r="J87" i="9"/>
  <c r="K87" i="9"/>
  <c r="L87" i="9"/>
  <c r="J89" i="9"/>
  <c r="K89" i="9"/>
  <c r="L89" i="9"/>
  <c r="J159" i="9"/>
  <c r="K159" i="9"/>
  <c r="L159" i="9"/>
  <c r="K160" i="9"/>
  <c r="L160" i="9"/>
  <c r="L161" i="9"/>
  <c r="J164" i="9"/>
  <c r="K164" i="9"/>
  <c r="L164" i="9"/>
  <c r="J20" i="10"/>
  <c r="K20" i="10"/>
  <c r="L20" i="10"/>
  <c r="J22" i="10"/>
  <c r="K22" i="10"/>
  <c r="L22" i="10"/>
  <c r="J31" i="10"/>
  <c r="K31" i="10"/>
  <c r="L31" i="10"/>
  <c r="J32" i="10"/>
  <c r="K32" i="10"/>
  <c r="L32" i="10"/>
  <c r="J33" i="10"/>
  <c r="K33" i="10"/>
  <c r="L33" i="10"/>
  <c r="J34" i="10"/>
  <c r="K34" i="10"/>
  <c r="L34" i="10"/>
  <c r="J66" i="10"/>
  <c r="K66" i="10"/>
  <c r="L66" i="10"/>
  <c r="J67" i="10"/>
  <c r="K67" i="10"/>
  <c r="L67" i="10"/>
  <c r="J70" i="10"/>
  <c r="K70" i="10"/>
  <c r="L70" i="10"/>
  <c r="J86" i="10"/>
  <c r="K86" i="10"/>
  <c r="L86" i="10"/>
  <c r="J87" i="10"/>
  <c r="K87" i="10"/>
  <c r="L87" i="10"/>
  <c r="J89" i="10"/>
  <c r="K89" i="10"/>
  <c r="L89" i="10"/>
  <c r="J159" i="10"/>
  <c r="K159" i="10"/>
  <c r="L159" i="10"/>
  <c r="K160" i="10"/>
  <c r="L160" i="10"/>
  <c r="L161" i="10"/>
  <c r="J164" i="10"/>
  <c r="K164" i="10"/>
  <c r="L164" i="10"/>
  <c r="J20" i="11"/>
  <c r="K20" i="11"/>
  <c r="L20" i="11"/>
  <c r="J22" i="11"/>
  <c r="K22" i="11"/>
  <c r="L22" i="11"/>
  <c r="J31" i="11"/>
  <c r="K31" i="11"/>
  <c r="L31" i="11"/>
  <c r="J32" i="11"/>
  <c r="K32" i="11"/>
  <c r="L32" i="11"/>
  <c r="J33" i="11"/>
  <c r="K33" i="11"/>
  <c r="L33" i="11"/>
  <c r="J34" i="11"/>
  <c r="K34" i="11"/>
  <c r="L34" i="11"/>
  <c r="J66" i="11"/>
  <c r="K66" i="11"/>
  <c r="L66" i="11"/>
  <c r="J67" i="11"/>
  <c r="K67" i="11"/>
  <c r="L67" i="11"/>
  <c r="J70" i="11"/>
  <c r="K70" i="11"/>
  <c r="L70" i="11"/>
  <c r="J86" i="11"/>
  <c r="K86" i="11"/>
  <c r="L86" i="11"/>
  <c r="J87" i="11"/>
  <c r="K87" i="11"/>
  <c r="L87" i="11"/>
  <c r="J89" i="11"/>
  <c r="K89" i="11"/>
  <c r="L89" i="11"/>
  <c r="J189" i="11"/>
  <c r="K189" i="11"/>
  <c r="L189" i="11"/>
  <c r="K190" i="11"/>
  <c r="L190" i="11"/>
  <c r="L191" i="11"/>
  <c r="J194" i="11"/>
  <c r="K194" i="11"/>
  <c r="L194" i="11"/>
  <c r="J20" i="12"/>
  <c r="K20" i="12"/>
  <c r="L20" i="12"/>
  <c r="J22" i="12"/>
  <c r="K22" i="12"/>
  <c r="L22" i="12"/>
  <c r="J31" i="12"/>
  <c r="K31" i="12"/>
  <c r="L31" i="12"/>
  <c r="J32" i="12"/>
  <c r="K32" i="12"/>
  <c r="L32" i="12"/>
  <c r="J33" i="12"/>
  <c r="K33" i="12"/>
  <c r="L33" i="12"/>
  <c r="J34" i="12"/>
  <c r="K34" i="12"/>
  <c r="L34" i="12"/>
  <c r="J60" i="12"/>
  <c r="K60" i="12"/>
  <c r="L60" i="12"/>
  <c r="J64" i="12"/>
  <c r="K64" i="12"/>
  <c r="L64" i="12"/>
  <c r="J66" i="12"/>
  <c r="K66" i="12"/>
  <c r="L66" i="12"/>
  <c r="J67" i="12"/>
  <c r="K67" i="12"/>
  <c r="L67" i="12"/>
  <c r="J70" i="12"/>
  <c r="K70" i="12"/>
  <c r="L70" i="12"/>
  <c r="J86" i="12"/>
  <c r="K86" i="12"/>
  <c r="L86" i="12"/>
  <c r="J87" i="12"/>
  <c r="K87" i="12"/>
  <c r="L87" i="12"/>
  <c r="J89" i="12"/>
  <c r="K89" i="12"/>
  <c r="L89" i="12"/>
  <c r="J100" i="12"/>
  <c r="K100" i="12"/>
  <c r="L100" i="12"/>
  <c r="J101" i="12"/>
  <c r="K101" i="12"/>
  <c r="L101" i="12"/>
  <c r="J103" i="12"/>
  <c r="K103" i="12"/>
  <c r="L103" i="12"/>
  <c r="J105" i="12"/>
  <c r="K105" i="12"/>
  <c r="L105" i="12"/>
  <c r="J119" i="12"/>
  <c r="K119" i="12"/>
  <c r="L119" i="12"/>
  <c r="J189" i="12"/>
  <c r="K189" i="12"/>
  <c r="L189" i="12"/>
  <c r="K190" i="12"/>
  <c r="L190" i="12"/>
  <c r="L191" i="12"/>
  <c r="J194" i="12"/>
  <c r="K194" i="12"/>
  <c r="L194" i="12"/>
  <c r="J20" i="13"/>
  <c r="K20" i="13"/>
  <c r="L20" i="13"/>
  <c r="J22" i="13"/>
  <c r="K22" i="13"/>
  <c r="L22" i="13"/>
  <c r="J31" i="13"/>
  <c r="K31" i="13"/>
  <c r="L31" i="13"/>
  <c r="J32" i="13"/>
  <c r="K32" i="13"/>
  <c r="L32" i="13"/>
  <c r="J33" i="13"/>
  <c r="K33" i="13"/>
  <c r="L33" i="13"/>
  <c r="J34" i="13"/>
  <c r="K34" i="13"/>
  <c r="L34" i="13"/>
  <c r="J60" i="13"/>
  <c r="K60" i="13"/>
  <c r="L60" i="13"/>
  <c r="J64" i="13"/>
  <c r="K64" i="13"/>
  <c r="L64" i="13"/>
  <c r="J66" i="13"/>
  <c r="K66" i="13"/>
  <c r="L66" i="13"/>
  <c r="J67" i="13"/>
  <c r="K67" i="13"/>
  <c r="L67" i="13"/>
  <c r="J70" i="13"/>
  <c r="K70" i="13"/>
  <c r="L70" i="13"/>
  <c r="J86" i="13"/>
  <c r="K86" i="13"/>
  <c r="L86" i="13"/>
  <c r="J87" i="13"/>
  <c r="K87" i="13"/>
  <c r="L87" i="13"/>
  <c r="J89" i="13"/>
  <c r="K89" i="13"/>
  <c r="L89" i="13"/>
  <c r="J100" i="13"/>
  <c r="K100" i="13"/>
  <c r="L100" i="13"/>
  <c r="J101" i="13"/>
  <c r="K101" i="13"/>
  <c r="L101" i="13"/>
  <c r="J103" i="13"/>
  <c r="K103" i="13"/>
  <c r="L103" i="13"/>
  <c r="J105" i="13"/>
  <c r="K105" i="13"/>
  <c r="L105" i="13"/>
  <c r="J119" i="13"/>
  <c r="K119" i="13"/>
  <c r="L119" i="13"/>
  <c r="J189" i="13"/>
  <c r="K189" i="13"/>
  <c r="L189" i="13"/>
  <c r="K190" i="13"/>
  <c r="L190" i="13"/>
  <c r="L191" i="13"/>
  <c r="J194" i="13"/>
  <c r="K194" i="13"/>
  <c r="L194" i="13"/>
</calcChain>
</file>

<file path=xl/sharedStrings.xml><?xml version="1.0" encoding="utf-8"?>
<sst xmlns="http://schemas.openxmlformats.org/spreadsheetml/2006/main" count="1457" uniqueCount="240">
  <si>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</si>
  <si>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</si>
  <si>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</si>
  <si>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</si>
  <si>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</si>
  <si>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</si>
  <si>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</si>
  <si>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</si>
  <si>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</si>
  <si>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</si>
  <si>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</si>
  <si>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</si>
  <si>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</si>
  <si>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</si>
  <si>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</si>
  <si>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</si>
  <si>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</si>
  <si>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</si>
  <si>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</si>
  <si>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</si>
  <si>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</si>
  <si>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</si>
  <si>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</si>
  <si>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</si>
  <si>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</si>
  <si>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</si>
  <si>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</si>
  <si>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</si>
  <si>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</si>
  <si>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</si>
  <si>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</si>
  <si>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</si>
  <si>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</si>
  <si>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</si>
  <si>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</si>
  <si>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</si>
  <si>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</si>
  <si>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</si>
  <si>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</si>
  <si>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</si>
  <si>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</si>
  <si>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</si>
  <si>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</si>
  <si>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</si>
  <si>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</si>
  <si>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</si>
  <si>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</si>
  <si>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</si>
  <si>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</si>
  <si>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</si>
  <si>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</si>
  <si>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</si>
  <si>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</si>
  <si>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</si>
  <si>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</si>
  <si>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</si>
  <si>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</si>
  <si>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</si>
  <si>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</si>
  <si>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</si>
  <si>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</si>
  <si>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</si>
  <si>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</si>
  <si>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</si>
  <si>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</si>
  <si>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</si>
  <si>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</si>
  <si>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</si>
  <si>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</si>
  <si>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</si>
  <si>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</si>
  <si>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</si>
  <si>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</si>
  <si>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</si>
  <si>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</si>
  <si>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</si>
  <si>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</si>
  <si>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</si>
  <si>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</si>
  <si>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</si>
  <si>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</si>
  <si>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</si>
  <si>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</si>
  <si>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</si>
  <si>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</si>
  <si>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</si>
  <si>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</si>
  <si>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</si>
  <si>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</si>
  <si>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</si>
  <si>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</si>
  <si>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</si>
  <si>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</si>
  <si>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</si>
  <si>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</si>
  <si>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</si>
  <si>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</si>
  <si>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</si>
  <si>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</si>
  <si>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</si>
  <si>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</si>
  <si>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</si>
  <si>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</si>
  <si>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</si>
  <si>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</si>
  <si>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</si>
  <si>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</si>
  <si>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</si>
  <si>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</si>
  <si>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</si>
  <si>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</si>
  <si>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</si>
  <si>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</si>
  <si>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</si>
  <si>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</si>
  <si>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</si>
  <si>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</si>
  <si>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</si>
  <si>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</si>
  <si>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</si>
  <si>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</si>
  <si>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</si>
  <si>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</si>
  <si>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</si>
  <si>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</si>
  <si>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</si>
  <si>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</si>
  <si>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</si>
  <si>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</si>
  <si>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</si>
  <si>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</si>
  <si>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</si>
  <si>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</si>
  <si>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</si>
  <si>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</si>
  <si>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</si>
  <si>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</si>
  <si>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</si>
  <si>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</si>
  <si>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</si>
  <si>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</si>
  <si>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</si>
  <si>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</si>
  <si>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</si>
  <si>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</si>
  <si>
    <t>Step 4 - More Balance Sheet - Net Working Capital</t>
  </si>
  <si>
    <t>Accounts Receivable, Net</t>
  </si>
  <si>
    <t>Link to Working Capital section, below</t>
  </si>
  <si>
    <t>Working Capital</t>
  </si>
  <si>
    <t>Accounts Receivable is the amount of money that people owe you for goods and services. It tends to correlate with Revenue - if Revenue goes up, it is likely that more people will owe you money. As such, this item follows Revenue, variably, through a ratio called Days Sales Outstanding, or DSO. See more on DSO, below. We use DSOs to inform us what our Accounts Receivable will be at the Revenue we are projecting. The formula is (Sales/# of Days in the Period)*DSO Ratio</t>
  </si>
  <si>
    <t>Inventory is the stuff that you sell. As such, it tends to correlate with CoGS. The higher my Sales, will mean that my CoGS go up too (see above) so I may want to keep more inventory around to keep up. As such, this item follows CoGS, variably, through a ratio called DIOH. See more on DIOH, below. We use DIOH to project how much inventory we will keep around to keep up with our Sales momentum. The formula to use is (CoGS/# of Days in the Period)*DIOH Ratio</t>
  </si>
  <si>
    <t>What's in Other Assets? I don't know either. We know that it is some Prepaid Costs, such as Insurance, but what else? It could be Supplies. Because we don't know, we use SG&amp;A as a Driver, assuming that things we typically Prepay (Rent and Insurance) would be SG&amp;A. The formula to use here is the % we calculated, below * SG&amp;A. I will make this driver variable because SG&amp;A was variable</t>
  </si>
  <si>
    <t>Non-Cash Current Assets</t>
  </si>
  <si>
    <t>Accounts Payable is the amount of money that you owe your vendors for the goods and services that go into your CoGS. It tends to correlate with CoGS - if CoGS go up, it is likely that you will buy more things and your bills will be higher. As such, this item follows CoGS, variably, through a ratio called Days Payable Outstanding, or DPO. See more on DPO, below. We use DPOs to inform us what our Accounts Payable will be at the Revenue we are projecting. The formula is (CoGS/# of Days in the Period)*DPO Ratio</t>
  </si>
  <si>
    <t>Wages Payable is for money we owe to our employees but have not paid yet. This is common in business practice. When you first start a job, it is common for you to start getting paid a few weeks after you start - because people are paid behind when they earn it, called "Arrears." If you leave a job, you are paid what you owe up to that day. The formula to use here is the % we calculated, below *SG&amp;A because that is where the costs of Payroll and Wages are captured</t>
  </si>
  <si>
    <t>Accrued Expenses are just like Accounts Payable except it is for other money we owe. See the explanation below. The formula to use here is the % we calculated, below *SG&amp;A</t>
  </si>
  <si>
    <t>Non-Debt Current Liabilities</t>
  </si>
  <si>
    <t>Net Working Capital, without Cash</t>
  </si>
  <si>
    <t>Change in Net Working Capital</t>
  </si>
  <si>
    <t>Given this is important for the Cash Flow Statement, let's make sure we calculate this here now. It is equal to this period's Net Working Capital minus last period's Net Working Capital</t>
  </si>
  <si>
    <t>Working Capital Drivers</t>
  </si>
  <si>
    <t>Sales</t>
  </si>
  <si>
    <t>Link to Sales in P&amp;L (this just makes life a little easier for the ratios we will build, below)</t>
  </si>
  <si>
    <t>DSO - Accounts Receivable Days Outstanding</t>
  </si>
  <si>
    <t>DSO stands for "Days Sales Outstanding." It tells you how long it takes you to collect from customers, on average, by giving you the number of days of individual sales that are outstanding (aka, have not been collected yet). It is calculated as: Accounts Receivable Balance / (Total Sales / # Days in the Period)</t>
  </si>
  <si>
    <t>DIOH - Day of Inventory on Hand</t>
  </si>
  <si>
    <t>DIOH stands for "Days of Inventory On Hand." It tells you how much inventory you carry at your location, on average, by giving you the number of days of individual CoGS that you have in inventory (aka, how much inventory do I have now)</t>
  </si>
  <si>
    <t>Prepaids &amp; Other Current Assets / SG&amp;A (%)</t>
  </si>
  <si>
    <t>We don't really have a good driver for this, so let's choose SG&amp;A, given that's where the costs are most likely captured. It will fluctuate as SG&amp;A moves around</t>
  </si>
  <si>
    <t>DPO - Accounts Payable Days Outstanding</t>
  </si>
  <si>
    <t>DPO stands for "Days Payable Outstanding." It tells you how long it takes you to pay your vendors (usually related to CoGS only), on average, by giving you the number of days of individual CoGS that are outstanding (aka, have you have not paid yet).  It is calculated as: Accounts Payable Balance / (Total CoGS / # Days in the Period)</t>
  </si>
  <si>
    <t>Wages Payable / SG&amp;A (%)</t>
  </si>
  <si>
    <t>We don't really have a good driver for this, so let's choose SG&amp;A, given that's where the costs are captured. It will fluctuate as SG&amp;A moves around</t>
  </si>
  <si>
    <t>Accrued Expenses &amp; Other / SG&amp;A (%)</t>
  </si>
  <si>
    <t>Accrued Expenses is how much money you owe your vendors that are not CoGS (think like your utility bill, etc). We can also make this one a % but it will most closely follow SG&amp;A. Let's choose that as our driver</t>
  </si>
  <si>
    <t>Step 5 - Watch. Cash. Flow</t>
  </si>
  <si>
    <t>Quote the Banker, “Watch Cash Flow” ~ Herbert S Bailey Jr, © 1975</t>
  </si>
  <si>
    <t>Cash will move based on the Net Income you made and how your business ran (Operating Activities), the cash you invested (Investing Activities) and the cash you had come in or out from Financing (Financing Activites, which we will do in a later step). The Cash balance on this line is the Cash resulting at the END of each period. So it is equal to the Cash from last period + the change in cash this period. As such, Cash in 2025 is equal to Cash Balance from last year (G60) plus the change in cash this year (H119).</t>
  </si>
  <si>
    <t>Cash Flow Statement</t>
  </si>
  <si>
    <t>Operating Activities</t>
  </si>
  <si>
    <r>
      <t xml:space="preserve">Now it is time to tie everything together with cash flow. Let's map the change in Cash (WHERE did Cash go) using </t>
    </r>
    <r>
      <rPr>
        <b/>
        <u/>
        <sz val="10"/>
        <color rgb="FF416D89"/>
        <rFont val="Open Sans"/>
        <family val="2"/>
      </rPr>
      <t xml:space="preserve">WHAT </t>
    </r>
    <r>
      <rPr>
        <b/>
        <sz val="10"/>
        <color rgb="FF416D89"/>
        <rFont val="Open Sans"/>
        <family val="2"/>
      </rPr>
      <t xml:space="preserve">happened in the Income Statement and </t>
    </r>
    <r>
      <rPr>
        <b/>
        <u/>
        <sz val="10"/>
        <color rgb="FF416D89"/>
        <rFont val="Open Sans"/>
        <family val="2"/>
      </rPr>
      <t xml:space="preserve">HOW </t>
    </r>
    <r>
      <rPr>
        <b/>
        <sz val="10"/>
        <color rgb="FF416D89"/>
        <rFont val="Open Sans"/>
        <family val="2"/>
      </rPr>
      <t>it affected the business on the Balance Sheet</t>
    </r>
  </si>
  <si>
    <t>Start with Net Income - this is the result of ALL Revenue and Expenses (including ones that do not affect cash). Starting here, we will next add the non-cash expenses from the P&amp;L. Link this to the P&amp;L as a POSITIVE to INCREASE the effect on cash - Net income removed it, we add it back to CASH flow</t>
  </si>
  <si>
    <r>
      <t xml:space="preserve">Depreciation is an expense that reflects the decrease in value of long-term, physical (tangible) assets. It </t>
    </r>
    <r>
      <rPr>
        <b/>
        <u/>
        <sz val="10"/>
        <color rgb="FF416D89"/>
        <rFont val="Open Sans"/>
        <family val="2"/>
      </rPr>
      <t>does not</t>
    </r>
    <r>
      <rPr>
        <b/>
        <sz val="10"/>
        <color rgb="FF416D89"/>
        <rFont val="Open Sans"/>
        <family val="2"/>
      </rPr>
      <t xml:space="preserve"> affect Cash - it is a non-Cash expense that is meant to reflect the "wear and tear" of Long-term Assets that you are using to produce Revenue over time. However, Deprecistion does affect the value of Long-term Assets directly - it is a reduction to our Assets for the loss in value of the Assets related to "wear and tear" and aging. So because we are "losing" the value of these Assets because we are using them, and because they are getting older - and presumably "less useful to us", it is a reduction in our ownership value of those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Depreciation Expense is in it... so we add it back to CASH Flow to REMOVE the effect that Depreciation has on Net Income to show actual Cash Flow</t>
    </r>
  </si>
  <si>
    <t>Amortization of Intangibles</t>
  </si>
  <si>
    <r>
      <t xml:space="preserve">Amortization is an expense that reflects the decrease in value of long-term, non-physical (intangible) assets. It also </t>
    </r>
    <r>
      <rPr>
        <b/>
        <u/>
        <sz val="10"/>
        <color rgb="FF416D89"/>
        <rFont val="Open Sans"/>
        <family val="2"/>
      </rPr>
      <t>does not</t>
    </r>
    <r>
      <rPr>
        <b/>
        <sz val="10"/>
        <color rgb="FF416D89"/>
        <rFont val="Open Sans"/>
        <family val="2"/>
      </rPr>
      <t xml:space="preserve"> affect Cash - it is a non-Cash expense that is meant to reflect the "use" of Long-term Intangible Assets that you are using to produce Revenue over time. However, Amortization does affect the value of Long-term Intangible Assets directly - it is a reduction to our Assets for the loss in value of the Intangible Assets related to use and aging. So because we are "losing" the value of these Assets because we are using them, and because they are getting older - and presumably "less useful to us", it is a reduction in our ownership value of those Intangible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Amortization Expense is in it... so we add it back to CASH Flow to REMOVE the effect that Amortization has on Net Income to show actual Cash Flow</t>
    </r>
  </si>
  <si>
    <t>Net Income + Non-Cash Expense Adjustments</t>
  </si>
  <si>
    <t>These are the total adjustments added to Net Income to get a "cash basis" of Net Income. However, these adjustments are only the first step in calculating our changes in Cash related to Operating activities. HOW fast the business collected money, paid money, etc also needs to be considered for the change in CASH. As such, we look at the change in Current Assets and Current Liabilities that are not Debt to see the effect they have on cash as well</t>
  </si>
  <si>
    <t>(Increase) / Decrease in Working Capital</t>
  </si>
  <si>
    <r>
      <t xml:space="preserve">Working Capital can be tricky to think through and counter intuitive but think of it this way: If Working Capital goes up, it means that we have an </t>
    </r>
    <r>
      <rPr>
        <b/>
        <u/>
        <sz val="10"/>
        <color rgb="FF416D89"/>
        <rFont val="Open Sans"/>
        <family val="2"/>
      </rPr>
      <t>INCREASE</t>
    </r>
    <r>
      <rPr>
        <b/>
        <sz val="10"/>
        <color rgb="FF416D89"/>
        <rFont val="Open Sans"/>
        <family val="2"/>
      </rPr>
      <t xml:space="preserve"> in Assets compared with the change in Liabilities. This means that Assets either went up or Liabilities went down period over period. If Assets go up, it means that we either did not collect money, or used money, for our Assets to increase. Althernatively, if Liabilities went down we </t>
    </r>
    <r>
      <rPr>
        <b/>
        <u/>
        <sz val="10"/>
        <color rgb="FF416D89"/>
        <rFont val="Open Sans"/>
        <family val="2"/>
      </rPr>
      <t>USED</t>
    </r>
    <r>
      <rPr>
        <b/>
        <sz val="10"/>
        <color rgb="FF416D89"/>
        <rFont val="Open Sans"/>
        <family val="2"/>
      </rPr>
      <t xml:space="preserve"> money to pay off some money we owe. Either way, an INCREASE in Working Capital is a DECREASE in cash - we have less cash in our pocket. We link to the Working Capital section, below</t>
    </r>
  </si>
  <si>
    <t>Cash flow from Operating Activities</t>
  </si>
  <si>
    <t>Investing Activities</t>
  </si>
  <si>
    <t>Cash flow from Investment Activities - CapEx</t>
  </si>
  <si>
    <r>
      <t xml:space="preserve">Cash flow from investing activities is the cash paid for Long-term Assets (physical and non-physical. Is is a </t>
    </r>
    <r>
      <rPr>
        <b/>
        <u/>
        <sz val="10"/>
        <color rgb="FF416D89"/>
        <rFont val="Open Sans"/>
        <family val="2"/>
      </rPr>
      <t>USE</t>
    </r>
    <r>
      <rPr>
        <b/>
        <sz val="10"/>
        <color rgb="FF416D89"/>
        <rFont val="Open Sans"/>
        <family val="2"/>
      </rPr>
      <t xml:space="preserve"> of Cash when Assets go up (we bought something) so it DECREASES the Cash balance. If our value went down, it would most likely meant we sold something (net of Depreciation). We link it to CapEx and remove it to </t>
    </r>
    <r>
      <rPr>
        <b/>
        <u/>
        <sz val="10"/>
        <color rgb="FF416D89"/>
        <rFont val="Open Sans"/>
        <family val="2"/>
      </rPr>
      <t>DECREASE</t>
    </r>
    <r>
      <rPr>
        <b/>
        <sz val="10"/>
        <color rgb="FF416D89"/>
        <rFont val="Open Sans"/>
        <family val="2"/>
      </rPr>
      <t xml:space="preserve"> the cash balance, here</t>
    </r>
  </si>
  <si>
    <t>Financing Activities</t>
  </si>
  <si>
    <t>Cash flow from Financing Activities</t>
  </si>
  <si>
    <t>Change in Cash</t>
  </si>
  <si>
    <t>Sum up the Cash Effects from the Operating Activites, Investing Activities and Financing Activities sections</t>
  </si>
  <si>
    <t>Step 6 - Debt - Getting Started</t>
  </si>
  <si>
    <t>We are calculating the ENDING balance of the debt in each period, below. Link these lines to the ending balance for each type of debt, respectively, below</t>
  </si>
  <si>
    <t>Debt Schedule</t>
  </si>
  <si>
    <t>Time for the trickiest part of our model - the Debt. We are going to take this in steps to fully explain what is happening with our model. Let's start with looking above - we see that we have 4 different types of Debt that we have been taken over the years in this business - a Revolver (or Line of Credit), a Term Loan A, a Subordinated - Note 1 and a Subordinated - Note 2. Let's use the schedule below to model out each of these</t>
  </si>
  <si>
    <t>Debt Balance Schedule</t>
  </si>
  <si>
    <t>Beginning Balance</t>
  </si>
  <si>
    <t>Debt has a "rolling effect". Today's beginning starts with yesterday's end. As such, we set the beginning balance in these cells equal to the prior periods' ending balance. In this line, cell H206 is equal to cell G209, I206 is equal to cell H209, and so forth</t>
  </si>
  <si>
    <t>( + ) Revolver Draw-down</t>
  </si>
  <si>
    <t>Revolvers are unique in that you can "draw" from the line to get Cash in the business when you need it (subject to certain restrictions) or you can pay it down using Cash to reduce the outstanding balance. Other types of Debt will only have repayments (something you MUST pay or something you OPT IN to pay). We will skip this for now but come back to this later</t>
  </si>
  <si>
    <t>( – ) Revolver Pay-down</t>
  </si>
  <si>
    <t>Ending Balance</t>
  </si>
  <si>
    <t>The Balance Sheet reflects the ENDING balance in any period. As such, cell G209 is equal to cell G78 in this example as a start but then the ending balance will be equal to the sum of the Beginning period plus the repayments and drawdowns in each period thereafter. For instance, cell H209 will be equal to the sum of H206 to H208. Carry that formula across for future periods</t>
  </si>
  <si>
    <t>Bank Revolver Commitment</t>
  </si>
  <si>
    <t>When you see a Revolver or a Line of Credit, think of it acting like a sophisticated credit card. There is a maximum amount that you are allowed to borrow, called a commitment, that depends on the rules set forth in a Debt agreement and what the bank deems you worthy to borrow. The maximum amount you are allowed to borrow on a Revolver can vary. However, for simplicity sake, let's set the maximum equal to 30 for each period in this case and type in those numbers on this line</t>
  </si>
  <si>
    <t>Undrawn Revolver Balance</t>
  </si>
  <si>
    <t>The amount you have remaining to borrow is the difference between what you have already borrowed, or drawn, on the Revolver (line 209) and what the maximum that you are allowed to borrow (the commitment) on the Revolver (line 211). Set this cell to be equal to the commitment less the ending balance in each period and carry it forward</t>
  </si>
  <si>
    <t>Debt has a "rolling effect". Today's beginning starts with yesterday's end. As such, we set the beginning balance in these cells equal to the prior periods' ending balance. Follow the pattern as described above in the Revolver, line 206</t>
  </si>
  <si>
    <t>( – ) Mandatory Repayment</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</si>
  <si>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H235 * G218, I235 *G218, and so on. Remember that this is a REPAYMENT decreasing the balance of our debt so you have to make it a NEGATIVE to decrease the balance. WATCH YOUR SIGNS!</t>
  </si>
  <si>
    <t>( – ) Optional Repayment</t>
  </si>
  <si>
    <t>The Balance Sheet reflects the ENDING balance in any period. As such, cell G218 is equal to cell G79 in this example as a start but then the ending balance will be equal to the sum of the Beginning period plus the repayments in each period thereafter. For instance, cell H218 will be equal to the sum of H215 to H217. Carry that formula across for future periods</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</si>
  <si>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H236 * G224, I236 *G224, and so on. Remember that this is a REPAYMENT decreasing the balance of our debt so you have to make it a NEGATIVE to decrease the balance. WATCH YOUR SIGNS!</t>
  </si>
  <si>
    <t>The Balance Sheet reflects the ENDING balance in any period. As such, the ending balance will be equal to the sum of the Beginning period plus the repayments in each period thereafter. Follow the pattern and calculations as described above, in the Term Loan A calculation</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</si>
  <si>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H237 * G230, I237 *G230, and so on. Remember that this is a REPAYMENT decreasing the balance of our debt so you have to make it a NEGATIVE to decrease the balance. WATCH YOUR SIGNS!</t>
  </si>
  <si>
    <t>Scheduled Debt Amortization (%)</t>
  </si>
  <si>
    <t>Original Balance</t>
  </si>
  <si>
    <t>Debt Amortization per Period</t>
  </si>
  <si>
    <r>
      <t xml:space="preserve">Debt amortization (or principal repayment) is the amount that the Debt </t>
    </r>
    <r>
      <rPr>
        <b/>
        <u/>
        <sz val="10"/>
        <color rgb="FF416D89"/>
        <rFont val="Open Sans"/>
        <family val="2"/>
      </rPr>
      <t>MUST</t>
    </r>
    <r>
      <rPr>
        <b/>
        <sz val="10"/>
        <color rgb="FF416D89"/>
        <rFont val="Open Sans"/>
        <family val="2"/>
      </rPr>
      <t xml:space="preserve"> be repaid in each period (aka, the "mandatory repayment"). It is set forth and agreed in the Debt agreement when you borrow money. The balance of your Debt </t>
    </r>
    <r>
      <rPr>
        <b/>
        <u/>
        <sz val="10"/>
        <color rgb="FF416D89"/>
        <rFont val="Open Sans"/>
        <family val="2"/>
      </rPr>
      <t>MUST</t>
    </r>
    <r>
      <rPr>
        <b/>
        <sz val="10"/>
        <color rgb="FF416D89"/>
        <rFont val="Open Sans"/>
        <family val="2"/>
      </rPr>
      <t xml:space="preserve"> be repaid by this amount each period and taken out of the outstanding balance, and your cash. It dictates the cash repaid in each period to pay off the Debt over time. In this line, set the repayment to be 20% per period. This means that the debt will be paid off in equal installments over 5 years (5 * 20% = 100%).</t>
    </r>
  </si>
  <si>
    <t>Similar to the above, set this line to be 20% each period as well</t>
  </si>
  <si>
    <t>Debt can be repaid in different patterns. It there are equal payments each period, it is called "straight-line" amortization. If the amortization slowly increased, for instance 10% in period 1, 15% in period 2, 25% in period 3, etc it is called a balloon amortization (slowly inflating like a balloon). If the amortization is small and then a large sum at the end, it is called "bullet" amortization. Let's set this line to be a bullet: 5% for the first 4 periods, then 80% in the 5th period.</t>
  </si>
  <si>
    <t>Debt Characteristics</t>
  </si>
  <si>
    <t>Spread to</t>
  </si>
  <si>
    <t>Floating</t>
  </si>
  <si>
    <t>Fixed Rate /</t>
  </si>
  <si>
    <t>Float or Fixed?</t>
  </si>
  <si>
    <t>SOFR</t>
  </si>
  <si>
    <t>Coupon</t>
  </si>
  <si>
    <t>Sweep</t>
  </si>
  <si>
    <r>
      <t xml:space="preserve">Debt carries different characteristics - most notably the interest rate that must be paid and the contractual ability to repay it back early. Interest rates come in two different forms: Fixed (a % set in the debt agreement and will not change) or Variable (a % set relative to another rate controlled by banks and/or the federal reserve, usually SOFR, which stands for the Standard Overnight Financing Rate). If an interest rate is variable, it is also called "Floating" and quoted as a spread to SOFR, quoted as "SOFR +" a %. If your Debt agreements allows you to repay Debt early, it is called a "Cash Sweep" option. The Sweep option is set as a % of the original balance - dictating the ability to optionally repay debt in </t>
    </r>
    <r>
      <rPr>
        <b/>
        <u/>
        <sz val="10"/>
        <color rgb="FF416D89"/>
        <rFont val="Open Sans"/>
        <family val="2"/>
      </rPr>
      <t>ADDITION</t>
    </r>
    <r>
      <rPr>
        <b/>
        <sz val="10"/>
        <color rgb="FF416D89"/>
        <rFont val="Open Sans"/>
        <family val="2"/>
      </rPr>
      <t xml:space="preserve"> to the mandatory repayment that you </t>
    </r>
    <r>
      <rPr>
        <b/>
        <u/>
        <sz val="10"/>
        <color rgb="FF416D89"/>
        <rFont val="Open Sans"/>
        <family val="2"/>
      </rPr>
      <t>MUST</t>
    </r>
    <r>
      <rPr>
        <b/>
        <sz val="10"/>
        <color rgb="FF416D89"/>
        <rFont val="Open Sans"/>
        <family val="2"/>
      </rPr>
      <t xml:space="preserve"> pay, calculated above. For instance, a 100% cash sweep means that you can repay 100% of what you originally borrowed at any time that you like. If it were 50%, you would only be allowed to pay up to 50% of the original balance that you borrowed at any time. Debt can be very nuanced here... so be sure, when you are a situation like this, that you are modeling the Debt appropriately based on what you MUST pay (and when) and what you are OPTIONALLY ALLOWED TO PAY ON TOP OF THAT (and when)</t>
    </r>
  </si>
  <si>
    <t>Let's assume the Revolver has an interest rate that floats. As such, to start, let's look up SOFR in a search (as of today it is 3.71%) and place it in cell H244 and set the spread to be 4.25% in cell I244. This means that the rate will be 7.96%. Let's also assume the "cash sweep", or the ability to optionally pay down debt is 100% and place 100% in line L244. Revolvers are unique in that, like a credit card, their "sweep" or option to repay it when we please, is ALWAYS 100%.</t>
  </si>
  <si>
    <t xml:space="preserve">Let's assume the Term Loan A also has an interest rate that floats. As such, to start, let's look up SOFR in a search and place it in line G245 and set the spread to be 4.75% in cell I245. This means that the rate will be 8.46% - we put that in column J. Let's also assume the "cash sweep", or the ability to optionally pay down debt is 100% and place 100% in line L45. </t>
  </si>
  <si>
    <r>
      <t xml:space="preserve">Let's assume Subordinated - Note 1 has a rate that is Fixed. It does NOT fluctuate with SOFR and stays the same, no matter what. As such, </t>
    </r>
    <r>
      <rPr>
        <b/>
        <u/>
        <sz val="10"/>
        <color rgb="FF416D89"/>
        <rFont val="Open Sans"/>
        <family val="2"/>
      </rPr>
      <t>we do not need SOFR and instead just set the rate we will be charged</t>
    </r>
    <r>
      <rPr>
        <b/>
        <sz val="10"/>
        <color rgb="FF416D89"/>
        <rFont val="Open Sans"/>
        <family val="2"/>
      </rPr>
      <t xml:space="preserve"> in cell K246. Let's assume the fixed rate is 12% in this example. Let's also assume the "cash sweep", or the ability to optionally pay down debt is 100% and place 100% in line L246. </t>
    </r>
  </si>
  <si>
    <t>Let's assume Subordinated - Note 2 also has a rate that is Fixed. It does NOT fluctuate with SOFR and stays the same, regardless of where interest rates in the market are moving (up or down). As such, we do not need SOFR and instead just set the rate we will be charged in cell K247. Let's assume the fixed rate is 14.5% in this example. Let's also assume the "cash sweep", or the ability to optionally pay down debt is 50% and place 50% in line L247. This means that we cannot pay more than 50% of the original debt balance in addition to what we MUST pay each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</si>
</sst>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 numFmtId="184" formatCode="0.0\x"/>
    <numFmt numFmtId="185" formatCode="_(0.00%_);\(0.00%\);_(&quot;–&quot;_)_%;@_(_%"/>
    <numFmt numFmtId="186" formatCode="&quot;Yes&quot;_)_%;&quot;ERROR&quot;_)_%;&quot;No&quot;_)_%;&quot;ERROR&quot;_)_%"/>
  </numFmts>
  <fonts count="61">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
      <b/>
      <sz val="14"/>
      <color rgb="FF535456"/>
      <name val="Open Sans"/>
      <family val="2"/>
    </font>
    <font>
      <b/>
      <u/>
      <sz val="10"/>
      <color rgb="FF416D89"/>
      <name val="Open Sans"/>
      <family val="2"/>
    </font>
    <font>
      <sz val="10"/>
      <color indexed="16"/>
      <name val="Calibri"/>
      <family val="2"/>
      <scheme val="minor"/>
    </font>
    <font>
      <b/>
      <i/>
      <sz val="10"/>
      <name val="Open Sans"/>
      <family val="2"/>
    </font>
    <font>
      <b/>
      <u/>
      <sz val="10"/>
      <name val="Open Sans"/>
      <family val="2"/>
    </font>
    <font>
      <b/>
      <sz val="10"/>
      <color rgb="FF1F497D"/>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2">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
      <left/>
      <right/>
      <top style="thin">
        <color rgb="FF000000"/>
      </top>
      <bottom/>
      <diagonal/>
    </border>
    <border>
      <left/>
      <right/>
      <top/>
      <bottom style="thin">
        <color rgb="FF000000"/>
      </bottom>
      <diagonal/>
    </border>
  </borders>
  <cellStyleXfs count="3">
    <xf numFmtId="0" fontId="0" fillId="0" borderId="0"/>
    <xf numFmtId="0" fontId="4" fillId="0" borderId="0"/>
    <xf numFmtId="0" fontId="6" fillId="0" borderId="0"/>
  </cellStyleXfs>
  <cellXfs count="250">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xf numFmtId="177" fontId="39" fillId="0" borderId="0" xfId="0" applyNumberFormat="1" applyFont="1" applyAlignment="1">
      <alignment vertical="center"/>
    </xf>
    <xf numFmtId="166" fontId="38" fillId="0" borderId="0" xfId="0" applyNumberFormat="1" applyFont="1" applyAlignment="1">
      <alignment horizontal="center" vertical="center"/>
    </xf>
    <xf numFmtId="166" fontId="38" fillId="0" borderId="0" xfId="0" applyNumberFormat="1" applyFont="1" applyAlignment="1">
      <alignment horizontal="right" vertical="center"/>
    </xf>
    <xf numFmtId="183" fontId="41" fillId="0" borderId="0" xfId="0" applyNumberFormat="1" applyFont="1" applyAlignment="1">
      <alignment horizontal="right" vertical="center"/>
    </xf>
    <xf numFmtId="166" fontId="38" fillId="0" borderId="4" xfId="0" applyNumberFormat="1" applyFont="1" applyBorder="1" applyAlignment="1">
      <alignment vertical="center"/>
    </xf>
    <xf numFmtId="0" fontId="21" fillId="0" borderId="10" xfId="0" applyFont="1" applyBorder="1" applyAlignment="1">
      <alignment vertical="center"/>
    </xf>
    <xf numFmtId="166" fontId="21" fillId="0" borderId="10" xfId="0" applyNumberFormat="1" applyFont="1" applyBorder="1" applyAlignment="1">
      <alignment vertical="center"/>
    </xf>
    <xf numFmtId="166" fontId="21" fillId="0" borderId="0" xfId="0" applyNumberFormat="1" applyFont="1" applyAlignment="1">
      <alignment vertical="center"/>
    </xf>
    <xf numFmtId="166" fontId="21" fillId="4" borderId="0" xfId="0" applyNumberFormat="1" applyFont="1" applyFill="1" applyAlignment="1">
      <alignment vertical="center"/>
    </xf>
    <xf numFmtId="179" fontId="38" fillId="4" borderId="0" xfId="0" applyNumberFormat="1" applyFont="1" applyFill="1" applyAlignment="1">
      <alignment horizontal="right" vertical="center"/>
    </xf>
    <xf numFmtId="184" fontId="38" fillId="4" borderId="0" xfId="0" applyNumberFormat="1" applyFont="1" applyFill="1" applyAlignment="1">
      <alignment horizontal="right" vertical="center"/>
    </xf>
    <xf numFmtId="184" fontId="45" fillId="4" borderId="0" xfId="0" applyNumberFormat="1" applyFont="1" applyFill="1" applyAlignment="1">
      <alignment horizontal="right" vertical="center"/>
    </xf>
    <xf numFmtId="167" fontId="41" fillId="4" borderId="0" xfId="0" applyNumberFormat="1" applyFont="1" applyFill="1" applyAlignment="1">
      <alignment horizontal="right" vertical="center"/>
    </xf>
    <xf numFmtId="170" fontId="14" fillId="4" borderId="0" xfId="0" applyNumberFormat="1" applyFont="1" applyFill="1" applyAlignment="1">
      <alignment horizontal="right" vertical="center"/>
    </xf>
    <xf numFmtId="170" fontId="45" fillId="4" borderId="0" xfId="0" applyNumberFormat="1" applyFont="1" applyFill="1" applyAlignment="1">
      <alignment horizontal="right" vertical="center"/>
    </xf>
    <xf numFmtId="179" fontId="14" fillId="0" borderId="0" xfId="0" applyNumberFormat="1" applyFont="1" applyAlignment="1">
      <alignment vertical="center"/>
    </xf>
    <xf numFmtId="185" fontId="49" fillId="0" borderId="0" xfId="0" applyNumberFormat="1" applyFont="1" applyAlignment="1">
      <alignment horizontal="right" vertical="center"/>
    </xf>
    <xf numFmtId="185" fontId="42" fillId="0" borderId="0" xfId="0" applyNumberFormat="1" applyFont="1" applyAlignment="1">
      <alignment horizontal="right" vertical="center"/>
    </xf>
    <xf numFmtId="170" fontId="12" fillId="0" borderId="0" xfId="0" applyNumberFormat="1" applyFont="1" applyAlignment="1">
      <alignment vertical="center"/>
    </xf>
    <xf numFmtId="0" fontId="12" fillId="0" borderId="0" xfId="0" applyFont="1" applyAlignment="1">
      <alignment vertical="center"/>
    </xf>
    <xf numFmtId="0" fontId="55" fillId="0" borderId="0" xfId="0" applyFont="1" applyAlignment="1">
      <alignment horizontal="left" vertical="center" indent="2" readingOrder="1"/>
    </xf>
    <xf numFmtId="179" fontId="21" fillId="4" borderId="0" xfId="0" applyNumberFormat="1" applyFont="1" applyFill="1" applyAlignment="1">
      <alignment vertical="center"/>
    </xf>
    <xf numFmtId="170" fontId="38" fillId="0" borderId="4" xfId="0" applyNumberFormat="1" applyFont="1" applyBorder="1" applyAlignment="1">
      <alignment vertical="center"/>
    </xf>
    <xf numFmtId="179" fontId="21" fillId="0" borderId="4" xfId="0" applyNumberFormat="1" applyFont="1" applyBorder="1" applyAlignment="1">
      <alignment vertical="center"/>
    </xf>
    <xf numFmtId="177" fontId="25" fillId="0" borderId="10" xfId="0" applyNumberFormat="1" applyFont="1" applyBorder="1" applyAlignment="1">
      <alignment vertical="center"/>
    </xf>
    <xf numFmtId="179" fontId="21" fillId="0" borderId="10" xfId="0" applyNumberFormat="1" applyFont="1" applyBorder="1" applyAlignment="1">
      <alignment vertical="center"/>
    </xf>
    <xf numFmtId="0" fontId="21" fillId="2" borderId="7" xfId="0" applyFont="1" applyFill="1" applyBorder="1" applyAlignment="1">
      <alignment horizontal="left" vertical="center"/>
    </xf>
    <xf numFmtId="0" fontId="21" fillId="2" borderId="8" xfId="0" applyFont="1" applyFill="1" applyBorder="1" applyAlignment="1">
      <alignment horizontal="left" vertical="center"/>
    </xf>
    <xf numFmtId="177" fontId="21" fillId="4" borderId="0" xfId="0" applyNumberFormat="1" applyFont="1" applyFill="1" applyAlignment="1">
      <alignment vertical="center"/>
    </xf>
    <xf numFmtId="0" fontId="57" fillId="7" borderId="0" xfId="0" applyFont="1" applyFill="1" applyAlignment="1">
      <alignment vertical="center"/>
    </xf>
    <xf numFmtId="0" fontId="57" fillId="0" borderId="0" xfId="0" applyFont="1" applyAlignment="1">
      <alignment vertical="center"/>
    </xf>
    <xf numFmtId="166" fontId="38" fillId="5" borderId="0" xfId="0" applyNumberFormat="1" applyFont="1" applyFill="1" applyAlignment="1">
      <alignment vertical="center"/>
    </xf>
    <xf numFmtId="170" fontId="40" fillId="0" borderId="0" xfId="0" applyNumberFormat="1" applyFont="1" applyAlignment="1">
      <alignment vertical="center"/>
    </xf>
    <xf numFmtId="177" fontId="25" fillId="0" borderId="0" xfId="0" applyNumberFormat="1" applyFont="1" applyAlignment="1">
      <alignment vertical="center"/>
    </xf>
    <xf numFmtId="179" fontId="38" fillId="0" borderId="0" xfId="0" applyNumberFormat="1" applyFont="1" applyAlignment="1">
      <alignment horizontal="right" vertical="center"/>
    </xf>
    <xf numFmtId="184" fontId="38" fillId="0" borderId="0" xfId="0" applyNumberFormat="1" applyFont="1" applyAlignment="1">
      <alignment horizontal="right" vertical="center"/>
    </xf>
    <xf numFmtId="184" fontId="45" fillId="0" borderId="0" xfId="0" applyNumberFormat="1" applyFont="1" applyAlignment="1">
      <alignment horizontal="right" vertical="center"/>
    </xf>
    <xf numFmtId="167" fontId="41" fillId="0" borderId="0" xfId="0" applyNumberFormat="1" applyFont="1" applyAlignment="1">
      <alignment horizontal="right" vertical="center"/>
    </xf>
    <xf numFmtId="170" fontId="45" fillId="0" borderId="0" xfId="0" applyNumberFormat="1" applyFont="1" applyAlignment="1">
      <alignment horizontal="right" vertical="center"/>
    </xf>
    <xf numFmtId="179" fontId="21" fillId="0" borderId="0" xfId="0" applyNumberFormat="1" applyFont="1" applyAlignment="1">
      <alignment vertical="center"/>
    </xf>
    <xf numFmtId="177" fontId="21" fillId="0" borderId="0" xfId="0" applyNumberFormat="1" applyFont="1" applyAlignment="1">
      <alignment vertical="center"/>
    </xf>
    <xf numFmtId="0" fontId="58" fillId="0" borderId="11" xfId="0" applyFont="1" applyBorder="1" applyAlignment="1">
      <alignment horizontal="left" vertical="center"/>
    </xf>
    <xf numFmtId="0" fontId="37" fillId="0" borderId="11" xfId="0" applyFont="1" applyBorder="1" applyAlignment="1">
      <alignment vertical="center"/>
    </xf>
    <xf numFmtId="0" fontId="14" fillId="0" borderId="11" xfId="0" applyFont="1" applyBorder="1" applyAlignment="1">
      <alignment vertical="center"/>
    </xf>
    <xf numFmtId="0" fontId="38" fillId="0" borderId="11" xfId="0" applyFont="1" applyBorder="1" applyAlignment="1">
      <alignment vertical="center"/>
    </xf>
    <xf numFmtId="176" fontId="38" fillId="0" borderId="11" xfId="0" applyNumberFormat="1" applyFont="1" applyBorder="1" applyAlignment="1">
      <alignment vertical="center"/>
    </xf>
    <xf numFmtId="179" fontId="38" fillId="4" borderId="0" xfId="0" applyNumberFormat="1" applyFont="1" applyFill="1" applyAlignment="1">
      <alignment vertical="center"/>
    </xf>
    <xf numFmtId="179" fontId="38" fillId="4" borderId="4" xfId="0" applyNumberFormat="1" applyFont="1" applyFill="1" applyBorder="1" applyAlignment="1">
      <alignment vertical="center"/>
    </xf>
    <xf numFmtId="0" fontId="40" fillId="0" borderId="0" xfId="0" applyFont="1" applyAlignment="1">
      <alignment horizontal="left" vertical="center"/>
    </xf>
    <xf numFmtId="176" fontId="38" fillId="0" borderId="11" xfId="0" applyNumberFormat="1" applyFont="1" applyBorder="1" applyAlignment="1">
      <alignment horizontal="right" vertical="center"/>
    </xf>
    <xf numFmtId="0" fontId="38" fillId="0" borderId="11" xfId="0" applyFont="1" applyBorder="1" applyAlignment="1">
      <alignment horizontal="right" vertical="center"/>
    </xf>
    <xf numFmtId="166" fontId="38" fillId="5" borderId="0" xfId="0" applyNumberFormat="1" applyFont="1" applyFill="1" applyAlignment="1">
      <alignment horizontal="right" vertical="center"/>
    </xf>
    <xf numFmtId="179" fontId="38" fillId="4" borderId="4" xfId="0" applyNumberFormat="1" applyFont="1" applyFill="1" applyBorder="1" applyAlignment="1">
      <alignment horizontal="right" vertical="center"/>
    </xf>
    <xf numFmtId="178" fontId="38" fillId="0" borderId="0" xfId="0" applyNumberFormat="1" applyFont="1" applyAlignment="1">
      <alignment vertical="center"/>
    </xf>
    <xf numFmtId="178" fontId="38" fillId="4" borderId="0" xfId="0" applyNumberFormat="1" applyFont="1" applyFill="1" applyAlignment="1">
      <alignment vertical="center"/>
    </xf>
    <xf numFmtId="170" fontId="38" fillId="4" borderId="0" xfId="0" applyNumberFormat="1" applyFont="1" applyFill="1" applyAlignment="1">
      <alignment horizontal="right" vertical="center"/>
    </xf>
    <xf numFmtId="170" fontId="38" fillId="5" borderId="0" xfId="0" applyNumberFormat="1" applyFont="1" applyFill="1" applyAlignment="1">
      <alignment horizontal="right" vertical="center"/>
    </xf>
    <xf numFmtId="177" fontId="38" fillId="4" borderId="4" xfId="0" applyNumberFormat="1" applyFont="1" applyFill="1" applyBorder="1" applyAlignment="1">
      <alignment vertical="center"/>
    </xf>
    <xf numFmtId="177" fontId="38" fillId="4" borderId="4" xfId="0" applyNumberFormat="1" applyFont="1" applyFill="1" applyBorder="1" applyAlignment="1">
      <alignment horizontal="right" vertical="center"/>
    </xf>
    <xf numFmtId="0" fontId="20" fillId="2" borderId="7" xfId="0" applyFont="1" applyFill="1" applyBorder="1" applyAlignment="1">
      <alignment horizontal="right" vertical="center"/>
    </xf>
    <xf numFmtId="0" fontId="59" fillId="0" borderId="0" xfId="0" applyFont="1" applyAlignment="1">
      <alignment horizontal="right" vertical="center"/>
    </xf>
    <xf numFmtId="0" fontId="59" fillId="0" borderId="0" xfId="0" applyFont="1" applyAlignment="1">
      <alignment horizontal="centerContinuous" vertical="center"/>
    </xf>
    <xf numFmtId="0" fontId="14" fillId="0" borderId="0" xfId="0" applyFont="1" applyAlignment="1">
      <alignment horizontal="centerContinuous" vertical="center"/>
    </xf>
    <xf numFmtId="181" fontId="54" fillId="4" borderId="0" xfId="0" applyNumberFormat="1" applyFont="1" applyFill="1" applyAlignment="1">
      <alignment vertical="center"/>
    </xf>
    <xf numFmtId="0" fontId="21" fillId="0" borderId="0" xfId="0" applyFont="1" applyAlignment="1">
      <alignment horizontal="center" vertical="center"/>
    </xf>
    <xf numFmtId="0" fontId="60" fillId="0" borderId="0" xfId="0" applyFont="1" applyAlignment="1">
      <alignment horizontal="center" vertical="center"/>
    </xf>
    <xf numFmtId="0" fontId="21" fillId="0" borderId="3" xfId="0" applyFont="1" applyBorder="1" applyAlignment="1">
      <alignment horizontal="center" vertical="center"/>
    </xf>
    <xf numFmtId="0" fontId="60" fillId="0" borderId="3" xfId="0" applyFont="1" applyBorder="1" applyAlignment="1">
      <alignment horizontal="center" vertical="center"/>
    </xf>
    <xf numFmtId="0" fontId="34" fillId="0" borderId="3" xfId="0" applyFont="1" applyBorder="1" applyAlignment="1">
      <alignment horizontal="center" vertical="center"/>
    </xf>
    <xf numFmtId="0" fontId="34" fillId="0" borderId="3" xfId="0" applyFont="1" applyBorder="1" applyAlignment="1">
      <alignment horizontal="right" vertical="center"/>
    </xf>
    <xf numFmtId="176" fontId="14" fillId="0" borderId="0" xfId="0" applyNumberFormat="1" applyFont="1" applyAlignment="1">
      <alignment vertical="center"/>
    </xf>
    <xf numFmtId="186" fontId="45" fillId="4" borderId="0" xfId="0" applyNumberFormat="1" applyFont="1" applyFill="1" applyAlignment="1">
      <alignment horizontal="right" vertical="center"/>
    </xf>
    <xf numFmtId="185" fontId="54" fillId="4" borderId="0" xfId="0" applyNumberFormat="1" applyFont="1" applyFill="1" applyAlignment="1">
      <alignment horizontal="right" vertical="center"/>
    </xf>
    <xf numFmtId="185" fontId="41" fillId="4" borderId="0" xfId="0" applyNumberFormat="1" applyFont="1" applyFill="1" applyAlignment="1">
      <alignment horizontal="right" vertical="center"/>
    </xf>
    <xf numFmtId="181" fontId="54" fillId="4" borderId="0" xfId="0" applyNumberFormat="1" applyFont="1" applyFill="1" applyAlignment="1">
      <alignment horizontal="righ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887A9F52-D4C3-450B-9DE3-B1F7A5A3384F}"/>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715A4A47-6B7B-40C2-964F-3BB85F444AC1}"/>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72275CDA-812A-4277-BCD7-39275D38FA08}"/>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D0845A86-247F-4775-B6A8-0290980DCCE9}"/>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0DF1E998-8E61-4777-8294-61B4A443EE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D78374A3-172D-4A36-97B6-D60782E566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D315886D-8E62-432E-9658-D0025F247F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E83E8E1F-2B57-474A-820A-89E82BA4D31A}"/>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C9455443-BDE4-4191-9083-1BB4B994ACE7}"/>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BCDAC16A-E8DC-4E0B-B1B5-45B0AECBFA25}"/>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40EAC733-F73D-49FF-BA1F-9A8647780187}"/>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33F46D55-9EDB-4274-A0E2-CB24EA8CFE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02BF79D0-5ABE-46EA-9A10-9EFE8F842B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6E8DC76D-B89E-48DA-8F12-8CFF2F7159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109AF180-6C0A-43FF-858E-EBE381E738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2E3E76AB-1834-4D7B-ACAD-A52AE8E345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720B53E0-1548-49D2-B5DA-CC6E052176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2BEE-D175-4ED3-8E90-5136B9793DD8}">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5.829392560625954</v>
      </c>
      <c r="I20" s="149">
        <f t="shared" ref="I20:L20" si="6">I126</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f>('Financials from CIP'!E53-'Financials from CIP'!D53+'Financials from CIP'!E25)/1000</f>
        <v>2.2620482799999997</v>
      </c>
      <c r="H36" s="162">
        <f>H48*H13</f>
        <v>2.6089416062595356</v>
      </c>
      <c r="I36" s="162">
        <f>I48*I13</f>
        <v>3.0090322850545372</v>
      </c>
      <c r="J36" s="162">
        <f>J48*J13</f>
        <v>3.3802073552164953</v>
      </c>
      <c r="K36" s="162">
        <f>K48*K13</f>
        <v>3.6957619988438841</v>
      </c>
      <c r="L36" s="162">
        <f>L48*L13</f>
        <v>3.9299019555263603</v>
      </c>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f>G36/G13</f>
        <v>2.4963560600917242E-2</v>
      </c>
      <c r="H48" s="135">
        <f>G48</f>
        <v>2.4963560600917242E-2</v>
      </c>
      <c r="I48" s="135">
        <f>H48</f>
        <v>2.4963560600917242E-2</v>
      </c>
      <c r="J48" s="135">
        <f>I48</f>
        <v>2.4963560600917242E-2</v>
      </c>
      <c r="K48" s="135">
        <f>J48</f>
        <v>2.4963560600917242E-2</v>
      </c>
      <c r="L48" s="135">
        <f>K48</f>
        <v>2.4963560600917242E-2</v>
      </c>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f>G67+H36</f>
        <v>58.293925606259535</v>
      </c>
      <c r="I65" s="165">
        <f>H65+I36</f>
        <v>61.302957891314072</v>
      </c>
      <c r="J65" s="165">
        <f>I65+J36</f>
        <v>64.683165246530564</v>
      </c>
      <c r="K65" s="165">
        <f>J65+K36</f>
        <v>68.378927245374442</v>
      </c>
      <c r="L65" s="165">
        <f>K65+L36</f>
        <v>72.308829200900803</v>
      </c>
      <c r="M65" s="50" t="s">
        <v>135</v>
      </c>
    </row>
    <row r="66" spans="1:13" ht="13.5" customHeight="1" outlineLevel="1">
      <c r="A66" s="164"/>
      <c r="C66" s="91" t="s">
        <v>86</v>
      </c>
      <c r="D66" s="95"/>
      <c r="E66" s="95"/>
      <c r="F66" s="96"/>
      <c r="G66" s="96"/>
      <c r="H66" s="165">
        <f>G66-H20</f>
        <v>-5.829392560625954</v>
      </c>
      <c r="I66" s="165">
        <f>H66-I20</f>
        <v>-11.959688349757361</v>
      </c>
      <c r="J66" s="165">
        <f ca="1">I66-J20</f>
        <v>-18.428004874410419</v>
      </c>
      <c r="K66" s="165">
        <f ca="1">J66-K20</f>
        <v>-25.265897598947866</v>
      </c>
      <c r="L66" s="165">
        <f ca="1">K66-L20</f>
        <v>-32.496780519037948</v>
      </c>
      <c r="M66" s="50" t="s">
        <v>136</v>
      </c>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164"/>
      <c r="C68" s="98" t="s">
        <v>87</v>
      </c>
      <c r="D68" s="95"/>
      <c r="E68" s="95"/>
      <c r="F68" s="99">
        <v>0</v>
      </c>
      <c r="G68" s="99">
        <v>0</v>
      </c>
      <c r="H68" s="166">
        <v>0</v>
      </c>
      <c r="I68" s="166">
        <v>0</v>
      </c>
      <c r="J68" s="166">
        <v>0</v>
      </c>
      <c r="K68" s="166">
        <v>0</v>
      </c>
      <c r="L68" s="166">
        <v>0</v>
      </c>
      <c r="M68" s="50" t="s">
        <v>137</v>
      </c>
    </row>
    <row r="69" spans="1:13" ht="13.5" customHeight="1" outlineLevel="1">
      <c r="A69" s="164"/>
      <c r="C69" s="98" t="s">
        <v>88</v>
      </c>
      <c r="D69" s="95"/>
      <c r="E69" s="95"/>
      <c r="F69" s="96">
        <f>'Financials from CIP'!D54/1000</f>
        <v>4.378482</v>
      </c>
      <c r="G69" s="96">
        <f>'Financials from CIP'!E54/1000</f>
        <v>4.5043699999999998</v>
      </c>
      <c r="H69" s="165">
        <f>G69-H21</f>
        <v>4.2664179999999998</v>
      </c>
      <c r="I69" s="165">
        <f>H69-I21</f>
        <v>4.0284659999999999</v>
      </c>
      <c r="J69" s="165">
        <f>I69-J21</f>
        <v>3.7905139999999999</v>
      </c>
      <c r="K69" s="165">
        <f>J69-K21</f>
        <v>3.552562</v>
      </c>
      <c r="L69" s="165">
        <f>K69-L21</f>
        <v>3.3146100000000001</v>
      </c>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f>G83</f>
        <v>0.42988799999999999</v>
      </c>
      <c r="I83" s="129">
        <f>H83</f>
        <v>0.42988799999999999</v>
      </c>
      <c r="J83" s="129">
        <f>I83</f>
        <v>0.42988799999999999</v>
      </c>
      <c r="K83" s="129">
        <f>J83</f>
        <v>0.42988799999999999</v>
      </c>
      <c r="L83" s="129">
        <f>K83</f>
        <v>0.42988799999999999</v>
      </c>
      <c r="M83" s="50" t="s">
        <v>139</v>
      </c>
    </row>
    <row r="84" spans="1:19"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9" ht="13.5" customHeight="1" outlineLevel="1">
      <c r="A85" s="164"/>
      <c r="C85" s="98" t="s">
        <v>47</v>
      </c>
      <c r="F85" s="96">
        <f>'Financials from CIP'!D71/1000</f>
        <v>7.7836338279007267</v>
      </c>
      <c r="G85" s="96">
        <f>'Financials from CIP'!E71/1000</f>
        <v>8.9161157153081838</v>
      </c>
      <c r="H85" s="129">
        <f>G85</f>
        <v>8.9161157153081838</v>
      </c>
      <c r="I85" s="129">
        <f>H85</f>
        <v>8.9161157153081838</v>
      </c>
      <c r="J85" s="129">
        <f>I85</f>
        <v>8.9161157153081838</v>
      </c>
      <c r="K85" s="129">
        <f>J85</f>
        <v>8.9161157153081838</v>
      </c>
      <c r="L85" s="129">
        <f>K85</f>
        <v>8.9161157153081838</v>
      </c>
      <c r="M85" s="50" t="s">
        <v>140</v>
      </c>
    </row>
    <row r="86" spans="1:19" ht="13.5" customHeight="1" outlineLevel="1">
      <c r="A86" s="164"/>
      <c r="C86" s="98" t="s">
        <v>48</v>
      </c>
      <c r="F86" s="96">
        <f>'Financials from CIP'!D72/1000</f>
        <v>48.248887000000003</v>
      </c>
      <c r="G86" s="96">
        <f>'Financials from CIP'!E72/1000</f>
        <v>55.852504780500006</v>
      </c>
      <c r="H86" s="129">
        <f>G86+H33</f>
        <v>62.930877268329802</v>
      </c>
      <c r="I86" s="129">
        <f>H86+I33</f>
        <v>71.528192076037556</v>
      </c>
      <c r="J86" s="129">
        <f ca="1">I86+J33</f>
        <v>81.494142444464075</v>
      </c>
      <c r="K86" s="129">
        <f ca="1">J86+K33</f>
        <v>92.567038155451343</v>
      </c>
      <c r="L86" s="129">
        <f ca="1">K86+L33</f>
        <v>104.37950992102668</v>
      </c>
      <c r="M86" s="50" t="s">
        <v>141</v>
      </c>
    </row>
    <row r="87" spans="1:19"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f t="shared" ref="F89:L89" si="23">F87-F70</f>
        <v>8.2790072042371321E-7</v>
      </c>
      <c r="G89" s="168">
        <f t="shared" si="23"/>
        <v>-5.0419180297467392E-7</v>
      </c>
      <c r="H89" s="168">
        <f t="shared" si="23"/>
        <v>15.545929938004399</v>
      </c>
      <c r="I89" s="168">
        <f t="shared" si="23"/>
        <v>27.502460249789031</v>
      </c>
      <c r="J89" s="168">
        <f t="shared" ca="1" si="23"/>
        <v>40.794471787652114</v>
      </c>
      <c r="K89" s="168">
        <f t="shared" ca="1" si="23"/>
        <v>55.247450224332951</v>
      </c>
      <c r="L89" s="168">
        <f t="shared" ca="1" si="23"/>
        <v>70.598854954472017</v>
      </c>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 Answer Key'!F13</f>
        <v>0</v>
      </c>
      <c r="G94" s="122">
        <f>'Financials from CIP'!E13/1000-'Step 3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 Answer Key'!F15</f>
        <v>0</v>
      </c>
      <c r="G95" s="122">
        <f>'Financials from CIP'!E19/1000-'Step 3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 Answer Key'!F18</f>
        <v>0</v>
      </c>
      <c r="G96" s="122">
        <f>'Financials from CIP'!E36/1000-'Step 3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 Answer Key'!F33</f>
        <v>0</v>
      </c>
      <c r="G97" s="122">
        <f>'Financials from CIP'!E34/1000-'Step 3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 Answer Key'!F60</f>
        <v>0</v>
      </c>
      <c r="G100" s="122">
        <f>'Financials from CIP'!E46/1000-'Step 3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 Answer Key'!F64</f>
        <v>0</v>
      </c>
      <c r="G101" s="122">
        <f>'Financials from CIP'!E51/1000-'Step 3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 Answer Key'!F70</f>
        <v>0</v>
      </c>
      <c r="G102" s="122">
        <f>'Financials from CIP'!E56/1000-'Step 3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 Answer Key'!F77</f>
        <v>0</v>
      </c>
      <c r="G103" s="122">
        <f>'Financials from CIP'!E61/1000-'Step 3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 Answer Key'!F84</f>
        <v>0</v>
      </c>
      <c r="G104" s="122">
        <f>'Financials from CIP'!E69/1000-'Step 3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 Answer Key'!F85:F86)</f>
        <v>0</v>
      </c>
      <c r="G105" s="122">
        <f>'Financials from CIP'!E73/1000-SUM('Step 3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4">H$11</f>
        <v>46022</v>
      </c>
      <c r="I117" s="58">
        <f t="shared" si="24"/>
        <v>46387</v>
      </c>
      <c r="J117" s="58">
        <f t="shared" si="24"/>
        <v>46752</v>
      </c>
      <c r="K117" s="58">
        <f t="shared" si="24"/>
        <v>47118</v>
      </c>
      <c r="L117" s="58">
        <f t="shared" si="24"/>
        <v>47483</v>
      </c>
      <c r="M117" s="50"/>
    </row>
    <row r="118" spans="1:13" ht="13.5" customHeight="1">
      <c r="M118" s="50"/>
    </row>
    <row r="119" spans="1:13" ht="13.5" customHeight="1">
      <c r="A119" s="125"/>
      <c r="C119" s="146">
        <f>G11</f>
        <v>45657</v>
      </c>
      <c r="D119" s="169">
        <f>G67</f>
        <v>55.684984</v>
      </c>
      <c r="E119" s="170">
        <v>10</v>
      </c>
      <c r="F119" s="149">
        <f>-G20</f>
        <v>-1.1617642799999999</v>
      </c>
      <c r="G119" s="150">
        <f t="shared" ref="G119:G124" si="25">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f>H36</f>
        <v>2.6089416062595356</v>
      </c>
      <c r="E120" s="148">
        <v>10</v>
      </c>
      <c r="F120" s="68"/>
      <c r="G120" s="150">
        <f t="shared" si="25"/>
        <v>-0.26089416062595355</v>
      </c>
      <c r="H120" s="151">
        <f>-MIN(-$G120,$D120)</f>
        <v>-0.26089416062595355</v>
      </c>
      <c r="I120" s="173">
        <f>-MIN(-$H120,SUM($H120:H120,$D120))</f>
        <v>-0.26089416062595355</v>
      </c>
      <c r="J120" s="173">
        <f>-MIN(-$H120,SUM($H120:I120,$D120))</f>
        <v>-0.26089416062595355</v>
      </c>
      <c r="K120" s="173">
        <f>-MIN(-$H120,SUM($H120:J120,$D120))</f>
        <v>-0.26089416062595355</v>
      </c>
      <c r="L120" s="173">
        <f>-MIN(-$H120,SUM($H120:K120,$D120))</f>
        <v>-0.26089416062595355</v>
      </c>
      <c r="M120" s="50" t="s">
        <v>144</v>
      </c>
    </row>
    <row r="121" spans="1:13" ht="13.5" customHeight="1">
      <c r="A121" s="125"/>
      <c r="C121" s="146">
        <f>I117</f>
        <v>46387</v>
      </c>
      <c r="D121" s="171">
        <f>I36</f>
        <v>3.0090322850545372</v>
      </c>
      <c r="E121" s="148">
        <v>10</v>
      </c>
      <c r="F121" s="68"/>
      <c r="G121" s="150">
        <f t="shared" si="25"/>
        <v>-0.3009032285054537</v>
      </c>
      <c r="H121" s="174"/>
      <c r="I121" s="151">
        <f>-MIN(-$G121,$D121)</f>
        <v>-0.3009032285054537</v>
      </c>
      <c r="J121" s="173">
        <f ca="1">-MIN(-$I121,SUM($I121:J121,$D121))</f>
        <v>-0.3009032285054537</v>
      </c>
      <c r="K121" s="173">
        <f ca="1">-MIN(-$I121,SUM($I121:K121,$D121))</f>
        <v>-0.3009032285054537</v>
      </c>
      <c r="L121" s="173">
        <f ca="1">-MIN(-$I121,SUM($I121:L121,$D121))</f>
        <v>-0.3009032285054537</v>
      </c>
      <c r="M121" s="50" t="s">
        <v>144</v>
      </c>
    </row>
    <row r="122" spans="1:13" ht="13.5" customHeight="1">
      <c r="A122" s="125"/>
      <c r="C122" s="146">
        <f>J117</f>
        <v>46752</v>
      </c>
      <c r="D122" s="171">
        <f>J36</f>
        <v>3.3802073552164953</v>
      </c>
      <c r="E122" s="148">
        <v>10</v>
      </c>
      <c r="F122" s="68"/>
      <c r="G122" s="150">
        <f t="shared" si="25"/>
        <v>-0.33802073552164952</v>
      </c>
      <c r="H122" s="174"/>
      <c r="I122" s="174"/>
      <c r="J122" s="151">
        <f>-MIN(-$G122,$D122)</f>
        <v>-0.33802073552164952</v>
      </c>
      <c r="K122" s="173">
        <f ca="1">-MIN(-$J122,SUM($J122:L122,$D122))</f>
        <v>-0.33802073552164952</v>
      </c>
      <c r="L122" s="173">
        <f ca="1">-MIN(-$J122,SUM($J122:M122,$D122))</f>
        <v>-0.33802073552164952</v>
      </c>
      <c r="M122" s="50" t="s">
        <v>144</v>
      </c>
    </row>
    <row r="123" spans="1:13" ht="13.5" customHeight="1">
      <c r="A123" s="125"/>
      <c r="C123" s="146">
        <f>K117</f>
        <v>47118</v>
      </c>
      <c r="D123" s="171">
        <f>K36</f>
        <v>3.6957619988438841</v>
      </c>
      <c r="E123" s="148">
        <v>10</v>
      </c>
      <c r="F123" s="68"/>
      <c r="G123" s="150">
        <f t="shared" si="25"/>
        <v>-0.36957619988438839</v>
      </c>
      <c r="H123" s="174"/>
      <c r="I123" s="174"/>
      <c r="J123" s="174"/>
      <c r="K123" s="151">
        <f>-MIN(-$G123,$D123)</f>
        <v>-0.36957619988438839</v>
      </c>
      <c r="L123" s="173">
        <f ca="1">-MIN(-$K123,SUM($K123:N123,$D123))</f>
        <v>-0.36957619988438839</v>
      </c>
      <c r="M123" s="50" t="s">
        <v>144</v>
      </c>
    </row>
    <row r="124" spans="1:13" ht="13.5" customHeight="1">
      <c r="A124" s="125"/>
      <c r="C124" s="146">
        <f>L117</f>
        <v>47483</v>
      </c>
      <c r="D124" s="171">
        <f>L36</f>
        <v>3.9299019555263603</v>
      </c>
      <c r="E124" s="148">
        <v>10</v>
      </c>
      <c r="F124" s="68"/>
      <c r="G124" s="150">
        <f t="shared" si="25"/>
        <v>-0.39299019555263603</v>
      </c>
      <c r="H124" s="174"/>
      <c r="I124" s="174"/>
      <c r="J124" s="174"/>
      <c r="K124" s="174"/>
      <c r="L124" s="151">
        <f>-MIN(-$G124,$D124)</f>
        <v>-0.39299019555263603</v>
      </c>
      <c r="M124" s="50" t="s">
        <v>144</v>
      </c>
    </row>
    <row r="125" spans="1:13" ht="13.5" customHeight="1">
      <c r="C125" s="68"/>
      <c r="D125" s="155"/>
    </row>
    <row r="126" spans="1:13" ht="13.5" customHeight="1">
      <c r="C126" s="39" t="s">
        <v>131</v>
      </c>
      <c r="H126" s="156">
        <f>-SUM(H119:H125)</f>
        <v>5.829392560625954</v>
      </c>
      <c r="I126" s="156">
        <f t="shared" ref="I126:L126" si="26">-SUM(I119:I125)</f>
        <v>6.1302957891314076</v>
      </c>
      <c r="J126" s="156">
        <f t="shared" ca="1" si="26"/>
        <v>6.4683165246530567</v>
      </c>
      <c r="K126" s="156">
        <f t="shared" ca="1" si="26"/>
        <v>6.8378927245374452</v>
      </c>
      <c r="L126" s="156">
        <f t="shared" ca="1" si="26"/>
        <v>7.2308829200900817</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6D6-1779-4001-9474-94007B1CD17A}">
  <sheetPr>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c r="I61" s="129"/>
      <c r="J61" s="129"/>
      <c r="K61" s="129"/>
      <c r="L61" s="129"/>
      <c r="M61" s="50" t="s">
        <v>147</v>
      </c>
    </row>
    <row r="62" spans="1:13" ht="13.5" customHeight="1" outlineLevel="1">
      <c r="A62" s="164"/>
      <c r="C62" s="91" t="s">
        <v>31</v>
      </c>
      <c r="F62" s="96">
        <f>'Financials from CIP'!D49/1000</f>
        <v>0.80490099999999998</v>
      </c>
      <c r="G62" s="96">
        <f>'Financials from CIP'!E49/1000</f>
        <v>1.161057</v>
      </c>
      <c r="H62" s="129"/>
      <c r="I62" s="129"/>
      <c r="J62" s="129"/>
      <c r="K62" s="129"/>
      <c r="L62" s="129"/>
      <c r="M62" s="50" t="s">
        <v>147</v>
      </c>
    </row>
    <row r="63" spans="1:13" ht="13.5" customHeight="1" outlineLevel="1">
      <c r="A63" s="164"/>
      <c r="C63" s="91" t="s">
        <v>84</v>
      </c>
      <c r="F63" s="96">
        <f>'Financials from CIP'!D50/1000</f>
        <v>0.26978399999999997</v>
      </c>
      <c r="G63" s="96">
        <f>'Financials from CIP'!E50/1000</f>
        <v>0.34491899999999998</v>
      </c>
      <c r="H63" s="129"/>
      <c r="I63" s="129"/>
      <c r="J63" s="129"/>
      <c r="K63" s="129"/>
      <c r="L63" s="129"/>
      <c r="M63" s="50" t="s">
        <v>147</v>
      </c>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c r="I74" s="129"/>
      <c r="J74" s="129"/>
      <c r="K74" s="129"/>
      <c r="L74" s="129"/>
      <c r="M74" s="50" t="s">
        <v>147</v>
      </c>
    </row>
    <row r="75" spans="1:13" ht="13.5" customHeight="1" outlineLevel="1">
      <c r="A75" s="164"/>
      <c r="C75" s="91" t="s">
        <v>38</v>
      </c>
      <c r="D75" s="95"/>
      <c r="E75" s="95"/>
      <c r="F75" s="96">
        <f>'Financials from CIP'!D59/1000</f>
        <v>2.3839329999999999</v>
      </c>
      <c r="G75" s="96">
        <f>'Financials from CIP'!E59/1000</f>
        <v>2.7880379999999998</v>
      </c>
      <c r="H75" s="129"/>
      <c r="I75" s="129"/>
      <c r="J75" s="129"/>
      <c r="K75" s="129"/>
      <c r="L75" s="129"/>
      <c r="M75" s="50" t="s">
        <v>147</v>
      </c>
    </row>
    <row r="76" spans="1:13" ht="13.5" customHeight="1" outlineLevel="1">
      <c r="A76" s="164"/>
      <c r="C76" s="91" t="s">
        <v>39</v>
      </c>
      <c r="D76" s="95"/>
      <c r="E76" s="95"/>
      <c r="F76" s="96">
        <f>'Financials from CIP'!D60/1000</f>
        <v>2.0579079999999998</v>
      </c>
      <c r="G76" s="96">
        <f>'Financials from CIP'!E60/1000</f>
        <v>3.2020309999999998</v>
      </c>
      <c r="H76" s="129"/>
      <c r="I76" s="129"/>
      <c r="J76" s="129"/>
      <c r="K76" s="129"/>
      <c r="L76" s="129"/>
      <c r="M76" s="50" t="s">
        <v>147</v>
      </c>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3">F87-F70</f>
        <v>8.2790072042371321E-7</v>
      </c>
      <c r="G89" s="178">
        <f t="shared" si="23"/>
        <v>-5.0419180297467392E-7</v>
      </c>
      <c r="H89" s="178">
        <f t="shared" si="23"/>
        <v>15.545929938004399</v>
      </c>
      <c r="I89" s="178">
        <f t="shared" si="23"/>
        <v>27.502460249789031</v>
      </c>
      <c r="J89" s="178">
        <f t="shared" ca="1" si="23"/>
        <v>40.794471787652114</v>
      </c>
      <c r="K89" s="178">
        <f t="shared" ca="1" si="23"/>
        <v>55.247450224332951</v>
      </c>
      <c r="L89" s="178">
        <f t="shared" ca="1" si="23"/>
        <v>70.598854954472017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4">H$11</f>
        <v>46022</v>
      </c>
      <c r="I96" s="58">
        <f t="shared" si="24"/>
        <v>46387</v>
      </c>
      <c r="J96" s="58">
        <f t="shared" si="24"/>
        <v>46752</v>
      </c>
      <c r="K96" s="58">
        <f t="shared" si="24"/>
        <v>47118</v>
      </c>
      <c r="L96" s="58">
        <f t="shared" si="24"/>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c r="G100" s="165"/>
      <c r="H100" s="165"/>
      <c r="I100" s="165"/>
      <c r="J100" s="165"/>
      <c r="K100" s="165"/>
      <c r="L100" s="165"/>
      <c r="M100" s="50" t="s">
        <v>149</v>
      </c>
    </row>
    <row r="101" spans="1:13" ht="13.5" customHeight="1" outlineLevel="1">
      <c r="A101" s="125"/>
      <c r="C101" s="91" t="str">
        <f>C62</f>
        <v>Inventory</v>
      </c>
      <c r="D101" s="68"/>
      <c r="E101" s="68"/>
      <c r="F101" s="165"/>
      <c r="G101" s="165"/>
      <c r="H101" s="165"/>
      <c r="I101" s="165"/>
      <c r="J101" s="165"/>
      <c r="K101" s="165"/>
      <c r="L101" s="165"/>
      <c r="M101" s="50" t="s">
        <v>150</v>
      </c>
    </row>
    <row r="102" spans="1:13" ht="13.5" customHeight="1" outlineLevel="1">
      <c r="A102" s="125"/>
      <c r="C102" s="91" t="str">
        <f>C63</f>
        <v>Prepaids and Other Current Assets</v>
      </c>
      <c r="D102" s="68"/>
      <c r="E102" s="68"/>
      <c r="F102" s="165"/>
      <c r="G102" s="165"/>
      <c r="H102" s="165"/>
      <c r="I102" s="165"/>
      <c r="J102" s="165"/>
      <c r="K102" s="165"/>
      <c r="L102" s="165"/>
      <c r="M102" s="50" t="s">
        <v>151</v>
      </c>
    </row>
    <row r="103" spans="1:13" ht="13.5" customHeight="1" outlineLevel="1">
      <c r="A103" s="125"/>
      <c r="C103" s="65" t="s">
        <v>152</v>
      </c>
      <c r="D103" s="65"/>
      <c r="E103" s="65"/>
      <c r="F103" s="179">
        <f t="shared" ref="F103:L103" si="25">SUM(F100:F102)</f>
        <v>0</v>
      </c>
      <c r="G103" s="179">
        <f t="shared" si="25"/>
        <v>0</v>
      </c>
      <c r="H103" s="179">
        <f t="shared" si="25"/>
        <v>0</v>
      </c>
      <c r="I103" s="179">
        <f t="shared" si="25"/>
        <v>0</v>
      </c>
      <c r="J103" s="179">
        <f t="shared" si="25"/>
        <v>0</v>
      </c>
      <c r="K103" s="179">
        <f t="shared" si="25"/>
        <v>0</v>
      </c>
      <c r="L103" s="179">
        <f t="shared" si="25"/>
        <v>0</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c r="G105" s="165"/>
      <c r="H105" s="165"/>
      <c r="I105" s="165"/>
      <c r="J105" s="165"/>
      <c r="K105" s="165"/>
      <c r="L105" s="165"/>
      <c r="M105" s="50" t="s">
        <v>153</v>
      </c>
    </row>
    <row r="106" spans="1:13" ht="13.5" customHeight="1" outlineLevel="1">
      <c r="A106" s="125"/>
      <c r="C106" s="91" t="str">
        <f>C75</f>
        <v>Wages Payable</v>
      </c>
      <c r="D106" s="68"/>
      <c r="E106" s="68"/>
      <c r="F106" s="165"/>
      <c r="G106" s="165"/>
      <c r="H106" s="165"/>
      <c r="I106" s="165"/>
      <c r="J106" s="165"/>
      <c r="K106" s="165"/>
      <c r="L106" s="165"/>
      <c r="M106" s="50" t="s">
        <v>154</v>
      </c>
    </row>
    <row r="107" spans="1:13" ht="13.5" customHeight="1" outlineLevel="1">
      <c r="A107" s="125"/>
      <c r="C107" s="91" t="str">
        <f>C76</f>
        <v>Accrued Expenses &amp; Other</v>
      </c>
      <c r="D107" s="68"/>
      <c r="E107" s="68"/>
      <c r="F107" s="165"/>
      <c r="G107" s="165"/>
      <c r="H107" s="165"/>
      <c r="I107" s="165"/>
      <c r="J107" s="165"/>
      <c r="K107" s="165"/>
      <c r="L107" s="165"/>
      <c r="M107" s="50" t="s">
        <v>155</v>
      </c>
    </row>
    <row r="108" spans="1:13" ht="13.5" customHeight="1" outlineLevel="1">
      <c r="A108" s="125"/>
      <c r="C108" s="65" t="s">
        <v>156</v>
      </c>
      <c r="D108" s="65"/>
      <c r="E108" s="65"/>
      <c r="F108" s="179">
        <f t="shared" ref="F108:L108" si="26">SUM(F105:F107)</f>
        <v>0</v>
      </c>
      <c r="G108" s="179">
        <f t="shared" si="26"/>
        <v>0</v>
      </c>
      <c r="H108" s="179">
        <f t="shared" si="26"/>
        <v>0</v>
      </c>
      <c r="I108" s="179">
        <f t="shared" si="26"/>
        <v>0</v>
      </c>
      <c r="J108" s="179">
        <f t="shared" si="26"/>
        <v>0</v>
      </c>
      <c r="K108" s="179">
        <f t="shared" si="26"/>
        <v>0</v>
      </c>
      <c r="L108" s="179">
        <f t="shared" si="26"/>
        <v>0</v>
      </c>
    </row>
    <row r="109" spans="1:13" ht="13.5" customHeight="1" outlineLevel="1">
      <c r="A109" s="125"/>
      <c r="C109" s="180" t="s">
        <v>157</v>
      </c>
      <c r="D109" s="180"/>
      <c r="E109" s="180"/>
      <c r="F109" s="181">
        <f t="shared" ref="F109:L109" si="27">F103-F108</f>
        <v>0</v>
      </c>
      <c r="G109" s="181">
        <f t="shared" si="27"/>
        <v>0</v>
      </c>
      <c r="H109" s="181">
        <f t="shared" si="27"/>
        <v>0</v>
      </c>
      <c r="I109" s="181">
        <f t="shared" si="27"/>
        <v>0</v>
      </c>
      <c r="J109" s="181">
        <f t="shared" si="27"/>
        <v>0</v>
      </c>
      <c r="K109" s="181">
        <f t="shared" si="27"/>
        <v>0</v>
      </c>
      <c r="L109" s="181">
        <f t="shared" si="27"/>
        <v>0</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c r="H111" s="183"/>
      <c r="I111" s="183"/>
      <c r="J111" s="183"/>
      <c r="K111" s="183"/>
      <c r="L111" s="183"/>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c r="G115" s="184"/>
      <c r="H115" s="184"/>
      <c r="I115" s="184"/>
      <c r="J115" s="184"/>
      <c r="K115" s="184"/>
      <c r="L115" s="184"/>
      <c r="M115" s="50" t="s">
        <v>162</v>
      </c>
    </row>
    <row r="116" spans="1:17" ht="13.5" customHeight="1" outlineLevel="1">
      <c r="A116" s="125"/>
      <c r="C116" s="68" t="s">
        <v>66</v>
      </c>
      <c r="D116" s="68"/>
      <c r="E116" s="68"/>
      <c r="F116" s="165"/>
      <c r="G116" s="165"/>
      <c r="H116" s="165"/>
      <c r="I116" s="165"/>
      <c r="J116" s="165"/>
      <c r="K116" s="165"/>
      <c r="L116" s="165"/>
      <c r="M116" s="50" t="s">
        <v>162</v>
      </c>
    </row>
    <row r="117" spans="1:17" ht="13.5" customHeight="1" outlineLevel="1">
      <c r="A117" s="125"/>
      <c r="C117" s="68" t="s">
        <v>69</v>
      </c>
      <c r="D117" s="68"/>
      <c r="E117" s="68"/>
      <c r="F117" s="165"/>
      <c r="G117" s="165"/>
      <c r="H117" s="165"/>
      <c r="I117" s="165"/>
      <c r="J117" s="165"/>
      <c r="K117" s="165"/>
      <c r="L117" s="165"/>
      <c r="M117" s="50" t="s">
        <v>162</v>
      </c>
    </row>
    <row r="118" spans="1:17" ht="13.5" customHeight="1" outlineLevel="1">
      <c r="A118" s="125"/>
      <c r="F118" s="82"/>
    </row>
    <row r="119" spans="1:17" ht="13.5" customHeight="1" outlineLevel="1">
      <c r="A119" s="125"/>
      <c r="C119" s="98" t="s">
        <v>163</v>
      </c>
      <c r="D119" s="68"/>
      <c r="F119" s="185"/>
      <c r="G119" s="185"/>
      <c r="H119" s="186"/>
      <c r="I119" s="186"/>
      <c r="J119" s="186"/>
      <c r="K119" s="186"/>
      <c r="L119" s="186"/>
      <c r="M119" s="50" t="s">
        <v>164</v>
      </c>
    </row>
    <row r="120" spans="1:17" ht="13.5" customHeight="1" outlineLevel="1">
      <c r="A120" s="125"/>
      <c r="C120" s="98" t="s">
        <v>165</v>
      </c>
      <c r="D120" s="68"/>
      <c r="F120" s="185"/>
      <c r="G120" s="185"/>
      <c r="H120" s="186"/>
      <c r="I120" s="186"/>
      <c r="J120" s="186"/>
      <c r="K120" s="186"/>
      <c r="L120" s="186"/>
      <c r="M120" s="50" t="s">
        <v>166</v>
      </c>
    </row>
    <row r="121" spans="1:17" ht="13.5" customHeight="1" outlineLevel="1">
      <c r="A121" s="125"/>
      <c r="C121" s="98" t="s">
        <v>167</v>
      </c>
      <c r="D121" s="68"/>
      <c r="F121" s="187"/>
      <c r="G121" s="187"/>
      <c r="H121" s="135"/>
      <c r="I121" s="135"/>
      <c r="J121" s="135"/>
      <c r="K121" s="135"/>
      <c r="L121" s="135"/>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c r="G123" s="185"/>
      <c r="H123" s="186"/>
      <c r="I123" s="186"/>
      <c r="J123" s="186"/>
      <c r="K123" s="186"/>
      <c r="L123" s="186"/>
      <c r="M123" s="50" t="s">
        <v>170</v>
      </c>
    </row>
    <row r="124" spans="1:17" ht="13.5" customHeight="1" outlineLevel="1">
      <c r="A124" s="125"/>
      <c r="C124" s="98" t="s">
        <v>171</v>
      </c>
      <c r="D124" s="68"/>
      <c r="F124" s="187"/>
      <c r="G124" s="187"/>
      <c r="H124" s="135"/>
      <c r="I124" s="135"/>
      <c r="J124" s="135"/>
      <c r="K124" s="135"/>
      <c r="L124" s="135"/>
      <c r="M124" s="50" t="s">
        <v>172</v>
      </c>
    </row>
    <row r="125" spans="1:17" ht="13.5" customHeight="1" outlineLevel="1">
      <c r="A125" s="125"/>
      <c r="C125" s="98" t="s">
        <v>173</v>
      </c>
      <c r="D125" s="68"/>
      <c r="F125" s="187"/>
      <c r="G125" s="187"/>
      <c r="H125" s="135"/>
      <c r="I125" s="135"/>
      <c r="J125" s="135"/>
      <c r="K125" s="135"/>
      <c r="L125" s="135"/>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4'!F13</f>
        <v>0</v>
      </c>
      <c r="G132" s="122">
        <f>'Financials from CIP'!E13/1000-'Step 4'!G13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4'!F15</f>
        <v>0</v>
      </c>
      <c r="G133" s="122">
        <f>'Financials from CIP'!E19/1000-'Step 4'!G15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4'!F18</f>
        <v>0</v>
      </c>
      <c r="G134" s="122">
        <f>'Financials from CIP'!E36/1000-'Step 4'!G18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4'!F33</f>
        <v>0</v>
      </c>
      <c r="G135" s="122">
        <f>'Financials from CIP'!E34/1000-'Step 4'!G33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4'!F60</f>
        <v>0</v>
      </c>
      <c r="G138" s="122">
        <f>'Financials from CIP'!E46/1000-'Step 4'!G60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4'!F64</f>
        <v>0</v>
      </c>
      <c r="G139" s="122">
        <f>'Financials from CIP'!E51/1000-'Step 4'!G64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4'!F70</f>
        <v>0</v>
      </c>
      <c r="G140" s="122">
        <f>'Financials from CIP'!E56/1000-'Step 4'!G70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4'!F77</f>
        <v>0</v>
      </c>
      <c r="G141" s="122">
        <f>'Financials from CIP'!E61/1000-'Step 4'!G77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4'!F84</f>
        <v>0</v>
      </c>
      <c r="G142" s="122">
        <f>'Financials from CIP'!E69/1000-'Step 4'!G84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4'!F85:F86)</f>
        <v>0</v>
      </c>
      <c r="G143" s="122">
        <f>'Financials from CIP'!E73/1000-SUM('Step 4'!G85:G86)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28">H$11</f>
        <v>46022</v>
      </c>
      <c r="I155" s="58">
        <f t="shared" si="28"/>
        <v>46387</v>
      </c>
      <c r="J155" s="58">
        <f t="shared" si="28"/>
        <v>46752</v>
      </c>
      <c r="K155" s="58">
        <f t="shared" si="28"/>
        <v>47118</v>
      </c>
      <c r="L155" s="58">
        <f t="shared" si="28"/>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29">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29"/>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29"/>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29"/>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29"/>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29"/>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30">-SUM(I157:I163)</f>
        <v>6.1302957891314076</v>
      </c>
      <c r="J164" s="156">
        <f t="shared" ca="1" si="30"/>
        <v>6.4683165246530567</v>
      </c>
      <c r="K164" s="156">
        <f t="shared" ca="1" si="30"/>
        <v>6.8378927245374452</v>
      </c>
      <c r="L164" s="156">
        <f t="shared" ca="1" si="30"/>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ED9-032A-4366-B98A-E9770D8BD79A}">
  <sheetPr>
    <tabColor rgb="FF416D89"/>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f>H100</f>
        <v>24.012610811683217</v>
      </c>
      <c r="I61" s="129">
        <f t="shared" ref="I61:L61" si="17">I100</f>
        <v>27.695031965240773</v>
      </c>
      <c r="J61" s="129">
        <f t="shared" si="17"/>
        <v>31.111314829301037</v>
      </c>
      <c r="K61" s="129">
        <f t="shared" si="17"/>
        <v>34.015669157916122</v>
      </c>
      <c r="L61" s="129">
        <f t="shared" si="17"/>
        <v>36.170685445667161</v>
      </c>
      <c r="M61" s="50" t="s">
        <v>147</v>
      </c>
    </row>
    <row r="62" spans="1:13" ht="13.5" customHeight="1" outlineLevel="1">
      <c r="A62" s="164"/>
      <c r="C62" s="91" t="s">
        <v>31</v>
      </c>
      <c r="F62" s="96">
        <f>'Financials from CIP'!D49/1000</f>
        <v>0.80490099999999998</v>
      </c>
      <c r="G62" s="96">
        <f>'Financials from CIP'!E49/1000</f>
        <v>1.161057</v>
      </c>
      <c r="H62" s="129">
        <f t="shared" ref="H62:L63" si="18">H101</f>
        <v>1.2029011201180084</v>
      </c>
      <c r="I62" s="129">
        <f t="shared" si="18"/>
        <v>1.3873703794209342</v>
      </c>
      <c r="J62" s="129">
        <f t="shared" si="18"/>
        <v>1.558507558799139</v>
      </c>
      <c r="K62" s="129">
        <f t="shared" si="18"/>
        <v>1.7039999045715051</v>
      </c>
      <c r="L62" s="129">
        <f t="shared" si="18"/>
        <v>1.8119544925477122</v>
      </c>
      <c r="M62" s="50" t="s">
        <v>147</v>
      </c>
    </row>
    <row r="63" spans="1:13" ht="13.5" customHeight="1" outlineLevel="1">
      <c r="A63" s="164"/>
      <c r="C63" s="91" t="s">
        <v>84</v>
      </c>
      <c r="F63" s="96">
        <f>'Financials from CIP'!D50/1000</f>
        <v>0.26978399999999997</v>
      </c>
      <c r="G63" s="96">
        <f>'Financials from CIP'!E50/1000</f>
        <v>0.34491899999999998</v>
      </c>
      <c r="H63" s="129">
        <f t="shared" si="18"/>
        <v>0.3792215684283346</v>
      </c>
      <c r="I63" s="129">
        <f t="shared" si="18"/>
        <v>0.43737657441320382</v>
      </c>
      <c r="J63" s="129">
        <f t="shared" si="18"/>
        <v>0.49132856472628733</v>
      </c>
      <c r="K63" s="129">
        <f t="shared" si="18"/>
        <v>0.53719587221761422</v>
      </c>
      <c r="L63" s="129">
        <f t="shared" si="18"/>
        <v>0.57122918342390505</v>
      </c>
      <c r="M63" s="50" t="s">
        <v>147</v>
      </c>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f>H105</f>
        <v>3.2375302691281114</v>
      </c>
      <c r="I74" s="129">
        <f t="shared" ref="I74:L74" si="21">I105</f>
        <v>3.7340173042871405</v>
      </c>
      <c r="J74" s="129">
        <f t="shared" si="21"/>
        <v>4.1946219118843056</v>
      </c>
      <c r="K74" s="129">
        <f t="shared" si="21"/>
        <v>4.5862051147649199</v>
      </c>
      <c r="L74" s="129">
        <f t="shared" si="21"/>
        <v>4.8767578795922875</v>
      </c>
      <c r="M74" s="50" t="s">
        <v>147</v>
      </c>
    </row>
    <row r="75" spans="1:13" ht="13.5" customHeight="1" outlineLevel="1">
      <c r="A75" s="164"/>
      <c r="C75" s="91" t="s">
        <v>38</v>
      </c>
      <c r="D75" s="95"/>
      <c r="E75" s="95"/>
      <c r="F75" s="96">
        <f>'Financials from CIP'!D59/1000</f>
        <v>2.3839329999999999</v>
      </c>
      <c r="G75" s="96">
        <f>'Financials from CIP'!E59/1000</f>
        <v>2.7880379999999998</v>
      </c>
      <c r="H75" s="129">
        <f t="shared" ref="H75:L76" si="22">H106</f>
        <v>3.1966854452582232</v>
      </c>
      <c r="I75" s="129">
        <f t="shared" si="22"/>
        <v>3.6869087782063024</v>
      </c>
      <c r="J75" s="129">
        <f t="shared" si="22"/>
        <v>4.1417023778724023</v>
      </c>
      <c r="K75" s="129">
        <f t="shared" si="22"/>
        <v>4.5283453498910609</v>
      </c>
      <c r="L75" s="129">
        <f t="shared" si="22"/>
        <v>4.8152324882940372</v>
      </c>
      <c r="M75" s="50" t="s">
        <v>147</v>
      </c>
    </row>
    <row r="76" spans="1:13" ht="13.5" customHeight="1" outlineLevel="1">
      <c r="A76" s="164"/>
      <c r="C76" s="91" t="s">
        <v>39</v>
      </c>
      <c r="D76" s="95"/>
      <c r="E76" s="95"/>
      <c r="F76" s="96">
        <f>'Financials from CIP'!D60/1000</f>
        <v>2.0579079999999998</v>
      </c>
      <c r="G76" s="96">
        <f>'Financials from CIP'!E60/1000</f>
        <v>3.2020309999999998</v>
      </c>
      <c r="H76" s="129">
        <f t="shared" si="22"/>
        <v>3.2317636858846019</v>
      </c>
      <c r="I76" s="129">
        <f t="shared" si="22"/>
        <v>3.727366394541769</v>
      </c>
      <c r="J76" s="129">
        <f t="shared" si="22"/>
        <v>4.1871505882458564</v>
      </c>
      <c r="K76" s="129">
        <f t="shared" si="22"/>
        <v>4.5780363159066395</v>
      </c>
      <c r="L76" s="129">
        <f t="shared" si="22"/>
        <v>4.8680715576328382</v>
      </c>
      <c r="M76" s="50" t="s">
        <v>147</v>
      </c>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f>F61</f>
        <v>16.781419000000003</v>
      </c>
      <c r="G100" s="165">
        <f>G61</f>
        <v>22.284721999999999</v>
      </c>
      <c r="H100" s="165">
        <f>(H115/365)*H119</f>
        <v>24.012610811683217</v>
      </c>
      <c r="I100" s="165">
        <f>(I115/365)*I119</f>
        <v>27.695031965240773</v>
      </c>
      <c r="J100" s="165">
        <f>(J115/365)*J119</f>
        <v>31.111314829301037</v>
      </c>
      <c r="K100" s="165">
        <f>(K115/365)*K119</f>
        <v>34.015669157916122</v>
      </c>
      <c r="L100" s="165">
        <f>(L115/365)*L119</f>
        <v>36.170685445667161</v>
      </c>
      <c r="M100" s="50" t="s">
        <v>149</v>
      </c>
    </row>
    <row r="101" spans="1:13" ht="13.5" customHeight="1" outlineLevel="1">
      <c r="A101" s="125"/>
      <c r="C101" s="91" t="str">
        <f>C62</f>
        <v>Inventory</v>
      </c>
      <c r="D101" s="68"/>
      <c r="E101" s="68"/>
      <c r="F101" s="165">
        <f t="shared" ref="F101:G102" si="29">F62</f>
        <v>0.80490099999999998</v>
      </c>
      <c r="G101" s="165">
        <f t="shared" si="29"/>
        <v>1.161057</v>
      </c>
      <c r="H101" s="165">
        <f>(H116/365)*H120</f>
        <v>1.2029011201180084</v>
      </c>
      <c r="I101" s="165">
        <f t="shared" ref="I101:L101" si="30">(I116/365)*I120</f>
        <v>1.3873703794209342</v>
      </c>
      <c r="J101" s="165">
        <f t="shared" si="30"/>
        <v>1.558507558799139</v>
      </c>
      <c r="K101" s="165">
        <f t="shared" si="30"/>
        <v>1.7039999045715051</v>
      </c>
      <c r="L101" s="165">
        <f t="shared" si="30"/>
        <v>1.8119544925477122</v>
      </c>
      <c r="M101" s="50" t="s">
        <v>150</v>
      </c>
    </row>
    <row r="102" spans="1:13" ht="13.5" customHeight="1" outlineLevel="1">
      <c r="A102" s="125"/>
      <c r="C102" s="91" t="str">
        <f>C63</f>
        <v>Prepaids and Other Current Assets</v>
      </c>
      <c r="D102" s="68"/>
      <c r="E102" s="68"/>
      <c r="F102" s="165">
        <f t="shared" si="29"/>
        <v>0.26978399999999997</v>
      </c>
      <c r="G102" s="165">
        <f t="shared" si="29"/>
        <v>0.34491899999999998</v>
      </c>
      <c r="H102" s="165">
        <f>H121*H117</f>
        <v>0.3792215684283346</v>
      </c>
      <c r="I102" s="165">
        <f t="shared" ref="I102:L102" si="31">I121*I117</f>
        <v>0.43737657441320382</v>
      </c>
      <c r="J102" s="165">
        <f t="shared" si="31"/>
        <v>0.49132856472628733</v>
      </c>
      <c r="K102" s="165">
        <f t="shared" si="31"/>
        <v>0.53719587221761422</v>
      </c>
      <c r="L102" s="165">
        <f t="shared" si="31"/>
        <v>0.57122918342390505</v>
      </c>
      <c r="M102" s="50" t="s">
        <v>151</v>
      </c>
    </row>
    <row r="103" spans="1:13" ht="13.5" customHeight="1" outlineLevel="1">
      <c r="A103" s="125"/>
      <c r="C103" s="65" t="s">
        <v>152</v>
      </c>
      <c r="D103" s="65"/>
      <c r="E103" s="65"/>
      <c r="F103" s="179">
        <f t="shared" ref="F103:L103" si="32">SUM(F100:F102)</f>
        <v>17.856104000000006</v>
      </c>
      <c r="G103" s="179">
        <f t="shared" si="32"/>
        <v>23.790697999999999</v>
      </c>
      <c r="H103" s="179">
        <f t="shared" si="32"/>
        <v>25.594733500229559</v>
      </c>
      <c r="I103" s="179">
        <f t="shared" si="32"/>
        <v>29.519778919074909</v>
      </c>
      <c r="J103" s="179">
        <f t="shared" si="32"/>
        <v>33.161150952826461</v>
      </c>
      <c r="K103" s="179">
        <f t="shared" si="32"/>
        <v>36.256864934705241</v>
      </c>
      <c r="L103" s="179">
        <f t="shared" si="32"/>
        <v>38.553869121638776</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f>F74</f>
        <v>2.8058170000000002</v>
      </c>
      <c r="G105" s="165">
        <f t="shared" ref="G105:G107" si="33">G74</f>
        <v>2.3607100000000001</v>
      </c>
      <c r="H105" s="165">
        <f>(H116/365)*H123</f>
        <v>3.2375302691281114</v>
      </c>
      <c r="I105" s="165">
        <f>(I116/365)*I123</f>
        <v>3.7340173042871405</v>
      </c>
      <c r="J105" s="165">
        <f>(J116/365)*J123</f>
        <v>4.1946219118843056</v>
      </c>
      <c r="K105" s="165">
        <f>(K116/365)*K123</f>
        <v>4.5862051147649199</v>
      </c>
      <c r="L105" s="165">
        <f>(L116/365)*L123</f>
        <v>4.8767578795922875</v>
      </c>
      <c r="M105" s="50" t="s">
        <v>153</v>
      </c>
    </row>
    <row r="106" spans="1:13" ht="13.5" customHeight="1" outlineLevel="1">
      <c r="A106" s="125"/>
      <c r="C106" s="91" t="str">
        <f>C75</f>
        <v>Wages Payable</v>
      </c>
      <c r="D106" s="68"/>
      <c r="E106" s="68"/>
      <c r="F106" s="165">
        <f t="shared" ref="F106:F107" si="34">F75</f>
        <v>2.3839329999999999</v>
      </c>
      <c r="G106" s="165">
        <f t="shared" si="33"/>
        <v>2.7880379999999998</v>
      </c>
      <c r="H106" s="165">
        <f>H124*H117</f>
        <v>3.1966854452582232</v>
      </c>
      <c r="I106" s="165">
        <f t="shared" ref="I106:L106" si="35">I124*I117</f>
        <v>3.6869087782063024</v>
      </c>
      <c r="J106" s="165">
        <f t="shared" si="35"/>
        <v>4.1417023778724023</v>
      </c>
      <c r="K106" s="165">
        <f t="shared" si="35"/>
        <v>4.5283453498910609</v>
      </c>
      <c r="L106" s="165">
        <f t="shared" si="35"/>
        <v>4.8152324882940372</v>
      </c>
      <c r="M106" s="50" t="s">
        <v>154</v>
      </c>
    </row>
    <row r="107" spans="1:13" ht="13.5" customHeight="1" outlineLevel="1">
      <c r="A107" s="125"/>
      <c r="C107" s="91" t="str">
        <f>C76</f>
        <v>Accrued Expenses &amp; Other</v>
      </c>
      <c r="D107" s="68"/>
      <c r="E107" s="68"/>
      <c r="F107" s="165">
        <f t="shared" si="34"/>
        <v>2.0579079999999998</v>
      </c>
      <c r="G107" s="165">
        <f t="shared" si="33"/>
        <v>3.2020309999999998</v>
      </c>
      <c r="H107" s="165">
        <f>H125*H117</f>
        <v>3.2317636858846019</v>
      </c>
      <c r="I107" s="165">
        <f t="shared" ref="I107:L107" si="36">I125*I117</f>
        <v>3.727366394541769</v>
      </c>
      <c r="J107" s="165">
        <f t="shared" si="36"/>
        <v>4.1871505882458564</v>
      </c>
      <c r="K107" s="165">
        <f t="shared" si="36"/>
        <v>4.5780363159066395</v>
      </c>
      <c r="L107" s="165">
        <f t="shared" si="36"/>
        <v>4.8680715576328382</v>
      </c>
      <c r="M107" s="50" t="s">
        <v>155</v>
      </c>
    </row>
    <row r="108" spans="1:13" ht="13.5" customHeight="1" outlineLevel="1">
      <c r="A108" s="125"/>
      <c r="C108" s="65" t="s">
        <v>156</v>
      </c>
      <c r="D108" s="65"/>
      <c r="E108" s="65"/>
      <c r="F108" s="179">
        <f t="shared" ref="F108:L108" si="37">SUM(F105:F107)</f>
        <v>7.2476579999999995</v>
      </c>
      <c r="G108" s="179">
        <f t="shared" si="37"/>
        <v>8.3507789999999993</v>
      </c>
      <c r="H108" s="179">
        <f t="shared" si="37"/>
        <v>9.6659794002709365</v>
      </c>
      <c r="I108" s="179">
        <f t="shared" si="37"/>
        <v>11.148292477035213</v>
      </c>
      <c r="J108" s="179">
        <f t="shared" si="37"/>
        <v>12.523474878002563</v>
      </c>
      <c r="K108" s="179">
        <f t="shared" si="37"/>
        <v>13.692586780562621</v>
      </c>
      <c r="L108" s="179">
        <f t="shared" si="37"/>
        <v>14.560061925519163</v>
      </c>
    </row>
    <row r="109" spans="1:13" ht="13.5" customHeight="1" outlineLevel="1">
      <c r="A109" s="125"/>
      <c r="C109" s="180" t="s">
        <v>157</v>
      </c>
      <c r="D109" s="180"/>
      <c r="E109" s="180"/>
      <c r="F109" s="181">
        <f t="shared" ref="F109:L109" si="38">F103-F108</f>
        <v>10.608446000000006</v>
      </c>
      <c r="G109" s="181">
        <f t="shared" si="38"/>
        <v>15.439919</v>
      </c>
      <c r="H109" s="181">
        <f t="shared" si="38"/>
        <v>15.928754099958622</v>
      </c>
      <c r="I109" s="181">
        <f t="shared" si="38"/>
        <v>18.371486442039696</v>
      </c>
      <c r="J109" s="181">
        <f t="shared" si="38"/>
        <v>20.637676074823897</v>
      </c>
      <c r="K109" s="181">
        <f t="shared" si="38"/>
        <v>22.56427815414262</v>
      </c>
      <c r="L109" s="181">
        <f t="shared" si="38"/>
        <v>23.993807196119612</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f t="shared" ref="G111:L111" si="39">G109-F109</f>
        <v>4.8314729999999937</v>
      </c>
      <c r="H111" s="183">
        <f t="shared" si="39"/>
        <v>0.48883509995862262</v>
      </c>
      <c r="I111" s="183">
        <f t="shared" si="39"/>
        <v>2.442732342081074</v>
      </c>
      <c r="J111" s="183">
        <f t="shared" si="39"/>
        <v>2.2661896327842008</v>
      </c>
      <c r="K111" s="183">
        <f t="shared" si="39"/>
        <v>1.9266020793187231</v>
      </c>
      <c r="L111" s="183">
        <f t="shared" si="39"/>
        <v>1.4295290419769913</v>
      </c>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f t="shared" ref="F115:L116" si="40">F13</f>
        <v>78.565675999999996</v>
      </c>
      <c r="G115" s="184">
        <f t="shared" si="40"/>
        <v>90.614007999999998</v>
      </c>
      <c r="H115" s="184">
        <f t="shared" si="40"/>
        <v>104.5099955077592</v>
      </c>
      <c r="I115" s="184">
        <f t="shared" si="40"/>
        <v>120.53698321160066</v>
      </c>
      <c r="J115" s="184">
        <f t="shared" si="40"/>
        <v>135.4056582414087</v>
      </c>
      <c r="K115" s="184">
        <f t="shared" si="40"/>
        <v>148.04626863637753</v>
      </c>
      <c r="L115" s="184">
        <f t="shared" si="40"/>
        <v>157.42553790111026</v>
      </c>
      <c r="M115" s="50" t="s">
        <v>162</v>
      </c>
    </row>
    <row r="116" spans="1:17" ht="13.5" customHeight="1" outlineLevel="1">
      <c r="A116" s="125"/>
      <c r="C116" s="68" t="s">
        <v>66</v>
      </c>
      <c r="D116" s="68"/>
      <c r="E116" s="68"/>
      <c r="F116" s="165">
        <f>F14</f>
        <v>51.562188999999996</v>
      </c>
      <c r="G116" s="165">
        <f t="shared" si="40"/>
        <v>61.618676000000001</v>
      </c>
      <c r="H116" s="165">
        <f t="shared" si="40"/>
        <v>69.828708282059708</v>
      </c>
      <c r="I116" s="165">
        <f t="shared" si="40"/>
        <v>80.537194523728473</v>
      </c>
      <c r="J116" s="165">
        <f t="shared" si="40"/>
        <v>90.471750220079329</v>
      </c>
      <c r="K116" s="165">
        <f t="shared" si="40"/>
        <v>98.917616966977391</v>
      </c>
      <c r="L116" s="165">
        <f t="shared" si="40"/>
        <v>105.18440756632523</v>
      </c>
      <c r="M116" s="50" t="s">
        <v>162</v>
      </c>
    </row>
    <row r="117" spans="1:17" ht="13.5" customHeight="1" outlineLevel="1">
      <c r="A117" s="125"/>
      <c r="C117" s="68" t="s">
        <v>69</v>
      </c>
      <c r="D117" s="68"/>
      <c r="E117" s="68"/>
      <c r="F117" s="165">
        <f>F17</f>
        <v>14.179914999999999</v>
      </c>
      <c r="G117" s="165">
        <f t="shared" ref="G117:L117" si="41">G17</f>
        <v>15.4366889395</v>
      </c>
      <c r="H117" s="165">
        <f t="shared" si="41"/>
        <v>18.333216581804578</v>
      </c>
      <c r="I117" s="165">
        <f t="shared" si="41"/>
        <v>21.144681985672378</v>
      </c>
      <c r="J117" s="165">
        <f t="shared" si="41"/>
        <v>23.752955369300096</v>
      </c>
      <c r="K117" s="165">
        <f t="shared" si="41"/>
        <v>25.970380094765407</v>
      </c>
      <c r="L117" s="165">
        <f t="shared" si="41"/>
        <v>27.615698075825332</v>
      </c>
      <c r="M117" s="50" t="s">
        <v>162</v>
      </c>
    </row>
    <row r="118" spans="1:17" ht="13.5" customHeight="1" outlineLevel="1">
      <c r="A118" s="125"/>
      <c r="F118" s="82"/>
    </row>
    <row r="119" spans="1:17" ht="13.5" customHeight="1" outlineLevel="1">
      <c r="A119" s="125"/>
      <c r="C119" s="98" t="s">
        <v>163</v>
      </c>
      <c r="D119" s="68"/>
      <c r="F119" s="185">
        <f>F100/(F115/365)</f>
        <v>77.963027200326025</v>
      </c>
      <c r="G119" s="185">
        <f>G100/(G115/365)</f>
        <v>89.764526584013367</v>
      </c>
      <c r="H119" s="186">
        <f>AVERAGE(F119:G119)</f>
        <v>83.863776892169696</v>
      </c>
      <c r="I119" s="186">
        <f>H119</f>
        <v>83.863776892169696</v>
      </c>
      <c r="J119" s="186">
        <f t="shared" ref="J119:L119" si="42">I119</f>
        <v>83.863776892169696</v>
      </c>
      <c r="K119" s="186">
        <f t="shared" si="42"/>
        <v>83.863776892169696</v>
      </c>
      <c r="L119" s="186">
        <f t="shared" si="42"/>
        <v>83.863776892169696</v>
      </c>
      <c r="M119" s="50" t="s">
        <v>164</v>
      </c>
    </row>
    <row r="120" spans="1:17" ht="13.5" customHeight="1" outlineLevel="1">
      <c r="A120" s="125"/>
      <c r="C120" s="98" t="s">
        <v>165</v>
      </c>
      <c r="D120" s="68"/>
      <c r="F120" s="185">
        <f>F101/(F116/365)</f>
        <v>5.697757808536795</v>
      </c>
      <c r="G120" s="185">
        <f>G101/(G116/365)</f>
        <v>6.877554542067732</v>
      </c>
      <c r="H120" s="186">
        <f>AVERAGE(F120:G120)</f>
        <v>6.2876561753022635</v>
      </c>
      <c r="I120" s="186">
        <f>H120</f>
        <v>6.2876561753022635</v>
      </c>
      <c r="J120" s="186">
        <f>I120</f>
        <v>6.2876561753022635</v>
      </c>
      <c r="K120" s="186">
        <f>J120</f>
        <v>6.2876561753022635</v>
      </c>
      <c r="L120" s="186">
        <f>K120</f>
        <v>6.2876561753022635</v>
      </c>
      <c r="M120" s="50" t="s">
        <v>166</v>
      </c>
    </row>
    <row r="121" spans="1:17" ht="13.5" customHeight="1" outlineLevel="1">
      <c r="A121" s="125"/>
      <c r="C121" s="98" t="s">
        <v>167</v>
      </c>
      <c r="D121" s="68"/>
      <c r="F121" s="187">
        <f>F102/F117</f>
        <v>1.9025784005052216E-2</v>
      </c>
      <c r="G121" s="187">
        <f>G102/G117</f>
        <v>2.2344105096100488E-2</v>
      </c>
      <c r="H121" s="135">
        <f>AVERAGE(F121:G121)</f>
        <v>2.0684944550576352E-2</v>
      </c>
      <c r="I121" s="135">
        <f>H121</f>
        <v>2.0684944550576352E-2</v>
      </c>
      <c r="J121" s="135">
        <f t="shared" ref="J121:L121" si="43">I121</f>
        <v>2.0684944550576352E-2</v>
      </c>
      <c r="K121" s="135">
        <f t="shared" si="43"/>
        <v>2.0684944550576352E-2</v>
      </c>
      <c r="L121" s="135">
        <f t="shared" si="43"/>
        <v>2.0684944550576352E-2</v>
      </c>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f>F105/(F116/365)</f>
        <v>19.861903167066863</v>
      </c>
      <c r="G123" s="185">
        <f>G105/(G116/365)</f>
        <v>13.983733600507742</v>
      </c>
      <c r="H123" s="186">
        <f>AVERAGE(F123:G123)</f>
        <v>16.922818383787302</v>
      </c>
      <c r="I123" s="186">
        <f t="shared" ref="I123:L125" si="44">H123</f>
        <v>16.922818383787302</v>
      </c>
      <c r="J123" s="186">
        <f t="shared" si="44"/>
        <v>16.922818383787302</v>
      </c>
      <c r="K123" s="186">
        <f t="shared" si="44"/>
        <v>16.922818383787302</v>
      </c>
      <c r="L123" s="186">
        <f t="shared" si="44"/>
        <v>16.922818383787302</v>
      </c>
      <c r="M123" s="50" t="s">
        <v>170</v>
      </c>
    </row>
    <row r="124" spans="1:17" ht="13.5" customHeight="1" outlineLevel="1">
      <c r="A124" s="125"/>
      <c r="C124" s="98" t="s">
        <v>171</v>
      </c>
      <c r="D124" s="68"/>
      <c r="F124" s="187">
        <f>F106/F117</f>
        <v>0.16812040128590333</v>
      </c>
      <c r="G124" s="187">
        <f>G106/G117</f>
        <v>0.18061114082993923</v>
      </c>
      <c r="H124" s="135">
        <f>AVERAGE(F124:G124)</f>
        <v>0.17436577105792128</v>
      </c>
      <c r="I124" s="135">
        <f>H124</f>
        <v>0.17436577105792128</v>
      </c>
      <c r="J124" s="135">
        <f t="shared" si="44"/>
        <v>0.17436577105792128</v>
      </c>
      <c r="K124" s="135">
        <f t="shared" si="44"/>
        <v>0.17436577105792128</v>
      </c>
      <c r="L124" s="135">
        <f t="shared" si="44"/>
        <v>0.17436577105792128</v>
      </c>
      <c r="M124" s="50" t="s">
        <v>172</v>
      </c>
    </row>
    <row r="125" spans="1:17" ht="13.5" customHeight="1" outlineLevel="1">
      <c r="A125" s="125"/>
      <c r="C125" s="98" t="s">
        <v>173</v>
      </c>
      <c r="D125" s="68"/>
      <c r="F125" s="187">
        <f>F107/F117</f>
        <v>0.14512837347755611</v>
      </c>
      <c r="G125" s="187">
        <f>G107/G117</f>
        <v>0.20742991016723272</v>
      </c>
      <c r="H125" s="135">
        <f>AVERAGE(F125:G125)</f>
        <v>0.1762791418223944</v>
      </c>
      <c r="I125" s="135">
        <f>H125</f>
        <v>0.1762791418223944</v>
      </c>
      <c r="J125" s="135">
        <f t="shared" si="44"/>
        <v>0.1762791418223944</v>
      </c>
      <c r="K125" s="135">
        <f t="shared" si="44"/>
        <v>0.1762791418223944</v>
      </c>
      <c r="L125" s="135">
        <f t="shared" si="44"/>
        <v>0.1762791418223944</v>
      </c>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 Answer Key'!F13</f>
        <v>0</v>
      </c>
      <c r="G132" s="122">
        <f>'Financials from CIP'!E13/1000-'Step 4 Answer Key'!G13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 Answer Key'!F15</f>
        <v>0</v>
      </c>
      <c r="G133" s="122">
        <f>'Financials from CIP'!E19/1000-'Step 4 Answer Key'!G15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 Answer Key'!F18</f>
        <v>0</v>
      </c>
      <c r="G134" s="122">
        <f>'Financials from CIP'!E36/1000-'Step 4 Answer Key'!G18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 Answer Key'!F33</f>
        <v>0</v>
      </c>
      <c r="G135" s="122">
        <f>'Financials from CIP'!E34/1000-'Step 4 Answer Key'!G33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 Answer Key'!F60</f>
        <v>0</v>
      </c>
      <c r="G138" s="122">
        <f>'Financials from CIP'!E46/1000-'Step 4 Answer Key'!G60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 Answer Key'!F64</f>
        <v>0</v>
      </c>
      <c r="G139" s="122">
        <f>'Financials from CIP'!E51/1000-'Step 4 Answer Key'!G64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 Answer Key'!F70</f>
        <v>0</v>
      </c>
      <c r="G140" s="122">
        <f>'Financials from CIP'!E56/1000-'Step 4 Answer Key'!G70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 Answer Key'!F77</f>
        <v>0</v>
      </c>
      <c r="G141" s="122">
        <f>'Financials from CIP'!E61/1000-'Step 4 Answer Key'!G77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 Answer Key'!F84</f>
        <v>0</v>
      </c>
      <c r="G142" s="122">
        <f>'Financials from CIP'!E69/1000-'Step 4 Answer Key'!G84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 Answer Key'!F85:F86)</f>
        <v>0</v>
      </c>
      <c r="G143" s="122">
        <f>'Financials from CIP'!E73/1000-SUM('Step 4 Answer Key'!G85:G86)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45">H$11</f>
        <v>46022</v>
      </c>
      <c r="I155" s="58">
        <f t="shared" si="45"/>
        <v>46387</v>
      </c>
      <c r="J155" s="58">
        <f t="shared" si="45"/>
        <v>46752</v>
      </c>
      <c r="K155" s="58">
        <f t="shared" si="45"/>
        <v>47118</v>
      </c>
      <c r="L155" s="58">
        <f t="shared" si="45"/>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46">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46"/>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46"/>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46"/>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46"/>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46"/>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47">-SUM(I157:I163)</f>
        <v>6.1302957891314076</v>
      </c>
      <c r="J164" s="156">
        <f t="shared" ca="1" si="47"/>
        <v>6.4683165246530567</v>
      </c>
      <c r="K164" s="156">
        <f t="shared" ca="1" si="47"/>
        <v>6.8378927245374452</v>
      </c>
      <c r="L164" s="156">
        <f t="shared" ca="1" si="47"/>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1F26-7FFC-4B90-92DB-BE0FC4451888}">
  <sheetPr>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c r="I60" s="196"/>
      <c r="J60" s="196"/>
      <c r="K60" s="196"/>
      <c r="L60" s="196"/>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c r="I100" s="129"/>
      <c r="J100" s="129"/>
      <c r="K100" s="129"/>
      <c r="L100" s="129"/>
      <c r="M100" s="50" t="s">
        <v>181</v>
      </c>
    </row>
    <row r="101" spans="1:13" ht="13.5" customHeight="1" outlineLevel="1">
      <c r="A101" s="125"/>
      <c r="C101" s="91" t="s">
        <v>15</v>
      </c>
      <c r="D101" s="68"/>
      <c r="E101" s="68"/>
      <c r="F101" s="68"/>
      <c r="G101" s="154"/>
      <c r="H101" s="129"/>
      <c r="I101" s="129"/>
      <c r="J101" s="129"/>
      <c r="K101" s="129"/>
      <c r="L101" s="129"/>
      <c r="M101" s="50" t="s">
        <v>182</v>
      </c>
    </row>
    <row r="102" spans="1:13" ht="13.5" customHeight="1" outlineLevel="1">
      <c r="A102" s="125"/>
      <c r="C102" s="91" t="s">
        <v>183</v>
      </c>
      <c r="D102" s="68"/>
      <c r="E102" s="68"/>
      <c r="F102" s="68"/>
      <c r="G102" s="154"/>
      <c r="H102" s="129"/>
      <c r="I102" s="129"/>
      <c r="J102" s="129"/>
      <c r="K102" s="129"/>
      <c r="L102" s="129"/>
      <c r="M102" s="50" t="s">
        <v>184</v>
      </c>
    </row>
    <row r="103" spans="1:13" ht="13.5" customHeight="1" outlineLevel="1">
      <c r="A103" s="125"/>
      <c r="C103" s="65" t="s">
        <v>185</v>
      </c>
      <c r="D103" s="65"/>
      <c r="E103" s="65"/>
      <c r="F103" s="65"/>
      <c r="G103" s="197"/>
      <c r="H103" s="198">
        <f>SUM(H100:H102)</f>
        <v>0</v>
      </c>
      <c r="I103" s="198">
        <f t="shared" ref="I103:L103" si="29">SUM(I100:I102)</f>
        <v>0</v>
      </c>
      <c r="J103" s="198">
        <f t="shared" si="29"/>
        <v>0</v>
      </c>
      <c r="K103" s="198">
        <f t="shared" si="29"/>
        <v>0</v>
      </c>
      <c r="L103" s="198">
        <f t="shared" si="29"/>
        <v>0</v>
      </c>
      <c r="M103" s="50" t="s">
        <v>186</v>
      </c>
    </row>
    <row r="104" spans="1:13" ht="13.5" customHeight="1" outlineLevel="1">
      <c r="A104" s="125"/>
      <c r="C104" s="91" t="s">
        <v>187</v>
      </c>
      <c r="D104" s="68"/>
      <c r="E104" s="68"/>
      <c r="F104" s="68"/>
      <c r="G104" s="154"/>
      <c r="H104" s="129"/>
      <c r="I104" s="129"/>
      <c r="J104" s="129"/>
      <c r="K104" s="129"/>
      <c r="L104" s="129"/>
      <c r="M104" s="50" t="s">
        <v>188</v>
      </c>
    </row>
    <row r="105" spans="1:13" ht="13.5" customHeight="1" outlineLevel="1">
      <c r="A105" s="125"/>
      <c r="C105" s="180" t="s">
        <v>189</v>
      </c>
      <c r="D105" s="180"/>
      <c r="E105" s="180"/>
      <c r="F105" s="180"/>
      <c r="G105" s="199"/>
      <c r="H105" s="200">
        <f>+SUM(H103:H104)</f>
        <v>0</v>
      </c>
      <c r="I105" s="200">
        <f t="shared" ref="I105:L105" si="30">+SUM(I103:I104)</f>
        <v>0</v>
      </c>
      <c r="J105" s="200">
        <f t="shared" si="30"/>
        <v>0</v>
      </c>
      <c r="K105" s="200">
        <f t="shared" si="30"/>
        <v>0</v>
      </c>
      <c r="L105" s="200">
        <f t="shared" si="30"/>
        <v>0</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c r="I109" s="203"/>
      <c r="J109" s="203"/>
      <c r="K109" s="203"/>
      <c r="L109" s="203"/>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1">+C81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2">SUM(I113:I116)</f>
        <v>0</v>
      </c>
      <c r="J117" s="200">
        <f t="shared" si="32"/>
        <v>0</v>
      </c>
      <c r="K117" s="200">
        <f t="shared" si="32"/>
        <v>0</v>
      </c>
      <c r="L117" s="200">
        <f t="shared" si="32"/>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c r="I119" s="203"/>
      <c r="J119" s="203"/>
      <c r="K119" s="203"/>
      <c r="L119" s="203"/>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3">H$11</f>
        <v>46022</v>
      </c>
      <c r="I126" s="58">
        <f t="shared" si="33"/>
        <v>46387</v>
      </c>
      <c r="J126" s="58">
        <f t="shared" si="33"/>
        <v>46752</v>
      </c>
      <c r="K126" s="58">
        <f t="shared" si="33"/>
        <v>47118</v>
      </c>
      <c r="L126" s="58">
        <f t="shared" si="33"/>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4">F61</f>
        <v>16.781419000000003</v>
      </c>
      <c r="G130" s="177">
        <f t="shared" si="34"/>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4"/>
        <v>0.80490099999999998</v>
      </c>
      <c r="G131" s="177">
        <f t="shared" si="34"/>
        <v>1.161057</v>
      </c>
      <c r="H131" s="177">
        <f>(H146/365)*H150</f>
        <v>1.2029011201180084</v>
      </c>
      <c r="I131" s="177">
        <f t="shared" ref="I131:L131" si="35">(I146/365)*I150</f>
        <v>1.3873703794209342</v>
      </c>
      <c r="J131" s="177">
        <f t="shared" si="35"/>
        <v>1.558507558799139</v>
      </c>
      <c r="K131" s="177">
        <f t="shared" si="35"/>
        <v>1.7039999045715051</v>
      </c>
      <c r="L131" s="177">
        <f t="shared" si="35"/>
        <v>1.8119544925477122</v>
      </c>
      <c r="M131" s="50"/>
    </row>
    <row r="132" spans="3:13" ht="13.5" customHeight="1" outlineLevel="1">
      <c r="C132" s="91" t="str">
        <f>C63</f>
        <v>Prepaids and Other Current Assets</v>
      </c>
      <c r="D132" s="68"/>
      <c r="E132" s="68"/>
      <c r="F132" s="177">
        <f t="shared" si="34"/>
        <v>0.26978399999999997</v>
      </c>
      <c r="G132" s="177">
        <f t="shared" si="34"/>
        <v>0.34491899999999998</v>
      </c>
      <c r="H132" s="177">
        <f>H151*H147</f>
        <v>0.3792215684283346</v>
      </c>
      <c r="I132" s="177">
        <f t="shared" ref="I132:L132" si="36">I151*I147</f>
        <v>0.43737657441320382</v>
      </c>
      <c r="J132" s="177">
        <f t="shared" si="36"/>
        <v>0.49132856472628733</v>
      </c>
      <c r="K132" s="177">
        <f t="shared" si="36"/>
        <v>0.53719587221761422</v>
      </c>
      <c r="L132" s="177">
        <f t="shared" si="36"/>
        <v>0.57122918342390505</v>
      </c>
      <c r="M132" s="50"/>
    </row>
    <row r="133" spans="3:13" ht="13.5" customHeight="1" outlineLevel="1">
      <c r="C133" s="65" t="s">
        <v>152</v>
      </c>
      <c r="D133" s="65"/>
      <c r="E133" s="65"/>
      <c r="F133" s="179">
        <f t="shared" ref="F133:L133" si="37">SUM(F130:F132)</f>
        <v>17.856104000000006</v>
      </c>
      <c r="G133" s="179">
        <f t="shared" si="37"/>
        <v>23.790697999999999</v>
      </c>
      <c r="H133" s="179">
        <f t="shared" si="37"/>
        <v>25.594733500229559</v>
      </c>
      <c r="I133" s="179">
        <f t="shared" si="37"/>
        <v>29.519778919074909</v>
      </c>
      <c r="J133" s="179">
        <f t="shared" si="37"/>
        <v>33.161150952826461</v>
      </c>
      <c r="K133" s="179">
        <f t="shared" si="37"/>
        <v>36.256864934705241</v>
      </c>
      <c r="L133" s="179">
        <f t="shared" si="37"/>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8">F74</f>
        <v>2.8058170000000002</v>
      </c>
      <c r="G135" s="177">
        <f t="shared" si="38"/>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8"/>
        <v>2.3839329999999999</v>
      </c>
      <c r="G136" s="177">
        <f t="shared" si="38"/>
        <v>2.7880379999999998</v>
      </c>
      <c r="H136" s="177">
        <f>H154*H147</f>
        <v>3.1966854452582232</v>
      </c>
      <c r="I136" s="177">
        <f t="shared" ref="I136:L136" si="39">I154*I147</f>
        <v>3.6869087782063024</v>
      </c>
      <c r="J136" s="177">
        <f t="shared" si="39"/>
        <v>4.1417023778724023</v>
      </c>
      <c r="K136" s="177">
        <f t="shared" si="39"/>
        <v>4.5283453498910609</v>
      </c>
      <c r="L136" s="177">
        <f t="shared" si="39"/>
        <v>4.8152324882940372</v>
      </c>
      <c r="M136" s="50"/>
    </row>
    <row r="137" spans="3:13" ht="13.5" customHeight="1" outlineLevel="1">
      <c r="C137" s="91" t="str">
        <f>C76</f>
        <v>Accrued Expenses &amp; Other</v>
      </c>
      <c r="D137" s="68"/>
      <c r="E137" s="68"/>
      <c r="F137" s="177">
        <f t="shared" si="38"/>
        <v>2.0579079999999998</v>
      </c>
      <c r="G137" s="177">
        <f t="shared" si="38"/>
        <v>3.2020309999999998</v>
      </c>
      <c r="H137" s="177">
        <f>H155*H147</f>
        <v>3.2317636858846019</v>
      </c>
      <c r="I137" s="177">
        <f t="shared" ref="I137:L137" si="40">I155*I147</f>
        <v>3.727366394541769</v>
      </c>
      <c r="J137" s="177">
        <f t="shared" si="40"/>
        <v>4.1871505882458564</v>
      </c>
      <c r="K137" s="177">
        <f t="shared" si="40"/>
        <v>4.5780363159066395</v>
      </c>
      <c r="L137" s="177">
        <f t="shared" si="40"/>
        <v>4.8680715576328382</v>
      </c>
      <c r="M137" s="50"/>
    </row>
    <row r="138" spans="3:13" ht="13.5" customHeight="1" outlineLevel="1">
      <c r="C138" s="65" t="s">
        <v>156</v>
      </c>
      <c r="D138" s="65"/>
      <c r="E138" s="65"/>
      <c r="F138" s="179">
        <f t="shared" ref="F138:L138" si="41">SUM(F135:F137)</f>
        <v>7.2476579999999995</v>
      </c>
      <c r="G138" s="179">
        <f t="shared" si="41"/>
        <v>8.3507789999999993</v>
      </c>
      <c r="H138" s="179">
        <f t="shared" si="41"/>
        <v>9.6659794002709365</v>
      </c>
      <c r="I138" s="179">
        <f t="shared" si="41"/>
        <v>11.148292477035213</v>
      </c>
      <c r="J138" s="179">
        <f t="shared" si="41"/>
        <v>12.523474878002563</v>
      </c>
      <c r="K138" s="179">
        <f t="shared" si="41"/>
        <v>13.692586780562621</v>
      </c>
      <c r="L138" s="179">
        <f t="shared" si="41"/>
        <v>14.560061925519163</v>
      </c>
    </row>
    <row r="139" spans="3:13" ht="13.5" customHeight="1" outlineLevel="1">
      <c r="C139" s="180" t="s">
        <v>157</v>
      </c>
      <c r="D139" s="180"/>
      <c r="E139" s="180"/>
      <c r="F139" s="181">
        <f t="shared" ref="F139:L139" si="42">F133-F138</f>
        <v>10.608446000000006</v>
      </c>
      <c r="G139" s="181">
        <f t="shared" si="42"/>
        <v>15.439919</v>
      </c>
      <c r="H139" s="181">
        <f t="shared" si="42"/>
        <v>15.928754099958622</v>
      </c>
      <c r="I139" s="181">
        <f t="shared" si="42"/>
        <v>18.371486442039696</v>
      </c>
      <c r="J139" s="181">
        <f t="shared" si="42"/>
        <v>20.637676074823897</v>
      </c>
      <c r="K139" s="181">
        <f t="shared" si="42"/>
        <v>22.56427815414262</v>
      </c>
      <c r="L139" s="181">
        <f t="shared" si="42"/>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3">G139-F139</f>
        <v>4.8314729999999937</v>
      </c>
      <c r="H141" s="182">
        <f t="shared" si="43"/>
        <v>0.48883509995862262</v>
      </c>
      <c r="I141" s="182">
        <f t="shared" si="43"/>
        <v>2.442732342081074</v>
      </c>
      <c r="J141" s="182">
        <f t="shared" si="43"/>
        <v>2.2661896327842008</v>
      </c>
      <c r="K141" s="182">
        <f t="shared" si="43"/>
        <v>1.9266020793187231</v>
      </c>
      <c r="L141" s="182">
        <f t="shared" si="43"/>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4">F13</f>
        <v>78.565675999999996</v>
      </c>
      <c r="G145" s="209">
        <f t="shared" si="44"/>
        <v>90.614007999999998</v>
      </c>
      <c r="H145" s="209">
        <f t="shared" si="44"/>
        <v>104.5099955077592</v>
      </c>
      <c r="I145" s="209">
        <f t="shared" si="44"/>
        <v>120.53698321160066</v>
      </c>
      <c r="J145" s="209">
        <f t="shared" si="44"/>
        <v>135.4056582414087</v>
      </c>
      <c r="K145" s="209">
        <f t="shared" si="44"/>
        <v>148.04626863637753</v>
      </c>
      <c r="L145" s="209">
        <f t="shared" si="44"/>
        <v>157.42553790111026</v>
      </c>
      <c r="M145" s="50"/>
    </row>
    <row r="146" spans="1:19" ht="13.5" customHeight="1" outlineLevel="1">
      <c r="C146" s="68" t="s">
        <v>66</v>
      </c>
      <c r="D146" s="68"/>
      <c r="E146" s="68"/>
      <c r="F146" s="177">
        <f t="shared" si="44"/>
        <v>51.562188999999996</v>
      </c>
      <c r="G146" s="177">
        <f t="shared" si="44"/>
        <v>61.618676000000001</v>
      </c>
      <c r="H146" s="177">
        <f t="shared" si="44"/>
        <v>69.828708282059708</v>
      </c>
      <c r="I146" s="177">
        <f t="shared" si="44"/>
        <v>80.537194523728473</v>
      </c>
      <c r="J146" s="177">
        <f t="shared" si="44"/>
        <v>90.471750220079329</v>
      </c>
      <c r="K146" s="177">
        <f t="shared" si="44"/>
        <v>98.917616966977391</v>
      </c>
      <c r="L146" s="177">
        <f t="shared" si="44"/>
        <v>105.18440756632523</v>
      </c>
      <c r="M146" s="50"/>
    </row>
    <row r="147" spans="1:19" ht="13.5" customHeight="1" outlineLevel="1">
      <c r="C147" s="68" t="s">
        <v>69</v>
      </c>
      <c r="D147" s="68"/>
      <c r="E147" s="68"/>
      <c r="F147" s="177">
        <f t="shared" ref="F147:L147" si="45">F17</f>
        <v>14.179914999999999</v>
      </c>
      <c r="G147" s="177">
        <f t="shared" si="45"/>
        <v>15.4366889395</v>
      </c>
      <c r="H147" s="177">
        <f t="shared" si="45"/>
        <v>18.333216581804578</v>
      </c>
      <c r="I147" s="177">
        <f t="shared" si="45"/>
        <v>21.144681985672378</v>
      </c>
      <c r="J147" s="177">
        <f t="shared" si="45"/>
        <v>23.752955369300096</v>
      </c>
      <c r="K147" s="177">
        <f t="shared" si="45"/>
        <v>25.970380094765407</v>
      </c>
      <c r="L147" s="177">
        <f t="shared" si="45"/>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6">I149</f>
        <v>83.863776892169696</v>
      </c>
      <c r="K149" s="211">
        <f t="shared" si="46"/>
        <v>83.863776892169696</v>
      </c>
      <c r="L149" s="211">
        <f t="shared" si="46"/>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7">I151</f>
        <v>2.0684944550576352E-2</v>
      </c>
      <c r="K151" s="139">
        <f t="shared" si="47"/>
        <v>2.0684944550576352E-2</v>
      </c>
      <c r="L151" s="139">
        <f t="shared" si="47"/>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8">H153</f>
        <v>16.922818383787302</v>
      </c>
      <c r="J153" s="211">
        <f t="shared" si="48"/>
        <v>16.922818383787302</v>
      </c>
      <c r="K153" s="211">
        <f t="shared" si="48"/>
        <v>16.922818383787302</v>
      </c>
      <c r="L153" s="211">
        <f t="shared" si="48"/>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8"/>
        <v>0.17436577105792128</v>
      </c>
      <c r="K154" s="139">
        <f t="shared" si="48"/>
        <v>0.17436577105792128</v>
      </c>
      <c r="L154" s="139">
        <f t="shared" si="48"/>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8"/>
        <v>0.1762791418223944</v>
      </c>
      <c r="K155" s="139">
        <f t="shared" si="48"/>
        <v>0.1762791418223944</v>
      </c>
      <c r="L155" s="139">
        <f t="shared" si="48"/>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5'!F13</f>
        <v>0</v>
      </c>
      <c r="G162" s="122">
        <f>'Financials from CIP'!E13/1000-'Step 5'!G13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5'!F15</f>
        <v>0</v>
      </c>
      <c r="G163" s="122">
        <f>'Financials from CIP'!E19/1000-'Step 5'!G15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5'!F18</f>
        <v>0</v>
      </c>
      <c r="G164" s="122">
        <f>'Financials from CIP'!E36/1000-'Step 5'!G18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5'!F33</f>
        <v>0</v>
      </c>
      <c r="G165" s="122">
        <f>'Financials from CIP'!E34/1000-'Step 5'!G33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5'!F60</f>
        <v>0</v>
      </c>
      <c r="G168" s="122">
        <f>'Financials from CIP'!E46/1000-'Step 5'!G60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5'!F64</f>
        <v>0</v>
      </c>
      <c r="G169" s="122">
        <f>'Financials from CIP'!E51/1000-'Step 5'!G64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5'!F70</f>
        <v>0</v>
      </c>
      <c r="G170" s="122">
        <f>'Financials from CIP'!E56/1000-'Step 5'!G70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5'!F77</f>
        <v>0</v>
      </c>
      <c r="G171" s="122">
        <f>'Financials from CIP'!E61/1000-'Step 5'!G77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5'!F84</f>
        <v>0</v>
      </c>
      <c r="G172" s="122">
        <f>'Financials from CIP'!E69/1000-'Step 5'!G84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5'!F85:F86)</f>
        <v>0</v>
      </c>
      <c r="G173" s="122">
        <f>'Financials from CIP'!E73/1000-SUM('Step 5'!G85:G86)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49">H$11</f>
        <v>46022</v>
      </c>
      <c r="I185" s="58">
        <f t="shared" si="49"/>
        <v>46387</v>
      </c>
      <c r="J185" s="58">
        <f t="shared" si="49"/>
        <v>46752</v>
      </c>
      <c r="K185" s="58">
        <f t="shared" si="49"/>
        <v>47118</v>
      </c>
      <c r="L185" s="58">
        <f t="shared" si="49"/>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0">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0"/>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0"/>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0"/>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0"/>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0"/>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1">-SUM(I187:I193)</f>
        <v>6.1302957891314076</v>
      </c>
      <c r="J194" s="156">
        <f t="shared" ca="1" si="51"/>
        <v>6.4683165246530567</v>
      </c>
      <c r="K194" s="156">
        <f t="shared" ca="1" si="51"/>
        <v>6.8378927245374452</v>
      </c>
      <c r="L194" s="156">
        <f t="shared" ca="1" si="51"/>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1AEF-5205-4DAD-91D6-3E198C97596D}">
  <sheetPr>
    <tabColor rgb="FF416D89"/>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f>G60+H119</f>
        <v>13.005932342237593</v>
      </c>
      <c r="I60" s="196">
        <f>H60+I119</f>
        <v>22.519730311941146</v>
      </c>
      <c r="J60" s="196">
        <f ca="1">I60+J119</f>
        <v>33.545552217020031</v>
      </c>
      <c r="K60" s="196">
        <f ca="1">J60+K119</f>
        <v>46.071928574382142</v>
      </c>
      <c r="L60" s="196">
        <f ca="1">K60+L119</f>
        <v>59.993804262544216</v>
      </c>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f>H33</f>
        <v>7.078372487829796</v>
      </c>
      <c r="I100" s="129">
        <f>I33</f>
        <v>8.5973148077077592</v>
      </c>
      <c r="J100" s="129">
        <f ca="1">J33</f>
        <v>9.965950368426526</v>
      </c>
      <c r="K100" s="129">
        <f ca="1">K33</f>
        <v>11.072895710987275</v>
      </c>
      <c r="L100" s="129">
        <f ca="1">L33</f>
        <v>11.812471765575342</v>
      </c>
      <c r="M100" s="50" t="s">
        <v>181</v>
      </c>
    </row>
    <row r="101" spans="1:13" ht="13.5" customHeight="1" outlineLevel="1">
      <c r="A101" s="125"/>
      <c r="C101" s="91" t="s">
        <v>15</v>
      </c>
      <c r="D101" s="68"/>
      <c r="E101" s="68"/>
      <c r="F101" s="68"/>
      <c r="G101" s="154"/>
      <c r="H101" s="129">
        <f>H20</f>
        <v>5.829392560625954</v>
      </c>
      <c r="I101" s="129">
        <f>I20</f>
        <v>6.1302957891314076</v>
      </c>
      <c r="J101" s="129">
        <f ca="1">J20</f>
        <v>6.4683165246530567</v>
      </c>
      <c r="K101" s="129">
        <f ca="1">K20</f>
        <v>6.8378927245374452</v>
      </c>
      <c r="L101" s="129">
        <f ca="1">L20</f>
        <v>7.2308829200900817</v>
      </c>
      <c r="M101" s="50" t="s">
        <v>182</v>
      </c>
    </row>
    <row r="102" spans="1:13" ht="13.5" customHeight="1" outlineLevel="1">
      <c r="A102" s="125"/>
      <c r="C102" s="91" t="s">
        <v>183</v>
      </c>
      <c r="D102" s="68"/>
      <c r="E102" s="68"/>
      <c r="F102" s="68"/>
      <c r="G102" s="154"/>
      <c r="H102" s="129">
        <f>H21</f>
        <v>0.237952</v>
      </c>
      <c r="I102" s="129">
        <f t="shared" ref="I102:L102" si="29">I21</f>
        <v>0.237952</v>
      </c>
      <c r="J102" s="129">
        <f t="shared" si="29"/>
        <v>0.237952</v>
      </c>
      <c r="K102" s="129">
        <f t="shared" si="29"/>
        <v>0.237952</v>
      </c>
      <c r="L102" s="129">
        <f t="shared" si="29"/>
        <v>0.237952</v>
      </c>
      <c r="M102" s="50" t="s">
        <v>184</v>
      </c>
    </row>
    <row r="103" spans="1:13" ht="13.5" customHeight="1" outlineLevel="1">
      <c r="A103" s="125"/>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t="s">
        <v>186</v>
      </c>
    </row>
    <row r="104" spans="1:13" ht="13.5" customHeight="1" outlineLevel="1">
      <c r="A104" s="125"/>
      <c r="C104" s="91" t="s">
        <v>187</v>
      </c>
      <c r="D104" s="68"/>
      <c r="E104" s="68"/>
      <c r="F104" s="68"/>
      <c r="G104" s="154"/>
      <c r="H104" s="129">
        <f>-(H141)</f>
        <v>-0.48883509995862262</v>
      </c>
      <c r="I104" s="129">
        <f>-(I141)</f>
        <v>-2.442732342081074</v>
      </c>
      <c r="J104" s="129">
        <f>-(J141)</f>
        <v>-2.2661896327842008</v>
      </c>
      <c r="K104" s="129">
        <f>-(K141)</f>
        <v>-1.9266020793187231</v>
      </c>
      <c r="L104" s="129">
        <f>-(L141)</f>
        <v>-1.4295290419769913</v>
      </c>
      <c r="M104" s="50" t="s">
        <v>188</v>
      </c>
    </row>
    <row r="105" spans="1:13" ht="13.5" customHeight="1" outlineLevel="1">
      <c r="A105" s="125"/>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f>-H36</f>
        <v>-2.6089416062595356</v>
      </c>
      <c r="I109" s="203">
        <f>-I36</f>
        <v>-3.0090322850545372</v>
      </c>
      <c r="J109" s="203">
        <f>-J36</f>
        <v>-3.3802073552164953</v>
      </c>
      <c r="K109" s="203">
        <f>-K36</f>
        <v>-3.6957619988438841</v>
      </c>
      <c r="L109" s="203">
        <f>-L36</f>
        <v>-3.9299019555263603</v>
      </c>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f>H117+H109+H105</f>
        <v>10.047940342237592</v>
      </c>
      <c r="I119" s="203">
        <f>I117+I109+I105</f>
        <v>9.5137979697035551</v>
      </c>
      <c r="J119" s="203">
        <f ca="1">J117+J109+J105</f>
        <v>11.025821905078885</v>
      </c>
      <c r="K119" s="203">
        <f ca="1">K117+K109+K105</f>
        <v>12.526376357362114</v>
      </c>
      <c r="L119" s="203">
        <f ca="1">L117+L109+L105</f>
        <v>13.921875688162071</v>
      </c>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 Answer Key'!F13</f>
        <v>0</v>
      </c>
      <c r="G162" s="122">
        <f>'Financials from CIP'!E13/1000-'Step 5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 Answer Key'!F15</f>
        <v>0</v>
      </c>
      <c r="G163" s="122">
        <f>'Financials from CIP'!E19/1000-'Step 5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 Answer Key'!F18</f>
        <v>0</v>
      </c>
      <c r="G164" s="122">
        <f>'Financials from CIP'!E36/1000-'Step 5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 Answer Key'!F33</f>
        <v>0</v>
      </c>
      <c r="G165" s="122">
        <f>'Financials from CIP'!E34/1000-'Step 5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 Answer Key'!F60</f>
        <v>0</v>
      </c>
      <c r="G168" s="122">
        <f>'Financials from CIP'!E46/1000-'Step 5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 Answer Key'!F64</f>
        <v>0</v>
      </c>
      <c r="G169" s="122">
        <f>'Financials from CIP'!E51/1000-'Step 5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 Answer Key'!F70</f>
        <v>0</v>
      </c>
      <c r="G170" s="122">
        <f>'Financials from CIP'!E56/1000-'Step 5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 Answer Key'!F77</f>
        <v>0</v>
      </c>
      <c r="G171" s="122">
        <f>'Financials from CIP'!E61/1000-'Step 5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 Answer Key'!F84</f>
        <v>0</v>
      </c>
      <c r="G172" s="122">
        <f>'Financials from CIP'!E69/1000-'Step 5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 Answer Key'!F85:F86)</f>
        <v>0</v>
      </c>
      <c r="G173" s="122">
        <f>'Financials from CIP'!E73/1000-SUM('Step 5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2B85-A214-433B-B67D-ABA809984306}">
  <sheetPr>
    <outlinePr summaryBelow="0"/>
    <pageSetUpPr fitToPage="1"/>
  </sheetPr>
  <dimension ref="A1:S267"/>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c r="I78" s="129"/>
      <c r="J78" s="129"/>
      <c r="K78" s="129"/>
      <c r="L78" s="129"/>
      <c r="M78" s="50" t="s">
        <v>198</v>
      </c>
    </row>
    <row r="79" spans="1:13" ht="13.5" customHeight="1" outlineLevel="1">
      <c r="A79" s="125"/>
      <c r="C79" s="91" t="s">
        <v>42</v>
      </c>
      <c r="D79" s="95"/>
      <c r="E79" s="95"/>
      <c r="F79" s="96">
        <f>'Financials from CIP'!D64/1000</f>
        <v>18.943222000000002</v>
      </c>
      <c r="G79" s="96">
        <f>'Financials from CIP'!E64/1000</f>
        <v>12.001450999999999</v>
      </c>
      <c r="H79" s="129"/>
      <c r="I79" s="129"/>
      <c r="J79" s="129"/>
      <c r="K79" s="129"/>
      <c r="L79" s="129"/>
      <c r="M79" s="50" t="s">
        <v>198</v>
      </c>
    </row>
    <row r="80" spans="1:13" ht="13.5" customHeight="1" outlineLevel="1">
      <c r="A80" s="125"/>
      <c r="C80" s="91" t="s">
        <v>90</v>
      </c>
      <c r="D80" s="95"/>
      <c r="E80" s="95"/>
      <c r="F80" s="96">
        <f>'Financials from CIP'!D65/1000</f>
        <v>0.54533299999999996</v>
      </c>
      <c r="G80" s="96">
        <f>'Financials from CIP'!E65/1000</f>
        <v>8.5337999999999997E-2</v>
      </c>
      <c r="H80" s="129"/>
      <c r="I80" s="129"/>
      <c r="J80" s="129"/>
      <c r="K80" s="129"/>
      <c r="L80" s="129"/>
      <c r="M80" s="50" t="s">
        <v>198</v>
      </c>
    </row>
    <row r="81" spans="1:13" ht="13.5" customHeight="1" outlineLevel="1">
      <c r="A81" s="125"/>
      <c r="C81" s="91" t="s">
        <v>91</v>
      </c>
      <c r="D81" s="95"/>
      <c r="E81" s="95"/>
      <c r="F81" s="96">
        <f>'Financials from CIP'!D66/1000</f>
        <v>9.2447999999999989E-2</v>
      </c>
      <c r="G81" s="96">
        <f>'Financials from CIP'!E66/1000</f>
        <v>1.2666999999999999E-2</v>
      </c>
      <c r="H81" s="129"/>
      <c r="I81" s="129"/>
      <c r="J81" s="129"/>
      <c r="K81" s="129"/>
      <c r="L81" s="129"/>
      <c r="M81" s="50" t="s">
        <v>198</v>
      </c>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6'!F13</f>
        <v>0</v>
      </c>
      <c r="G162" s="122">
        <f>'Financials from CIP'!E13/1000-'Step 6'!G13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6'!F15</f>
        <v>0</v>
      </c>
      <c r="G163" s="122">
        <f>'Financials from CIP'!E19/1000-'Step 6'!G15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6'!F18</f>
        <v>0</v>
      </c>
      <c r="G164" s="122">
        <f>'Financials from CIP'!E36/1000-'Step 6'!G18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6'!F33</f>
        <v>0</v>
      </c>
      <c r="G165" s="122">
        <f>'Financials from CIP'!E34/1000-'Step 6'!G33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6'!F60</f>
        <v>0</v>
      </c>
      <c r="G168" s="122">
        <f>'Financials from CIP'!E46/1000-'Step 6'!G60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6'!F64</f>
        <v>0</v>
      </c>
      <c r="G169" s="122">
        <f>'Financials from CIP'!E51/1000-'Step 6'!G64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6'!F70</f>
        <v>0</v>
      </c>
      <c r="G170" s="122">
        <f>'Financials from CIP'!E56/1000-'Step 6'!G70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6'!F77</f>
        <v>0</v>
      </c>
      <c r="G171" s="122">
        <f>'Financials from CIP'!E61/1000-'Step 6'!G77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6'!F84</f>
        <v>0</v>
      </c>
      <c r="G172" s="122">
        <f>'Financials from CIP'!E69/1000-'Step 6'!G84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6'!F85:F86)</f>
        <v>0</v>
      </c>
      <c r="G173" s="122">
        <f>'Financials from CIP'!E73/1000-SUM('Step 6'!G85:G86)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c r="I206" s="221"/>
      <c r="J206" s="221"/>
      <c r="K206" s="221"/>
      <c r="L206" s="221"/>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c r="H209" s="222"/>
      <c r="I209" s="222"/>
      <c r="J209" s="222"/>
      <c r="K209" s="222"/>
      <c r="L209" s="222"/>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c r="H211" s="130"/>
      <c r="I211" s="130"/>
      <c r="J211" s="130"/>
      <c r="K211" s="130"/>
      <c r="L211" s="130"/>
      <c r="M211" s="50" t="s">
        <v>210</v>
      </c>
    </row>
    <row r="212" spans="1:13" ht="13.5" customHeight="1" outlineLevel="1">
      <c r="A212" s="125"/>
      <c r="C212" s="98" t="s">
        <v>211</v>
      </c>
      <c r="D212" s="223"/>
      <c r="E212" s="223"/>
      <c r="F212" s="223"/>
      <c r="G212" s="165"/>
      <c r="H212" s="165"/>
      <c r="I212" s="165"/>
      <c r="J212" s="165"/>
      <c r="K212" s="165"/>
      <c r="L212" s="165"/>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c r="I215" s="221"/>
      <c r="J215" s="221"/>
      <c r="K215" s="221"/>
      <c r="L215" s="221"/>
      <c r="M215" s="50" t="s">
        <v>213</v>
      </c>
    </row>
    <row r="216" spans="1:13" ht="13.5" customHeight="1" outlineLevel="1">
      <c r="A216" s="125"/>
      <c r="C216" s="91" t="s">
        <v>214</v>
      </c>
      <c r="D216" s="118"/>
      <c r="E216" s="118"/>
      <c r="G216" s="149"/>
      <c r="H216" s="165"/>
      <c r="I216" s="165"/>
      <c r="J216" s="165"/>
      <c r="K216" s="165"/>
      <c r="L216" s="165"/>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c r="H218" s="227"/>
      <c r="I218" s="227"/>
      <c r="J218" s="227"/>
      <c r="K218" s="227"/>
      <c r="L218" s="227"/>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c r="I221" s="229"/>
      <c r="J221" s="229"/>
      <c r="K221" s="229"/>
      <c r="L221" s="229"/>
      <c r="M221" s="50" t="s">
        <v>213</v>
      </c>
    </row>
    <row r="222" spans="1:13" ht="13.5" customHeight="1" outlineLevel="1">
      <c r="A222" s="125"/>
      <c r="C222" s="91" t="s">
        <v>214</v>
      </c>
      <c r="D222" s="118"/>
      <c r="E222" s="118"/>
      <c r="G222" s="154"/>
      <c r="H222" s="230"/>
      <c r="I222" s="230"/>
      <c r="J222" s="230"/>
      <c r="K222" s="230"/>
      <c r="L222" s="230"/>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c r="H224" s="233"/>
      <c r="I224" s="233"/>
      <c r="J224" s="233"/>
      <c r="K224" s="233"/>
      <c r="L224" s="233"/>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c r="I227" s="229"/>
      <c r="J227" s="229"/>
      <c r="K227" s="229"/>
      <c r="L227" s="229"/>
      <c r="M227" s="50" t="s">
        <v>213</v>
      </c>
    </row>
    <row r="228" spans="1:13" ht="13.5" customHeight="1" outlineLevel="1">
      <c r="A228" s="125"/>
      <c r="C228" s="91" t="s">
        <v>214</v>
      </c>
      <c r="D228" s="118"/>
      <c r="E228" s="118"/>
      <c r="G228" s="154"/>
      <c r="H228" s="230"/>
      <c r="I228" s="230"/>
      <c r="J228" s="230"/>
      <c r="K228" s="230"/>
      <c r="L228" s="230"/>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c r="H230" s="233"/>
      <c r="I230" s="233"/>
      <c r="J230" s="233"/>
      <c r="K230" s="233"/>
      <c r="L230" s="233"/>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0</v>
      </c>
      <c r="H235" s="238"/>
      <c r="I235" s="238"/>
      <c r="J235" s="238"/>
      <c r="K235" s="238"/>
      <c r="L235" s="238"/>
      <c r="M235" s="50" t="s">
        <v>224</v>
      </c>
    </row>
    <row r="236" spans="1:13" ht="13.5" customHeight="1" outlineLevel="1">
      <c r="A236" s="125"/>
      <c r="C236" s="68" t="str">
        <f>+C220</f>
        <v>Subordinated - Note 1</v>
      </c>
      <c r="G236" s="152">
        <f>G224</f>
        <v>0</v>
      </c>
      <c r="H236" s="238"/>
      <c r="I236" s="238"/>
      <c r="J236" s="238"/>
      <c r="K236" s="238"/>
      <c r="L236" s="238"/>
      <c r="M236" s="50" t="s">
        <v>225</v>
      </c>
    </row>
    <row r="237" spans="1:13" ht="13.5" customHeight="1" outlineLevel="1">
      <c r="A237" s="125"/>
      <c r="C237" s="68" t="str">
        <f>+C226</f>
        <v>Subordinated - Note 2</v>
      </c>
      <c r="G237" s="152">
        <f>G230</f>
        <v>0</v>
      </c>
      <c r="H237" s="238"/>
      <c r="I237" s="238"/>
      <c r="J237" s="238"/>
      <c r="K237" s="238"/>
      <c r="L237" s="238"/>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c r="H244" s="247"/>
      <c r="I244" s="247"/>
      <c r="J244" s="248"/>
      <c r="K244" s="247"/>
      <c r="L244" s="249"/>
      <c r="M244" s="50" t="s">
        <v>236</v>
      </c>
    </row>
    <row r="245" spans="1:19" ht="13.5" customHeight="1" outlineLevel="1">
      <c r="A245" s="125"/>
      <c r="C245" s="98" t="str">
        <f>+C214</f>
        <v>Term Loan A</v>
      </c>
      <c r="D245" s="118"/>
      <c r="E245" s="118"/>
      <c r="F245" s="246"/>
      <c r="G245" s="247"/>
      <c r="H245" s="247"/>
      <c r="I245" s="247"/>
      <c r="J245" s="248"/>
      <c r="K245" s="247"/>
      <c r="L245" s="249"/>
      <c r="M245" s="50" t="s">
        <v>237</v>
      </c>
    </row>
    <row r="246" spans="1:19" ht="13.5" customHeight="1" outlineLevel="1">
      <c r="A246" s="125"/>
      <c r="C246" s="98" t="str">
        <f>+C220</f>
        <v>Subordinated - Note 1</v>
      </c>
      <c r="D246" s="118"/>
      <c r="E246" s="118"/>
      <c r="F246" s="246"/>
      <c r="G246" s="247"/>
      <c r="H246" s="247"/>
      <c r="I246" s="247"/>
      <c r="J246" s="247"/>
      <c r="K246" s="247"/>
      <c r="L246" s="249"/>
      <c r="M246" s="50" t="s">
        <v>238</v>
      </c>
    </row>
    <row r="247" spans="1:19" ht="13.5" customHeight="1" outlineLevel="1">
      <c r="A247" s="125"/>
      <c r="C247" s="98" t="str">
        <f>+C226</f>
        <v>Subordinated - Note 2</v>
      </c>
      <c r="D247" s="118"/>
      <c r="E247" s="118"/>
      <c r="F247" s="246"/>
      <c r="G247" s="247"/>
      <c r="H247" s="247"/>
      <c r="I247" s="247"/>
      <c r="J247" s="247"/>
      <c r="K247" s="247"/>
      <c r="L247" s="249"/>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5142FBE0-F844-4DC2-A58F-C73873156A4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421AD094-3AFC-4BC4-82E5-02591D11BE86}"/>
</file>

<file path=customXml/itemProps2.xml><?xml version="1.0" encoding="utf-8"?>
<ds:datastoreItem xmlns:ds="http://schemas.openxmlformats.org/officeDocument/2006/customXml" ds:itemID="{9B17658E-86D1-476E-A399-55567FF35456}"/>
</file>

<file path=customXml/itemProps3.xml><?xml version="1.0" encoding="utf-8"?>
<ds:datastoreItem xmlns:ds="http://schemas.openxmlformats.org/officeDocument/2006/customXml" ds:itemID="{3203B076-735A-437B-8B01-538E1F2D27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PART I - MODEL BUILD &gt;&gt;&gt;</vt:lpstr>
      <vt:lpstr>Financials from CIP</vt:lpstr>
      <vt:lpstr>Step 1</vt:lpstr>
      <vt:lpstr>Step 1 Answer Key</vt:lpstr>
      <vt:lpstr>Step 2</vt:lpstr>
      <vt:lpstr>Step 2 Answer Key</vt:lpstr>
      <vt:lpstr>Step 3</vt:lpstr>
      <vt:lpstr>Step 3 Answer Key</vt:lpstr>
      <vt:lpstr>Step 4</vt:lpstr>
      <vt:lpstr>Step 4 Answer Key</vt:lpstr>
      <vt:lpstr>Step 5</vt:lpstr>
      <vt:lpstr>Step 5 Answer Key</vt:lpstr>
      <vt:lpstr>Step 6</vt:lpstr>
      <vt:lpstr>'Financials from CIP'!Print_Area</vt:lpstr>
      <vt:lpstr>'Step 1'!Print_Area</vt:lpstr>
      <vt:lpstr>'Step 1 Answer Key'!Print_Area</vt:lpstr>
      <vt:lpstr>'Step 2'!Print_Area</vt:lpstr>
      <vt:lpstr>'Step 2 Answer Key'!Print_Area</vt:lpstr>
      <vt:lpstr>'Step 3'!Print_Area</vt:lpstr>
      <vt:lpstr>'Step 3 Answer Key'!Print_Area</vt:lpstr>
      <vt:lpstr>'Step 4'!Print_Area</vt:lpstr>
      <vt:lpstr>'Step 4 Answer Key'!Print_Area</vt:lpstr>
      <vt:lpstr>'Step 5'!Print_Area</vt:lpstr>
      <vt:lpstr>'Step 5 Answer Key'!Print_Area</vt:lpstr>
      <vt:lpstr>'Step 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0x010100FFC4E61526377E47AF828979A7A771F0</vt:lpwstr>
  </property>
</Properties>
</file>