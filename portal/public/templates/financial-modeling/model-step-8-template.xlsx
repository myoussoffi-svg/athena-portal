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https://athenape.sharepoint.com/sites/AthenaDocuments/Shared Documents/_DOCS/_Teaching Content/_WIP/Module 4 - Model Building Steps/"/>
    </mc:Choice>
  </mc:AlternateContent>
  <xr:revisionPtr revIDLastSave="0" documentId="8_{EDAEE382-0702-4DD1-90E2-8A2AD839927B}" xr6:coauthVersionLast="47" xr6:coauthVersionMax="47" xr10:uidLastSave="{00000000-0000-0000-0000-000000000000}"/>
  <bookViews>
    <workbookView xWindow="-120" yWindow="-120" windowWidth="29040" windowHeight="17520" firstSheet="10" activeTab="16" xr2:uid="{A1503B94-E01D-4922-9F16-563AB0DE8626}"/>
  </bookViews>
  <sheets>
    <sheet name="PART I - MODEL BUILD &gt;&gt;&gt;" sheetId="1" r:id="rId1"/>
    <sheet name="Financials from CIP" sheetId="2" r:id="rId2"/>
    <sheet name="Step 1" sheetId="3" r:id="rId3"/>
    <sheet name="Step 1 Answer Key" sheetId="4" r:id="rId4"/>
    <sheet name="Step 2" sheetId="5" r:id="rId5"/>
    <sheet name="Step 2 Answer Key" sheetId="6" r:id="rId6"/>
    <sheet name="Step 3" sheetId="7" r:id="rId7"/>
    <sheet name="Step 3 Answer Key" sheetId="8" r:id="rId8"/>
    <sheet name="Step 4" sheetId="9" r:id="rId9"/>
    <sheet name="Step 4 Answer Key" sheetId="10" r:id="rId10"/>
    <sheet name="Step 5" sheetId="11" r:id="rId11"/>
    <sheet name="Step 5 Answer Key" sheetId="12" r:id="rId12"/>
    <sheet name="Step 6" sheetId="13" r:id="rId13"/>
    <sheet name="Step 6 Answer Key" sheetId="14" r:id="rId14"/>
    <sheet name="Step 7" sheetId="15" r:id="rId15"/>
    <sheet name="Step 7 Answer Key" sheetId="16" r:id="rId16"/>
    <sheet name="Step 8" sheetId="17" r:id="rId17"/>
  </sheets>
  <externalReferences>
    <externalReference r:id="rId18"/>
  </externalReferences>
  <definedNames>
    <definedName name="__123Graph_A" hidden="1">#REF!</definedName>
    <definedName name="__123Graph_AChart1" hidden="1">#REF!</definedName>
    <definedName name="__123Graph_ACurrent" hidden="1">#REF!</definedName>
    <definedName name="__123Graph_B" hidden="1">#REF!</definedName>
    <definedName name="__123Graph_X" hidden="1">#REF!</definedName>
    <definedName name="__Actual_Total_208_209_210_Act_v_Budget_01" hidden="1">#REF!</definedName>
    <definedName name="__FDS_HYPERLINK_TOGGLE_STATE__" hidden="1">"ON"</definedName>
    <definedName name="__Total_208_209_210_Level6member_Name_by_Fiscal_00_00" hidden="1">#REF!</definedName>
    <definedName name="__Total_208_209_210_Level6member_Name_by_Fiscal_00_01" hidden="1">#REF!</definedName>
    <definedName name="__Total_208_209_210_Level6member_Name_by_Fiscal_01" hidden="1">#REF!</definedName>
    <definedName name="_1__FDSAUDITLINK__" localSheetId="1" hidden="1">{"fdsup://IBCentral/FAT Viewer?action=UPDATE&amp;creator=factset&amp;DOC_NAME=fat:reuters_qtrly_source_window.fat&amp;display_string=Audit&amp;DYN_ARGS=TRUE&amp;VAR:ID1=95082P10&amp;VAR:RCODE=STLD&amp;VAR:SDATE=20080999&amp;VAR:FREQ=Quarterly&amp;VAR:RELITEM=&amp;VAR:CURRENCY=&amp;VAR:CURRSOURCE=EXSH","ARE&amp;VAR:NATFREQ=QUARTERLY&amp;VAR:RFIELD=FINALIZED&amp;VAR:DB_TYPE=&amp;VAR:UNITS=M&amp;window=popup&amp;width=450&amp;height=300&amp;START_MAXIMIZED=FALSE"}</definedName>
    <definedName name="_1__FDSAUDITLINK__" hidden="1">{"fdsup://IBCentral/FAT Viewer?action=UPDATE&amp;creator=factset&amp;DOC_NAME=fat:reuters_qtrly_source_window.fat&amp;display_string=Audit&amp;DYN_ARGS=TRUE&amp;VAR:ID1=95082P10&amp;VAR:RCODE=STLD&amp;VAR:SDATE=20080999&amp;VAR:FREQ=Quarterly&amp;VAR:RELITEM=&amp;VAR:CURRENCY=&amp;VAR:CURRSOURCE=EXSH","ARE&amp;VAR:NATFREQ=QUARTERLY&amp;VAR:RFIELD=FINALIZED&amp;VAR:DB_TYPE=&amp;VAR:UNITS=M&amp;window=popup&amp;width=450&amp;height=300&amp;START_MAXIMIZED=FALSE"}</definedName>
    <definedName name="_10__FDSAUDITLINK__" localSheetId="1" hidden="1">{"fdsup://IBCentral/FAT Viewer?action=UPDATE&amp;creator=factset&amp;DOC_NAME=fat:reuters_qtrly_source_window.fat&amp;display_string=Audit&amp;DYN_ARGS=TRUE&amp;VAR:ID1=00936310&amp;VAR:RCODE=STLD&amp;VAR:SDATE=20080999&amp;VAR:FREQ=Quarterly&amp;VAR:RELITEM=&amp;VAR:CURRENCY=&amp;VAR:CURRSOURCE=EXSH","ARE&amp;VAR:NATFREQ=QUARTERLY&amp;VAR:RFIELD=FINALIZED&amp;VAR:DB_TYPE=&amp;VAR:UNITS=M&amp;window=popup&amp;width=450&amp;height=300&amp;START_MAXIMIZED=FALSE"}</definedName>
    <definedName name="_10__FDSAUDITLINK__" hidden="1">{"fdsup://IBCentral/FAT Viewer?action=UPDATE&amp;creator=factset&amp;DOC_NAME=fat:reuters_qtrly_source_window.fat&amp;display_string=Audit&amp;DYN_ARGS=TRUE&amp;VAR:ID1=00936310&amp;VAR:RCODE=STLD&amp;VAR:SDATE=20080999&amp;VAR:FREQ=Quarterly&amp;VAR:RELITEM=&amp;VAR:CURRENCY=&amp;VAR:CURRSOURCE=EXSH","ARE&amp;VAR:NATFREQ=QUARTERLY&amp;VAR:RFIELD=FINALIZED&amp;VAR:DB_TYPE=&amp;VAR:UNITS=M&amp;window=popup&amp;width=450&amp;height=300&amp;START_MAXIMIZED=FALSE"}</definedName>
    <definedName name="_11__FDSAUDITLINK__" localSheetId="1" hidden="1">{"fdsup://IBCentral/FAT Viewer?action=UPDATE&amp;creator=factset&amp;DOC_NAME=fat:reuters_qtrly_source_window.fat&amp;display_string=Audit&amp;DYN_ARGS=TRUE&amp;VAR:ID1=30213010&amp;VAR:RCODE=STLD&amp;VAR:SDATE=20071299&amp;VAR:FREQ=Quarterly&amp;VAR:RELITEM=&amp;VAR:CURRENCY=&amp;VAR:CURRSOURCE=EXSH","ARE&amp;VAR:NATFREQ=QUARTERLY&amp;VAR:RFIELD=FINALIZED&amp;VAR:DB_TYPE=&amp;VAR:UNITS=M&amp;window=popup&amp;width=450&amp;height=300&amp;START_MAXIMIZED=FALSE"}</definedName>
    <definedName name="_11__FDSAUDITLINK__" hidden="1">{"fdsup://IBCentral/FAT Viewer?action=UPDATE&amp;creator=factset&amp;DOC_NAME=fat:reuters_qtrly_source_window.fat&amp;display_string=Audit&amp;DYN_ARGS=TRUE&amp;VAR:ID1=30213010&amp;VAR:RCODE=STLD&amp;VAR:SDATE=20071299&amp;VAR:FREQ=Quarterly&amp;VAR:RELITEM=&amp;VAR:CURRENCY=&amp;VAR:CURRSOURCE=EXSH","ARE&amp;VAR:NATFREQ=QUARTERLY&amp;VAR:RFIELD=FINALIZED&amp;VAR:DB_TYPE=&amp;VAR:UNITS=M&amp;window=popup&amp;width=450&amp;height=300&amp;START_MAXIMIZED=FALSE"}</definedName>
    <definedName name="_12__FDSAUDITLINK__" localSheetId="1" hidden="1">{"fdsup://IBCentral/FAT Viewer?action=UPDATE&amp;creator=factset&amp;DOC_NAME=fat:reuters_qtrly_source_window.fat&amp;display_string=Audit&amp;DYN_ARGS=TRUE&amp;VAR:ID1=26784F10&amp;VAR:RCODE=STLD&amp;VAR:SDATE=20080199&amp;VAR:FREQ=Quarterly&amp;VAR:RELITEM=&amp;VAR:CURRENCY=&amp;VAR:CURRSOURCE=EXSH","ARE&amp;VAR:NATFREQ=QUARTERLY&amp;VAR:RFIELD=FINALIZED&amp;VAR:DB_TYPE=&amp;VAR:UNITS=M&amp;window=popup&amp;width=450&amp;height=300&amp;START_MAXIMIZED=FALSE"}</definedName>
    <definedName name="_12__FDSAUDITLINK__" hidden="1">{"fdsup://IBCentral/FAT Viewer?action=UPDATE&amp;creator=factset&amp;DOC_NAME=fat:reuters_qtrly_source_window.fat&amp;display_string=Audit&amp;DYN_ARGS=TRUE&amp;VAR:ID1=26784F10&amp;VAR:RCODE=STLD&amp;VAR:SDATE=20080199&amp;VAR:FREQ=Quarterly&amp;VAR:RELITEM=&amp;VAR:CURRENCY=&amp;VAR:CURRSOURCE=EXSH","ARE&amp;VAR:NATFREQ=QUARTERLY&amp;VAR:RFIELD=FINALIZED&amp;VAR:DB_TYPE=&amp;VAR:UNITS=M&amp;window=popup&amp;width=450&amp;height=300&amp;START_MAXIMIZED=FALSE"}</definedName>
    <definedName name="_13__FDSAUDITLINK__" localSheetId="1" hidden="1">{"fdsup://IBCentral/FAT Viewer?action=UPDATE&amp;creator=factset&amp;DOC_NAME=fat:reuters_qtrly_source_window.fat&amp;display_string=Audit&amp;DYN_ARGS=TRUE&amp;VAR:ID1=12541W20&amp;VAR:RCODE=STLD&amp;VAR:SDATE=20080399&amp;VAR:FREQ=Quarterly&amp;VAR:RELITEM=&amp;VAR:CURRENCY=&amp;VAR:CURRSOURCE=EXSH","ARE&amp;VAR:NATFREQ=QUARTERLY&amp;VAR:RFIELD=FINALIZED&amp;VAR:DB_TYPE=&amp;VAR:UNITS=M&amp;window=popup&amp;width=450&amp;height=300&amp;START_MAXIMIZED=FALSE"}</definedName>
    <definedName name="_13__FDSAUDITLINK__" hidden="1">{"fdsup://IBCentral/FAT Viewer?action=UPDATE&amp;creator=factset&amp;DOC_NAME=fat:reuters_qtrly_source_window.fat&amp;display_string=Audit&amp;DYN_ARGS=TRUE&amp;VAR:ID1=12541W20&amp;VAR:RCODE=STLD&amp;VAR:SDATE=20080399&amp;VAR:FREQ=Quarterly&amp;VAR:RELITEM=&amp;VAR:CURRENCY=&amp;VAR:CURRSOURCE=EXSH","ARE&amp;VAR:NATFREQ=QUARTERLY&amp;VAR:RFIELD=FINALIZED&amp;VAR:DB_TYPE=&amp;VAR:UNITS=M&amp;window=popup&amp;width=450&amp;height=300&amp;START_MAXIMIZED=FALSE"}</definedName>
    <definedName name="_14__FDSAUDITLINK__" localSheetId="1"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14__FDSAUDITLINK__"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15__FDSAUDITLINK__" localSheetId="1"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15__FDSAUDITLINK__"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16__FDSAUDITLINK__" localSheetId="1" hidden="1">{"fdsup://IBCentral/FAT Viewer?action=UPDATE&amp;creator=factset&amp;DOC_NAME=fat:reuters_qtrly_source_window.fat&amp;display_string=Audit&amp;DYN_ARGS=TRUE&amp;VAR:ID1=52077610&amp;VAR:RCODE=STLD&amp;VAR:SDATE=20080399&amp;VAR:FREQ=Quarterly&amp;VAR:RELITEM=&amp;VAR:CURRENCY=&amp;VAR:CURRSOURCE=EXSH","ARE&amp;VAR:NATFREQ=QUARTERLY&amp;VAR:RFIELD=FINALIZED&amp;VAR:DB_TYPE=&amp;VAR:UNITS=M&amp;window=popup&amp;width=450&amp;height=300&amp;START_MAXIMIZED=FALSE"}</definedName>
    <definedName name="_16__FDSAUDITLINK__" hidden="1">{"fdsup://IBCentral/FAT Viewer?action=UPDATE&amp;creator=factset&amp;DOC_NAME=fat:reuters_qtrly_source_window.fat&amp;display_string=Audit&amp;DYN_ARGS=TRUE&amp;VAR:ID1=52077610&amp;VAR:RCODE=STLD&amp;VAR:SDATE=20080399&amp;VAR:FREQ=Quarterly&amp;VAR:RELITEM=&amp;VAR:CURRENCY=&amp;VAR:CURRSOURCE=EXSH","ARE&amp;VAR:NATFREQ=QUARTERLY&amp;VAR:RFIELD=FINALIZED&amp;VAR:DB_TYPE=&amp;VAR:UNITS=M&amp;window=popup&amp;width=450&amp;height=300&amp;START_MAXIMIZED=FALSE"}</definedName>
    <definedName name="_17__FDSAUDITLINK__" localSheetId="1" hidden="1">{"fdsup://IBCentral/FAT Viewer?action=UPDATE&amp;creator=factset&amp;DOC_NAME=fat:reuters_qtrly_source_window.fat&amp;display_string=Audit&amp;DYN_ARGS=TRUE&amp;VAR:ID1=48354810&amp;VAR:RCODE=STLD&amp;VAR:SDATE=20080399&amp;VAR:FREQ=Quarterly&amp;VAR:RELITEM=&amp;VAR:CURRENCY=&amp;VAR:CURRSOURCE=EXSH","ARE&amp;VAR:NATFREQ=QUARTERLY&amp;VAR:RFIELD=FINALIZED&amp;VAR:DB_TYPE=&amp;VAR:UNITS=M&amp;window=popup&amp;width=450&amp;height=300&amp;START_MAXIMIZED=FALSE"}</definedName>
    <definedName name="_17__FDSAUDITLINK__" hidden="1">{"fdsup://IBCentral/FAT Viewer?action=UPDATE&amp;creator=factset&amp;DOC_NAME=fat:reuters_qtrly_source_window.fat&amp;display_string=Audit&amp;DYN_ARGS=TRUE&amp;VAR:ID1=48354810&amp;VAR:RCODE=STLD&amp;VAR:SDATE=20080399&amp;VAR:FREQ=Quarterly&amp;VAR:RELITEM=&amp;VAR:CURRENCY=&amp;VAR:CURRSOURCE=EXSH","ARE&amp;VAR:NATFREQ=QUARTERLY&amp;VAR:RFIELD=FINALIZED&amp;VAR:DB_TYPE=&amp;VAR:UNITS=M&amp;window=popup&amp;width=450&amp;height=300&amp;START_MAXIMIZED=FALSE"}</definedName>
    <definedName name="_18__FDSAUDITLINK__" localSheetId="1"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18__FDSAUDITLINK__"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19__123Graph_ACHART_1" hidden="1">#REF!</definedName>
    <definedName name="_19__FDSAUDITLINK__" localSheetId="1"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19__FDSAUDITLINK__"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2__123Graph_AChart_1A" hidden="1">#REF!</definedName>
    <definedName name="_2__123Graph_AChart_1A_" hidden="1">#REF!</definedName>
    <definedName name="_2__FDSAUDITLINK__" localSheetId="1" hidden="1">{"fdsup://IBCentral/FAT Viewer?action=UPDATE&amp;creator=factset&amp;DOC_NAME=fat:reuters_qtrly_source_window.fat&amp;display_string=Audit&amp;DYN_ARGS=TRUE&amp;VAR:ID1=66990810&amp;VAR:RCODE=STLD&amp;VAR:SDATE=20080899&amp;VAR:FREQ=Quarterly&amp;VAR:RELITEM=&amp;VAR:CURRENCY=&amp;VAR:CURRSOURCE=EXSH","ARE&amp;VAR:NATFREQ=QUARTERLY&amp;VAR:RFIELD=FINALIZED&amp;VAR:DB_TYPE=&amp;VAR:UNITS=M&amp;window=popup&amp;width=450&amp;height=300&amp;START_MAXIMIZED=FALSE"}</definedName>
    <definedName name="_2__FDSAUDITLINK__" hidden="1">{"fdsup://IBCentral/FAT Viewer?action=UPDATE&amp;creator=factset&amp;DOC_NAME=fat:reuters_qtrly_source_window.fat&amp;display_string=Audit&amp;DYN_ARGS=TRUE&amp;VAR:ID1=66990810&amp;VAR:RCODE=STLD&amp;VAR:SDATE=20080899&amp;VAR:FREQ=Quarterly&amp;VAR:RELITEM=&amp;VAR:CURRENCY=&amp;VAR:CURRSOURCE=EXSH","ARE&amp;VAR:NATFREQ=QUARTERLY&amp;VAR:RFIELD=FINALIZED&amp;VAR:DB_TYPE=&amp;VAR:UNITS=M&amp;window=popup&amp;width=450&amp;height=300&amp;START_MAXIMIZED=FALSE"}</definedName>
    <definedName name="_20__FDSAUDITLINK__" localSheetId="1"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0__FDSAUDITLINK__"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1__FDSAUDITLINK__" localSheetId="1" hidden="1">{"fdsup://IBCentral/FAT Viewer?action=UPDATE&amp;creator=factset&amp;DOC_NAME=fat:reuters_qtrly_source_window.fat&amp;display_string=Audit&amp;DYN_ARGS=TRUE&amp;VAR:ID1=23337740&amp;VAR:RCODE=STLD&amp;VAR:SDATE=20071299&amp;VAR:FREQ=Quarterly&amp;VAR:RELITEM=&amp;VAR:CURRENCY=&amp;VAR:CURRSOURCE=EXSH","ARE&amp;VAR:NATFREQ=QUARTERLY&amp;VAR:RFIELD=FINALIZED&amp;VAR:DB_TYPE=&amp;VAR:UNITS=M&amp;window=popup&amp;width=450&amp;height=300&amp;START_MAXIMIZED=FALSE"}</definedName>
    <definedName name="_21__FDSAUDITLINK__" hidden="1">{"fdsup://IBCentral/FAT Viewer?action=UPDATE&amp;creator=factset&amp;DOC_NAME=fat:reuters_qtrly_source_window.fat&amp;display_string=Audit&amp;DYN_ARGS=TRUE&amp;VAR:ID1=23337740&amp;VAR:RCODE=STLD&amp;VAR:SDATE=20071299&amp;VAR:FREQ=Quarterly&amp;VAR:RELITEM=&amp;VAR:CURRENCY=&amp;VAR:CURRSOURCE=EXSH","ARE&amp;VAR:NATFREQ=QUARTERLY&amp;VAR:RFIELD=FINALIZED&amp;VAR:DB_TYPE=&amp;VAR:UNITS=M&amp;window=popup&amp;width=450&amp;height=300&amp;START_MAXIMIZED=FALSE"}</definedName>
    <definedName name="_22__FDSAUDITLINK__" localSheetId="1"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22__FDSAUDITLINK__"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23__FDSAUDITLINK__" localSheetId="1"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3__FDSAUDITLINK__"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4__FDSAUDITLINK__" localSheetId="1" hidden="1">{"fdsup://IBCentral/FAT Viewer?action=UPDATE&amp;creator=factset&amp;DOC_NAME=fat:reuters_qtrly_source_window.fat&amp;display_string=Audit&amp;DYN_ARGS=TRUE&amp;VAR:ID1=03820C10&amp;VAR:RCODE=STLD&amp;VAR:SDATE=20080399&amp;VAR:FREQ=Quarterly&amp;VAR:RELITEM=&amp;VAR:CURRENCY=&amp;VAR:CURRSOURCE=EXSH","ARE&amp;VAR:NATFREQ=QUARTERLY&amp;VAR:RFIELD=FINALIZED&amp;VAR:DB_TYPE=&amp;VAR:UNITS=M&amp;window=popup&amp;width=450&amp;height=300&amp;START_MAXIMIZED=FALSE"}</definedName>
    <definedName name="_24__FDSAUDITLINK__" hidden="1">{"fdsup://IBCentral/FAT Viewer?action=UPDATE&amp;creator=factset&amp;DOC_NAME=fat:reuters_qtrly_source_window.fat&amp;display_string=Audit&amp;DYN_ARGS=TRUE&amp;VAR:ID1=03820C10&amp;VAR:RCODE=STLD&amp;VAR:SDATE=20080399&amp;VAR:FREQ=Quarterly&amp;VAR:RELITEM=&amp;VAR:CURRENCY=&amp;VAR:CURRSOURCE=EXSH","ARE&amp;VAR:NATFREQ=QUARTERLY&amp;VAR:RFIELD=FINALIZED&amp;VAR:DB_TYPE=&amp;VAR:UNITS=M&amp;window=popup&amp;width=450&amp;height=300&amp;START_MAXIMIZED=FALSE"}</definedName>
    <definedName name="_25__FDSAUDITLINK__" localSheetId="1"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25__FDSAUDITLINK__"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26__FDSAUDITLINK__" localSheetId="1"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26__FDSAUDITLINK__"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27__FDSAUDITLINK__" localSheetId="1"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7__FDSAUDITLINK__"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8__FDSAUDITLINK__" localSheetId="1"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8__FDSAUDITLINK__"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9__FDSAUDITLINK__" localSheetId="1"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29__FDSAUDITLINK__"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3__FDSAUDITLINK__" localSheetId="1" hidden="1">{"fdsup://IBCentral/FAT Viewer?action=UPDATE&amp;creator=factset&amp;DOC_NAME=fat:reuters_qtrly_source_window.fat&amp;display_string=Audit&amp;DYN_ARGS=TRUE&amp;VAR:ID1=44244K10&amp;VAR:RCODE=STLD&amp;VAR:SDATE=20080999&amp;VAR:FREQ=Quarterly&amp;VAR:RELITEM=&amp;VAR:CURRENCY=&amp;VAR:CURRSOURCE=EXSH","ARE&amp;VAR:NATFREQ=QUARTERLY&amp;VAR:RFIELD=FINALIZED&amp;VAR:DB_TYPE=&amp;VAR:UNITS=M&amp;window=popup&amp;width=450&amp;height=300&amp;START_MAXIMIZED=FALSE"}</definedName>
    <definedName name="_3__FDSAUDITLINK__" hidden="1">{"fdsup://IBCentral/FAT Viewer?action=UPDATE&amp;creator=factset&amp;DOC_NAME=fat:reuters_qtrly_source_window.fat&amp;display_string=Audit&amp;DYN_ARGS=TRUE&amp;VAR:ID1=44244K10&amp;VAR:RCODE=STLD&amp;VAR:SDATE=20080999&amp;VAR:FREQ=Quarterly&amp;VAR:RELITEM=&amp;VAR:CURRENCY=&amp;VAR:CURRSOURCE=EXSH","ARE&amp;VAR:NATFREQ=QUARTERLY&amp;VAR:RFIELD=FINALIZED&amp;VAR:DB_TYPE=&amp;VAR:UNITS=M&amp;window=popup&amp;width=450&amp;height=300&amp;START_MAXIMIZED=FALSE"}</definedName>
    <definedName name="_30__FDSAUDITLINK__" localSheetId="1"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30__FDSAUDITLINK__"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31__FDSAUDITLINK__" localSheetId="1"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31__FDSAUDITLINK__"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4__123Graph_BChart_1A" hidden="1">#REF!</definedName>
    <definedName name="_4__123Graph_BCHart_1A_" hidden="1">#REF!</definedName>
    <definedName name="_4__FDSAUDITLINK__" localSheetId="1" hidden="1">{"fdsup://IBCentral/FAT Viewer?action=UPDATE&amp;creator=factset&amp;DOC_NAME=fat:reuters_qtrly_source_window.fat&amp;display_string=Audit&amp;DYN_ARGS=TRUE&amp;VAR:ID1=05380710&amp;VAR:RCODE=STLD&amp;VAR:SDATE=20080999&amp;VAR:FREQ=Quarterly&amp;VAR:RELITEM=&amp;VAR:CURRENCY=&amp;VAR:CURRSOURCE=EXSH","ARE&amp;VAR:NATFREQ=QUARTERLY&amp;VAR:RFIELD=FINALIZED&amp;VAR:DB_TYPE=&amp;VAR:UNITS=M&amp;window=popup&amp;width=450&amp;height=300&amp;START_MAXIMIZED=FALSE"}</definedName>
    <definedName name="_4__FDSAUDITLINK__" hidden="1">{"fdsup://IBCentral/FAT Viewer?action=UPDATE&amp;creator=factset&amp;DOC_NAME=fat:reuters_qtrly_source_window.fat&amp;display_string=Audit&amp;DYN_ARGS=TRUE&amp;VAR:ID1=05380710&amp;VAR:RCODE=STLD&amp;VAR:SDATE=20080999&amp;VAR:FREQ=Quarterly&amp;VAR:RELITEM=&amp;VAR:CURRENCY=&amp;VAR:CURRSOURCE=EXSH","ARE&amp;VAR:NATFREQ=QUARTERLY&amp;VAR:RFIELD=FINALIZED&amp;VAR:DB_TYPE=&amp;VAR:UNITS=M&amp;window=popup&amp;width=450&amp;height=300&amp;START_MAXIMIZED=FALSE"}</definedName>
    <definedName name="_5__FDSAUDITLINK__" localSheetId="1" hidden="1">{"fdsup://IBCentral/FAT Viewer?action=UPDATE&amp;creator=factset&amp;DOC_NAME=fat:reuters_qtrly_source_window.fat&amp;display_string=Audit&amp;DYN_ARGS=TRUE&amp;VAR:ID1=04273510&amp;VAR:RCODE=STLD&amp;VAR:SDATE=20080999&amp;VAR:FREQ=Quarterly&amp;VAR:RELITEM=&amp;VAR:CURRENCY=&amp;VAR:CURRSOURCE=EXSH","ARE&amp;VAR:NATFREQ=QUARTERLY&amp;VAR:RFIELD=FINALIZED&amp;VAR:DB_TYPE=&amp;VAR:UNITS=M&amp;window=popup&amp;width=450&amp;height=300&amp;START_MAXIMIZED=FALSE"}</definedName>
    <definedName name="_5__FDSAUDITLINK__" hidden="1">{"fdsup://IBCentral/FAT Viewer?action=UPDATE&amp;creator=factset&amp;DOC_NAME=fat:reuters_qtrly_source_window.fat&amp;display_string=Audit&amp;DYN_ARGS=TRUE&amp;VAR:ID1=04273510&amp;VAR:RCODE=STLD&amp;VAR:SDATE=20080999&amp;VAR:FREQ=Quarterly&amp;VAR:RELITEM=&amp;VAR:CURRENCY=&amp;VAR:CURRSOURCE=EXSH","ARE&amp;VAR:NATFREQ=QUARTERLY&amp;VAR:RFIELD=FINALIZED&amp;VAR:DB_TYPE=&amp;VAR:UNITS=M&amp;window=popup&amp;width=450&amp;height=300&amp;START_MAXIMIZED=FALSE"}</definedName>
    <definedName name="_6__123Graph_XChart_1A" hidden="1">#REF!</definedName>
    <definedName name="_6__FDSAUDITLINK__" localSheetId="1" hidden="1">{"fdsup://IBCentral/FAT Viewer?action=UPDATE&amp;creator=factset&amp;DOC_NAME=fat:reuters_qtrly_source_window.fat&amp;display_string=Audit&amp;DYN_ARGS=TRUE&amp;VAR:ID1=03529010&amp;VAR:RCODE=STLD&amp;VAR:SDATE=20080999&amp;VAR:FREQ=Quarterly&amp;VAR:RELITEM=&amp;VAR:CURRENCY=&amp;VAR:CURRSOURCE=EXSH","ARE&amp;VAR:NATFREQ=QUARTERLY&amp;VAR:RFIELD=FINALIZED&amp;VAR:DB_TYPE=&amp;VAR:UNITS=M&amp;window=popup&amp;width=450&amp;height=300&amp;START_MAXIMIZED=FALSE"}</definedName>
    <definedName name="_6__FDSAUDITLINK__" hidden="1">{"fdsup://IBCentral/FAT Viewer?action=UPDATE&amp;creator=factset&amp;DOC_NAME=fat:reuters_qtrly_source_window.fat&amp;display_string=Audit&amp;DYN_ARGS=TRUE&amp;VAR:ID1=03529010&amp;VAR:RCODE=STLD&amp;VAR:SDATE=20080999&amp;VAR:FREQ=Quarterly&amp;VAR:RELITEM=&amp;VAR:CURRENCY=&amp;VAR:CURRSOURCE=EXSH","ARE&amp;VAR:NATFREQ=QUARTERLY&amp;VAR:RFIELD=FINALIZED&amp;VAR:DB_TYPE=&amp;VAR:UNITS=M&amp;window=popup&amp;width=450&amp;height=300&amp;START_MAXIMIZED=FALSE"}</definedName>
    <definedName name="_7___123Graph_ACHART_1" hidden="1">#REF!</definedName>
    <definedName name="_7__FDSAUDITLINK__" localSheetId="1" hidden="1">{"fdsup://IBCentral/FAT Viewer?action=UPDATE&amp;creator=factset&amp;DOC_NAME=fat:reuters_qtrly_source_window.fat&amp;display_string=Audit&amp;DYN_ARGS=TRUE&amp;VAR:ID1=38480210&amp;VAR:RCODE=STLD&amp;VAR:SDATE=20080999&amp;VAR:FREQ=Quarterly&amp;VAR:RELITEM=&amp;VAR:CURRENCY=&amp;VAR:CURRSOURCE=EXSH","ARE&amp;VAR:NATFREQ=QUARTERLY&amp;VAR:RFIELD=FINALIZED&amp;VAR:DB_TYPE=&amp;VAR:UNITS=M&amp;window=popup&amp;width=450&amp;height=300&amp;START_MAXIMIZED=FALSE"}</definedName>
    <definedName name="_7__FDSAUDITLINK__" hidden="1">{"fdsup://IBCentral/FAT Viewer?action=UPDATE&amp;creator=factset&amp;DOC_NAME=fat:reuters_qtrly_source_window.fat&amp;display_string=Audit&amp;DYN_ARGS=TRUE&amp;VAR:ID1=38480210&amp;VAR:RCODE=STLD&amp;VAR:SDATE=20080999&amp;VAR:FREQ=Quarterly&amp;VAR:RELITEM=&amp;VAR:CURRENCY=&amp;VAR:CURRSOURCE=EXSH","ARE&amp;VAR:NATFREQ=QUARTERLY&amp;VAR:RFIELD=FINALIZED&amp;VAR:DB_TYPE=&amp;VAR:UNITS=M&amp;window=popup&amp;width=450&amp;height=300&amp;START_MAXIMIZED=FALSE"}</definedName>
    <definedName name="_8__FDSAUDITLINK__" localSheetId="1" hidden="1">{"fdsup://IBCentral/FAT Viewer?action=UPDATE&amp;creator=factset&amp;DOC_NAME=fat:reuters_qtrly_source_window.fat&amp;display_string=Audit&amp;DYN_ARGS=TRUE&amp;VAR:ID1=55353010&amp;VAR:RCODE=STLD&amp;VAR:SDATE=20080899&amp;VAR:FREQ=Quarterly&amp;VAR:RELITEM=&amp;VAR:CURRENCY=&amp;VAR:CURRSOURCE=EXSH","ARE&amp;VAR:NATFREQ=QUARTERLY&amp;VAR:RFIELD=FINALIZED&amp;VAR:DB_TYPE=&amp;VAR:UNITS=M&amp;window=popup&amp;width=450&amp;height=300&amp;START_MAXIMIZED=FALSE"}</definedName>
    <definedName name="_8__FDSAUDITLINK__" hidden="1">{"fdsup://IBCentral/FAT Viewer?action=UPDATE&amp;creator=factset&amp;DOC_NAME=fat:reuters_qtrly_source_window.fat&amp;display_string=Audit&amp;DYN_ARGS=TRUE&amp;VAR:ID1=55353010&amp;VAR:RCODE=STLD&amp;VAR:SDATE=20080899&amp;VAR:FREQ=Quarterly&amp;VAR:RELITEM=&amp;VAR:CURRENCY=&amp;VAR:CURRSOURCE=EXSH","ARE&amp;VAR:NATFREQ=QUARTERLY&amp;VAR:RFIELD=FINALIZED&amp;VAR:DB_TYPE=&amp;VAR:UNITS=M&amp;window=popup&amp;width=450&amp;height=300&amp;START_MAXIMIZED=FALSE"}</definedName>
    <definedName name="_9__123Graph_ACHART_1" hidden="1">#REF!</definedName>
    <definedName name="_9__FDSAUDITLINK__" localSheetId="1" hidden="1">{"fdsup://IBCentral/FAT Viewer?action=UPDATE&amp;creator=factset&amp;DOC_NAME=fat:reuters_qtrly_source_window.fat&amp;display_string=Audit&amp;DYN_ARGS=TRUE&amp;VAR:ID1=31190010&amp;VAR:RCODE=STLD&amp;VAR:SDATE=20080999&amp;VAR:FREQ=Quarterly&amp;VAR:RELITEM=&amp;VAR:CURRENCY=&amp;VAR:CURRSOURCE=EXSH","ARE&amp;VAR:NATFREQ=QUARTERLY&amp;VAR:RFIELD=FINALIZED&amp;VAR:DB_TYPE=&amp;VAR:UNITS=M&amp;window=popup&amp;width=450&amp;height=300&amp;START_MAXIMIZED=FALSE"}</definedName>
    <definedName name="_9__FDSAUDITLINK__" hidden="1">{"fdsup://IBCentral/FAT Viewer?action=UPDATE&amp;creator=factset&amp;DOC_NAME=fat:reuters_qtrly_source_window.fat&amp;display_string=Audit&amp;DYN_ARGS=TRUE&amp;VAR:ID1=31190010&amp;VAR:RCODE=STLD&amp;VAR:SDATE=20080999&amp;VAR:FREQ=Quarterly&amp;VAR:RELITEM=&amp;VAR:CURRENCY=&amp;VAR:CURRSOURCE=EXSH","ARE&amp;VAR:NATFREQ=QUARTERLY&amp;VAR:RFIELD=FINALIZED&amp;VAR:DB_TYPE=&amp;VAR:UNITS=M&amp;window=popup&amp;width=450&amp;height=300&amp;START_MAXIMIZED=FALSE"}</definedName>
    <definedName name="_Actual_Dmaname_00" hidden="1">#REF!</definedName>
    <definedName name="_Actual_Total_208_209_210_Act_v_Budget_00" hidden="1">#REF!</definedName>
    <definedName name="_bdm.027F8800880F434B81A9C2A89DCC8C4A.edm" hidden="1">#REF!</definedName>
    <definedName name="_bdm.05C86319A7A34B6FA1DD54078DB04ADF.edm" hidden="1">#REF!</definedName>
    <definedName name="_bdm.076963F0805044F7A551C15654E4035D.edm" hidden="1">#REF!</definedName>
    <definedName name="_bdm.0B2EC36587664FCAAFAD2A6102D11FF7.edm" hidden="1">#REF!</definedName>
    <definedName name="_bdm.0C4E292BC10E49148B4AD96C7ED759BF.edm" hidden="1">#REF!</definedName>
    <definedName name="_bdm.14E12C44B2244BF4A4C86061C14FF480.edm" hidden="1">#REF!</definedName>
    <definedName name="_bdm.15532E20B1FF46539CE99D4F06003620.edm" hidden="1">#REF!</definedName>
    <definedName name="_bdm.17C6DB35F253421CA37F6DECBB53CB09.edm" hidden="1">#REF!</definedName>
    <definedName name="_bdm.1AF687A1E5ED45509674CBEECB86F11E.edm" hidden="1">#REF!</definedName>
    <definedName name="_bdm.1E81B4231B01419BAB1F7629BF57760E.edm" hidden="1">#REF!</definedName>
    <definedName name="_bdm.2246936292114AFCAC138C7D9D396F97.edm" hidden="1">#REF!</definedName>
    <definedName name="_bdm.22AD675AC94D4AFDB265799534DA88B6.edm" hidden="1">#REF!</definedName>
    <definedName name="_bdm.27BBF0899CDA4B0B8C7F6BB9B96E97B9.edm" hidden="1">#REF!</definedName>
    <definedName name="_bdm.28AD9BC5E3734025886BCB13389E0C5C.edm" hidden="1">#REF!</definedName>
    <definedName name="_bdm.2910D8A914AA47CB9BD32BF0A51EB1D9.edm" hidden="1">#REF!</definedName>
    <definedName name="_bdm.2AB6882CBF0147C7A1E52A575553A68B.edm" hidden="1">#REF!</definedName>
    <definedName name="_bdm.2AC364EC557B4DE9871125A7EA06067E.edm" hidden="1">#REF!</definedName>
    <definedName name="_bdm.2BEA366AF93F49AD8224CA9700F1EB81.edm" hidden="1">#REF!</definedName>
    <definedName name="_bdm.2C72CEEE222D4D34B105F10FCC846016.edm" hidden="1">#REF!</definedName>
    <definedName name="_bdm.2D4F8479E7044B6E9793C47E15E26658.edm" hidden="1">#REF!</definedName>
    <definedName name="_bdm.2D618CBB3A8C4DAA9BE9905DB9511DDC.edm" hidden="1">#REF!</definedName>
    <definedName name="_bdm.3418471FD2B243478AC1C676C4E8C5FC.edm" hidden="1">#REF!</definedName>
    <definedName name="_bdm.35C995F189BC41DAAC3F44625A6E292F.edm" hidden="1">#REF!</definedName>
    <definedName name="_bdm.36037A84D6F14885BD15EF420BC6D13A.edm" hidden="1">#REF!</definedName>
    <definedName name="_bdm.3EF881079894438BA7659EB9FF6E25DD.edm" hidden="1">#REF!</definedName>
    <definedName name="_bdm.413BEB5CE0294B15AC90D7DF8DF74345.edm" hidden="1">#REF!</definedName>
    <definedName name="_bdm.41BFA87685854FE88D3D6EB2C8112366.edm" hidden="1">#REF!</definedName>
    <definedName name="_bdm.4287C95B1398429F816153A26570B2F4.edm" hidden="1">#REF!</definedName>
    <definedName name="_bdm.463865BEA38643A6B5EA19C48E7DD61B.edm" hidden="1">#REF!</definedName>
    <definedName name="_bdm.51A2D8508DAB4D008B17FAAF7FA1EF3C.edm" hidden="1">#REF!</definedName>
    <definedName name="_bdm.53E95D570F0E450199C885D6AB439EDB.edm" hidden="1">#REF!</definedName>
    <definedName name="_bdm.5687C9EBCCE349AE869A299D9958753B.edm" hidden="1">#REF!</definedName>
    <definedName name="_bdm.57E8B17D34C04A829449F6DBC62DB6FF.edm" hidden="1">#REF!</definedName>
    <definedName name="_bdm.5DEC2A588B2D4D22B7B208818CC8FD85.edm" hidden="1">#REF!</definedName>
    <definedName name="_bdm.5F3A07197DF14426A5AF2056E21ABA4A.edm" hidden="1">#REF!</definedName>
    <definedName name="_bdm.6025BA6B51C743E1AD96EEE3105BF3D0.edm" hidden="1">#REF!</definedName>
    <definedName name="_bdm.61C015219123495FB66B0B9458B58C4F.edm" hidden="1">#REF!</definedName>
    <definedName name="_bdm.633EB5F9D13D4B02A76654B7C7AA5FE4.edm" hidden="1">#REF!</definedName>
    <definedName name="_bdm.6A4D64318E7C49E3A309FEAFD3C914ED.edm" hidden="1">#REF!</definedName>
    <definedName name="_bdm.6B764F624FD64FE48689F7B0C3C5105A.edm" hidden="1">#REF!</definedName>
    <definedName name="_bdm.7B582216104D4FC3AD7A52D599B1C43A.edm" hidden="1">#REF!</definedName>
    <definedName name="_bdm.8161120405654232B4CD7904DF34AD10.edm" hidden="1">#REF!</definedName>
    <definedName name="_bdm.82810F34DEC543B0938EAF91531EAF0D.edm" hidden="1">#REF!</definedName>
    <definedName name="_bdm.8649F3B960184A0E9CC5311F749236B9.edm" hidden="1">#REF!</definedName>
    <definedName name="_bdm.8677447478264074BAF1FF345884C57C.edm" hidden="1">#REF!</definedName>
    <definedName name="_bdm.8CCC0F9C648F42E7B681E322CDAABB0B.edm" hidden="1">#REF!</definedName>
    <definedName name="_bdm.9AB08E8B9DD242CD86AB346DB45BC7EA.edm" hidden="1">#REF!</definedName>
    <definedName name="_bdm.A30C0767F84B45589EEE7453C94BCB6E.edm" hidden="1">#REF!</definedName>
    <definedName name="_bdm.A3C74F68435B4A2F946E8A7166EE8A58.edm" hidden="1">#REF!</definedName>
    <definedName name="_bdm.A4DA664F0D8D40439812270DD015A5FC.edm" hidden="1">#REF!</definedName>
    <definedName name="_bdm.AE68C2B6B205464EA6DE0BCF961588FD.edm" hidden="1">#REF!</definedName>
    <definedName name="_bdm.AEB7040D03DE41988DDCA3F5FAF13B03.edm" hidden="1">#REF!</definedName>
    <definedName name="_bdm.B32EECEF008048CB8820362F735767B2.edm" hidden="1">#REF!</definedName>
    <definedName name="_bdm.B5807A90851A4FFD80A55244D63565EC.edm" hidden="1">#REF!</definedName>
    <definedName name="_bdm.BAC8A75873BD47C898F7FA00AB6AF1F7.edm" hidden="1">#REF!</definedName>
    <definedName name="_bdm.BBDFA80AE11F4793AA814D13DE9E8639.edm" hidden="1">#REF!</definedName>
    <definedName name="_bdm.C5DBACA85DED48339A640388347A0422.edm" hidden="1">#REF!</definedName>
    <definedName name="_bdm.CEECD5A4BBD44CA18565D39876649090.edm" hidden="1">#REF!</definedName>
    <definedName name="_bdm.CF8AEAF52A8A4887A0B828A298C40612.edm" hidden="1">#REF!</definedName>
    <definedName name="_bdm.D0617DFC048A4E06B33A16ECE92185C2.edm" hidden="1">#REF!</definedName>
    <definedName name="_bdm.D2356439F5E04D59804E8B79D675D554.edm" hidden="1">#REF!</definedName>
    <definedName name="_bdm.D8485C725B4A4D2ABEF86761D5A0AF79.edm" hidden="1">#REF!</definedName>
    <definedName name="_bdm.D9912FF757C643AF874356426ECCD0C2.edm" hidden="1">#REF!</definedName>
    <definedName name="_bdm.DD366674451544BF93BC8D487636644E.edm" hidden="1">#REF!</definedName>
    <definedName name="_bdm.E29CC2CCE143482595B4593DE68FFC66.edm" hidden="1">#REF!</definedName>
    <definedName name="_bdm.E5BDB6F1C2C945E59CAD61487277009E.edm" hidden="1">#REF!</definedName>
    <definedName name="_bdm.E5E791ED8BD04267A71BD33F4FFBEA2A.edm" hidden="1">#REF!</definedName>
    <definedName name="_bdm.E707CBC911714632A3B5B6760EB38EC2.edm" hidden="1">#REF!</definedName>
    <definedName name="_bdm.E8798BE2C6784495B4B2F5965A63DD45.edm" hidden="1">#REF!</definedName>
    <definedName name="_bdm.ED6FE57296254F039CFA264D6C0DBF2C.edm" hidden="1">#REF!</definedName>
    <definedName name="_bdm.EE29D448DCFC4D9482FD4C4939471795.edm" hidden="1">#REF!</definedName>
    <definedName name="_bdm.F1438972761941AFBBAD0E56AC142EA0.edm" hidden="1">#REF!</definedName>
    <definedName name="_bdm.F289BB85805949C4A2DB02778B66B1FC.edm" hidden="1">#REF!</definedName>
    <definedName name="_bdm.FastTrackBookmark.3_7_2019_11_35_41_AM.edm" hidden="1">#REF!</definedName>
    <definedName name="_bdm.FE163486EC8B4FD68CD11B0B1DCE74BB.edm" hidden="1">#REF!</definedName>
    <definedName name="_Bud210_Level7member_Name_00" hidden="1">#REF!</definedName>
    <definedName name="_Fil1" hidden="1">#REF!</definedName>
    <definedName name="_Fill" hidden="1">#REF!</definedName>
    <definedName name="_Key1" hidden="1">#REF!</definedName>
    <definedName name="_Key2" hidden="1">#REF!</definedName>
    <definedName name="_Order1" hidden="1">255</definedName>
    <definedName name="_Order2" hidden="1">255</definedName>
    <definedName name="_pcSlicerSheet_Slicer1" hidden="1">#REF!</definedName>
    <definedName name="_Sort" hidden="1">#REF!</definedName>
    <definedName name="_Table1_In1" hidden="1">#REF!</definedName>
    <definedName name="_Table1_in2" hidden="1">#REF!</definedName>
    <definedName name="_Table1_Out" hidden="1">#REF!</definedName>
    <definedName name="_Table2_In1" hidden="1">#REF!</definedName>
    <definedName name="_Table2_In2" hidden="1">#REF!</definedName>
    <definedName name="_Table2_Out" hidden="1">#REF!</definedName>
    <definedName name="_tags1" localSheetId="2" hidden="1">"&lt;tags&gt;&lt;tag n=""Palette"" v=""-1"" /&gt;&lt;tag n=""ClosestPalette"" v=""1"" /&gt;&lt;/tags&gt;"</definedName>
    <definedName name="_tags1" localSheetId="3" hidden="1">"&lt;tags&gt;&lt;tag n=""Palette"" v=""-1"" /&gt;&lt;tag n=""ClosestPalette"" v=""1"" /&gt;&lt;/tags&gt;"</definedName>
    <definedName name="_tags1" localSheetId="4" hidden="1">"&lt;tags&gt;&lt;tag n=""Palette"" v=""-1"" /&gt;&lt;tag n=""ClosestPalette"" v=""1"" /&gt;&lt;/tags&gt;"</definedName>
    <definedName name="_tags1" localSheetId="5" hidden="1">"&lt;tags&gt;&lt;tag n=""Palette"" v=""-1"" /&gt;&lt;tag n=""ClosestPalette"" v=""1"" /&gt;&lt;/tags&gt;"</definedName>
    <definedName name="_tags1" localSheetId="6" hidden="1">"&lt;tags&gt;&lt;tag n=""Palette"" v=""-1"" /&gt;&lt;tag n=""ClosestPalette"" v=""1"" /&gt;&lt;/tags&gt;"</definedName>
    <definedName name="_tags1" localSheetId="7" hidden="1">"&lt;tags&gt;&lt;tag n=""Palette"" v=""-1"" /&gt;&lt;tag n=""ClosestPalette"" v=""1"" /&gt;&lt;/tags&gt;"</definedName>
    <definedName name="_tags1" localSheetId="8" hidden="1">"&lt;tags&gt;&lt;tag n=""Palette"" v=""-1"" /&gt;&lt;tag n=""ClosestPalette"" v=""1"" /&gt;&lt;/tags&gt;"</definedName>
    <definedName name="_tags1" localSheetId="9" hidden="1">"&lt;tags&gt;&lt;tag n=""Palette"" v=""-1"" /&gt;&lt;tag n=""ClosestPalette"" v=""1"" /&gt;&lt;/tags&gt;"</definedName>
    <definedName name="_tags1" localSheetId="10" hidden="1">"&lt;tags&gt;&lt;tag n=""Palette"" v=""-1"" /&gt;&lt;tag n=""ClosestPalette"" v=""1"" /&gt;&lt;/tags&gt;"</definedName>
    <definedName name="_tags1" localSheetId="11" hidden="1">"&lt;tags&gt;&lt;tag n=""Palette"" v=""-1"" /&gt;&lt;tag n=""ClosestPalette"" v=""1"" /&gt;&lt;/tags&gt;"</definedName>
    <definedName name="_tags1" localSheetId="12" hidden="1">"&lt;tags&gt;&lt;tag n=""Palette"" v=""-1"" /&gt;&lt;tag n=""ClosestPalette"" v=""1"" /&gt;&lt;/tags&gt;"</definedName>
    <definedName name="_tags1" localSheetId="13" hidden="1">"&lt;tags&gt;&lt;tag n=""Palette"" v=""-1"" /&gt;&lt;tag n=""ClosestPalette"" v=""1"" /&gt;&lt;/tags&gt;"</definedName>
    <definedName name="_tags1" localSheetId="14" hidden="1">"&lt;tags&gt;&lt;tag n=""Palette"" v=""-1"" /&gt;&lt;tag n=""ClosestPalette"" v=""1"" /&gt;&lt;/tags&gt;"</definedName>
    <definedName name="_tags1" localSheetId="15" hidden="1">"&lt;tags&gt;&lt;tag n=""Palette"" v=""-1"" /&gt;&lt;tag n=""ClosestPalette"" v=""1"" /&gt;&lt;/tags&gt;"</definedName>
    <definedName name="_tags1" localSheetId="16" hidden="1">"&lt;tags&gt;&lt;tag n=""Palette"" v=""-1"" /&gt;&lt;tag n=""ClosestPalette"" v=""1"" /&gt;&lt;/tags&gt;"</definedName>
    <definedName name="_Total_208_209_210_for_Mobile_Level6member_Name_00" hidden="1">#REF!</definedName>
    <definedName name="_Total_208_209_210_Level6member_Name_by_Fiscal_00" hidden="1">#REF!</definedName>
    <definedName name="_Total_208_209_210_Level7member_Name_00"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BC" hidden="1">#REF!</definedName>
    <definedName name="AccessDatabase" hidden="1">"G:\Finance\Projections\2001 Projections\Pivot 2001.mdb"</definedName>
    <definedName name="AS2DocOpenMode" hidden="1">"AS2DocumentBrowse"</definedName>
    <definedName name="AS2HasNoAutoHeaderFooter" hidden="1">" "</definedName>
    <definedName name="AS2NamedRange" hidden="1">3</definedName>
    <definedName name="AS2ReportLS" hidden="1">1</definedName>
    <definedName name="AS2SyncStepLS" hidden="1">0</definedName>
    <definedName name="AS2TickmarkLS" hidden="1">#REF!</definedName>
    <definedName name="AS2VersionLS" hidden="1">300</definedName>
    <definedName name="BG_Del" hidden="1">15</definedName>
    <definedName name="BG_Ins" hidden="1">4</definedName>
    <definedName name="BG_Mod" hidden="1">6</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PB1" hidden="1">#REF!</definedName>
    <definedName name="BLPB10" hidden="1">#REF!</definedName>
    <definedName name="BLPB100" hidden="1">#REF!</definedName>
    <definedName name="BLPB101" hidden="1">#REF!</definedName>
    <definedName name="BLPB102" hidden="1">#REF!</definedName>
    <definedName name="BLPB103" hidden="1">#REF!</definedName>
    <definedName name="BLPB104" hidden="1">#REF!</definedName>
    <definedName name="BLPB105" hidden="1">#REF!</definedName>
    <definedName name="BLPB106" hidden="1">#REF!</definedName>
    <definedName name="BLPB107" hidden="1">#REF!</definedName>
    <definedName name="BLPB108" hidden="1">#REF!</definedName>
    <definedName name="BLPB109" hidden="1">#REF!</definedName>
    <definedName name="BLPB11" hidden="1">#REF!</definedName>
    <definedName name="BLPB110" hidden="1">#REF!</definedName>
    <definedName name="BLPB111" hidden="1">#REF!</definedName>
    <definedName name="BLPB112" hidden="1">#REF!</definedName>
    <definedName name="BLPB113" hidden="1">#REF!</definedName>
    <definedName name="BLPB114" hidden="1">#REF!</definedName>
    <definedName name="BLPB115" hidden="1">#REF!</definedName>
    <definedName name="BLPB116" hidden="1">#REF!</definedName>
    <definedName name="BLPB117" hidden="1">#REF!</definedName>
    <definedName name="BLPB118" hidden="1">#REF!</definedName>
    <definedName name="BLPB119" hidden="1">#REF!</definedName>
    <definedName name="BLPB12" hidden="1">#REF!</definedName>
    <definedName name="BLPB120" hidden="1">#REF!</definedName>
    <definedName name="BLPB121" hidden="1">#REF!</definedName>
    <definedName name="BLPB122" hidden="1">#REF!</definedName>
    <definedName name="BLPB123" hidden="1">#REF!</definedName>
    <definedName name="BLPB124" hidden="1">#REF!</definedName>
    <definedName name="BLPB125" hidden="1">#REF!</definedName>
    <definedName name="BLPB126" hidden="1">#REF!</definedName>
    <definedName name="BLPB127" hidden="1">#REF!</definedName>
    <definedName name="BLPB128" hidden="1">#REF!</definedName>
    <definedName name="BLPB129" hidden="1">#REF!</definedName>
    <definedName name="BLPB13" hidden="1">#REF!</definedName>
    <definedName name="BLPB136" hidden="1">#REF!</definedName>
    <definedName name="BLPB137" hidden="1">#REF!</definedName>
    <definedName name="BLPB14" hidden="1">#REF!</definedName>
    <definedName name="BLPB15" hidden="1">#REF!</definedName>
    <definedName name="BLPB16" hidden="1">#REF!</definedName>
    <definedName name="BLPB17" hidden="1">#REF!</definedName>
    <definedName name="BLPB18" hidden="1">#REF!</definedName>
    <definedName name="BLPB19" hidden="1">#REF!</definedName>
    <definedName name="BLPB2" hidden="1">#REF!</definedName>
    <definedName name="BLPB20" hidden="1">#REF!</definedName>
    <definedName name="BLPB21" hidden="1">#REF!</definedName>
    <definedName name="BLPB22" hidden="1">#REF!</definedName>
    <definedName name="BLPB23" hidden="1">#REF!</definedName>
    <definedName name="BLPB24" hidden="1">#REF!</definedName>
    <definedName name="BLPB25" hidden="1">#REF!</definedName>
    <definedName name="BLPB26" hidden="1">#REF!</definedName>
    <definedName name="BLPB27" hidden="1">#REF!</definedName>
    <definedName name="BLPB28" hidden="1">#REF!</definedName>
    <definedName name="BLPB29" hidden="1">#REF!</definedName>
    <definedName name="BLPB3" hidden="1">#REF!</definedName>
    <definedName name="BLPB30" hidden="1">#REF!</definedName>
    <definedName name="BLPB31" hidden="1">#REF!</definedName>
    <definedName name="BLPB32" hidden="1">#REF!</definedName>
    <definedName name="BLPB33" hidden="1">#REF!</definedName>
    <definedName name="BLPB34" hidden="1">#REF!</definedName>
    <definedName name="BLPB35" hidden="1">#REF!</definedName>
    <definedName name="BLPB36" hidden="1">#REF!</definedName>
    <definedName name="BLPB37" hidden="1">#REF!</definedName>
    <definedName name="BLPB38" hidden="1">#REF!</definedName>
    <definedName name="BLPB39" hidden="1">#REF!</definedName>
    <definedName name="BLPB4" hidden="1">#REF!</definedName>
    <definedName name="BLPB40" hidden="1">#REF!</definedName>
    <definedName name="BLPB41" hidden="1">#REF!</definedName>
    <definedName name="BLPB42" hidden="1">#REF!</definedName>
    <definedName name="BLPB43" hidden="1">#REF!</definedName>
    <definedName name="BLPB44" hidden="1">#REF!</definedName>
    <definedName name="BLPB45" hidden="1">#REF!</definedName>
    <definedName name="BLPB46" hidden="1">#REF!</definedName>
    <definedName name="BLPB47" hidden="1">#REF!</definedName>
    <definedName name="BLPB48" hidden="1">#REF!</definedName>
    <definedName name="BLPB49" hidden="1">#REF!</definedName>
    <definedName name="BLPB5" hidden="1">#REF!</definedName>
    <definedName name="BLPB50" hidden="1">#REF!</definedName>
    <definedName name="BLPB51" hidden="1">#REF!</definedName>
    <definedName name="BLPB52" hidden="1">#REF!</definedName>
    <definedName name="BLPB53" hidden="1">#REF!</definedName>
    <definedName name="BLPB54" hidden="1">#REF!</definedName>
    <definedName name="BLPB55" hidden="1">#REF!</definedName>
    <definedName name="BLPB56" hidden="1">#REF!</definedName>
    <definedName name="BLPB57" hidden="1">#REF!</definedName>
    <definedName name="BLPB58" hidden="1">#REF!</definedName>
    <definedName name="BLPB59" hidden="1">#REF!</definedName>
    <definedName name="BLPB6" hidden="1">#REF!</definedName>
    <definedName name="BLPB60" hidden="1">#REF!</definedName>
    <definedName name="BLPB61" hidden="1">#REF!</definedName>
    <definedName name="BLPB62" hidden="1">#REF!</definedName>
    <definedName name="BLPB63" hidden="1">#REF!</definedName>
    <definedName name="BLPB64" hidden="1">#REF!</definedName>
    <definedName name="BLPB65" hidden="1">#REF!</definedName>
    <definedName name="BLPB66" hidden="1">#REF!</definedName>
    <definedName name="BLPB67" hidden="1">#REF!</definedName>
    <definedName name="BLPB68" hidden="1">#REF!</definedName>
    <definedName name="BLPB69" hidden="1">#REF!</definedName>
    <definedName name="BLPB7" hidden="1">#REF!</definedName>
    <definedName name="BLPB70" hidden="1">#REF!</definedName>
    <definedName name="BLPB71" hidden="1">#REF!</definedName>
    <definedName name="BLPB72" hidden="1">#REF!</definedName>
    <definedName name="BLPB73" hidden="1">#REF!</definedName>
    <definedName name="BLPB74" hidden="1">#REF!</definedName>
    <definedName name="BLPB75" hidden="1">#REF!</definedName>
    <definedName name="BLPB76" hidden="1">#REF!</definedName>
    <definedName name="BLPB77" hidden="1">#REF!</definedName>
    <definedName name="BLPB78" hidden="1">#REF!</definedName>
    <definedName name="BLPB79" hidden="1">#REF!</definedName>
    <definedName name="BLPB8" hidden="1">#REF!</definedName>
    <definedName name="BLPB80" hidden="1">#REF!</definedName>
    <definedName name="BLPB81" hidden="1">#REF!</definedName>
    <definedName name="BLPB82" hidden="1">#REF!</definedName>
    <definedName name="BLPB83" hidden="1">#REF!</definedName>
    <definedName name="BLPB84" hidden="1">#REF!</definedName>
    <definedName name="BLPB85" hidden="1">#REF!</definedName>
    <definedName name="BLPB86" hidden="1">#REF!</definedName>
    <definedName name="BLPB87" hidden="1">#REF!</definedName>
    <definedName name="BLPB88" hidden="1">#REF!</definedName>
    <definedName name="BLPB89" hidden="1">#REF!</definedName>
    <definedName name="BLPB9" hidden="1">#REF!</definedName>
    <definedName name="BLPB90" hidden="1">#REF!</definedName>
    <definedName name="BLPB91" hidden="1">#REF!</definedName>
    <definedName name="BLPB92" hidden="1">#REF!</definedName>
    <definedName name="BLPB93" hidden="1">#REF!</definedName>
    <definedName name="BLPB94" hidden="1">#REF!</definedName>
    <definedName name="BLPB95" hidden="1">#REF!</definedName>
    <definedName name="BLPB96" hidden="1">#REF!</definedName>
    <definedName name="BLPB97" hidden="1">#REF!</definedName>
    <definedName name="BLPB98" hidden="1">#REF!</definedName>
    <definedName name="BLPB99" hidden="1">#REF!</definedName>
    <definedName name="BLPH10" hidden="1">#REF!</definedName>
    <definedName name="BLPH11" hidden="1">#REF!</definedName>
    <definedName name="BLPH14" hidden="1">#REF!</definedName>
    <definedName name="BLPH15"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IQWBGuid" localSheetId="1" hidden="1">"540f3042-7976-4467-9d88-72aa3cab8ff7"</definedName>
    <definedName name="CIQWBGuid" hidden="1">"c36e0a5d-d90c-4aad-b751-96208262ef45"</definedName>
    <definedName name="CompanyName1" hidden="1">#REF!</definedName>
    <definedName name="CompanyName2" hidden="1">#REF!</definedName>
    <definedName name="CompanyName3" hidden="1">#REF!</definedName>
    <definedName name="CompRange1" hidden="1">#N/A</definedName>
    <definedName name="CompRange1Main" hidden="1">#REF!</definedName>
    <definedName name="CompRange2" hidden="1">#N/A</definedName>
    <definedName name="CompRange2Main" hidden="1">#REF!</definedName>
    <definedName name="CompRange3" hidden="1">#N/A</definedName>
    <definedName name="CompRange3Main" hidden="1">#REF!</definedName>
    <definedName name="Cwvu.GREY_ALL." hidden="1">#REF!</definedName>
    <definedName name="DateRangeComp" hidden="1">#N/A</definedName>
    <definedName name="DateRangeCompMain" hidden="1">#REF!</definedName>
    <definedName name="DateRangePrice" hidden="1">#N/A</definedName>
    <definedName name="DateRangePriceMain" hidden="1">#REF!</definedName>
    <definedName name="Editable" hidden="1">#REF!,#REF!,#REF!,#REF!</definedName>
    <definedName name="EV__LASTREFTIME__" hidden="1">39104.6256481481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1聄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P_280_1_aSrv" hidden="1">#REF!</definedName>
    <definedName name="FDP_281_1_aSrv" hidden="1">#REF!</definedName>
    <definedName name="FDP_282_1_aSrv" hidden="1">#REF!</definedName>
    <definedName name="FDP_283_1_aSrv" hidden="1">#REF!</definedName>
    <definedName name="F聄D_172_0" hidden="1">"A30681"</definedName>
    <definedName name="F聄D_179_1" hidden="1">"E36525"</definedName>
    <definedName name="F聄D_82_11" hidden="1">"A34699"</definedName>
    <definedName name="hhhhh" localSheetId="1" hidden="1">{"overall",#N/A,FALSE,"Taylor";"Jul24Sum",#N/A,FALSE,"Finance";"Jul24COS",#N/A,FALSE,"Finance";"Jul24C3",#N/A,FALSE,"Finance";"jul24tax&amp;debtcalcs",#N/A,FALSE,"Finance";"jeepsum",#N/A,FALSE,"Finance";"taysum1",#N/A,FALSE,"Taylor";"BS",#N/A,FALSE,"Taylor";"backup",#N/A,FALSE,"Taylor";"jeepop",#N/A,FALSE,"Operating costs"}</definedName>
    <definedName name="hhhhh" hidden="1">{"overall",#N/A,FALSE,"Taylor";"Jul24Sum",#N/A,FALSE,"Finance";"Jul24COS",#N/A,FALSE,"Finance";"Jul24C3",#N/A,FALSE,"Finance";"jul24tax&amp;debtcalcs",#N/A,FALSE,"Finance";"jeepsum",#N/A,FALSE,"Finance";"taysum1",#N/A,FALSE,"Taylor";"BS",#N/A,FALSE,"Taylor";"backup",#N/A,FALSE,"Taylor";"jeepop",#N/A,FALSE,"Operating costs"}</definedName>
    <definedName name="HTML_CodePage" hidden="1">1252</definedName>
    <definedName name="HTML_Control" localSheetId="1" hidden="1">{"'xls'!$A$71:$A$78","'xls'!$A$1:$J$77"}</definedName>
    <definedName name="HTML_Control" hidden="1">{"'xls'!$A$71:$A$78","'xls'!$A$1:$J$77"}</definedName>
    <definedName name="HTML_Description" hidden="1">""</definedName>
    <definedName name="HTML_Email" hidden="1">""</definedName>
    <definedName name="HTML_Header" hidden="1">"tab34"</definedName>
    <definedName name="HTML_LastUpdate" hidden="1">"1/5/00"</definedName>
    <definedName name="HTML_LineAfter" hidden="1">FALSE</definedName>
    <definedName name="HTML_LineBefore" hidden="1">FALSE</definedName>
    <definedName name="HTML_Name" hidden="1">"William J. Hussar"</definedName>
    <definedName name="HTML_OBDlg2" hidden="1">TRUE</definedName>
    <definedName name="HTML_OBDlg4" hidden="1">TRUE</definedName>
    <definedName name="HTML_OS" hidden="1">0</definedName>
    <definedName name="HTML_PathFile" hidden="1">"D:\PROJ2009\WP\Test\tabxxxxx.htm"</definedName>
    <definedName name="HTML_Title" hidden="1">"tab35plainerb1y"</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EPTANCES_OTHER_FOREIGN_BANKS_LL_REC_FFIEC" hidden="1">"c15293"</definedName>
    <definedName name="IQ_ACCEPTANCES_OTHER_US_BANKS_LL_REC_FFIEC" hidden="1">"c15292"</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_PROD_FARM_LOANS_DOM_QUARTERLY_AVG_FFIEC" hidden="1">"c15477"</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rs" hidden="1">39210.6342708333</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FAX" hidden="1">"c2100"</definedName>
    <definedName name="IQ_BOARD_MEMBER_MAIN_FAX" hidden="1">"c15174"</definedName>
    <definedName name="IQ_BOARD_MEMBER_MAIN_PHONE" hidden="1">"c15173"</definedName>
    <definedName name="IQ_BOARD_MEMBER_OFFICE" hidden="1">"c2098"</definedName>
    <definedName name="IQ_BOARD_MEMBER_OFFICE_ADDRESS" hidden="1">"c15172"</definedName>
    <definedName name="IQ_BOARD_MEMBER_PHONE" hidden="1">"c2099"</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"c223"</definedName>
    <definedName name="IQ_BONDRATING_FITCH_DATE" hidden="1">"c241"</definedName>
    <definedName name="IQ_BONDRATING_SP" hidden="1">"c224"</definedName>
    <definedName name="IQ_BONDRATING_SP_DATE" hidden="1">"c242"</definedName>
    <definedName name="IQ_BOOK_VALUE" hidden="1">"IQ_BOOK_VALUE"</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QUIV" hidden="1">"c118"</definedName>
    <definedName name="IQ_CASH_FINAN" hidden="1">"c119"</definedName>
    <definedName name="IQ_CASH_FLOW_ACT_OR_EST" hidden="1">"c4154"</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FOREIGN_BRANCH_OTHER_US_BANKS_FFIEC" hidden="1">"c15282"</definedName>
    <definedName name="IQ_CASH_IN_PROCESS_FDIC" hidden="1">"c6386"</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UM_EST" hidden="1">"c4246"</definedName>
    <definedName name="IQ_CASH_OPER_STDDEV_EST" hidden="1">"c4247"</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STRUCTURED_PRODUCTS_AVAIL_SALE_FFIEC" hidden="1">"c15263"</definedName>
    <definedName name="IQ_CASH_STRUCTURED_PRODUCTS_FFIEC" hidden="1">"c15260"</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REUT" hidden="1">"c5463"</definedName>
    <definedName name="IQ_CFPS_DET_EST_REUT_CURRENCY_CURRENCY_REUT" hidden="1">"c12526"</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_BANKS_OTHER_DEP_INST_US_TRANS_ACCTS_FFIEC" hidden="1">"c15317"</definedName>
    <definedName name="IQ_COMM_BANKS_OTHER_INST_US_NON_TRANS_ACCTS_FFIEC" hidden="1">"c15325"</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LOANS_NET_FDIC" hidden="1">"c6317"</definedName>
    <definedName name="IQ_COMMERCIAL_INDUSTRIAL_NET_CHARGE_OFFS_FDIC" hidden="1">"c6636"</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RECOVERIES_FDIC" hidden="1">"c6617"</definedName>
    <definedName name="IQ_COMMERCIAL_INDUSTRIAL_TOTAL_LOANS_FOREIGN_FDIC" hidden="1">"c6451"</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NSOLIDATED_NI_FOREIGN_FFIEC" hidden="1">"c15396"</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TIER_ONE_CAPITAL" hidden="1">"c15244"</definedName>
    <definedName name="IQ_CORE_TIER_ONE_CAPITAL_RATIO" hidden="1">"c15240"</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AGE_RATIO" hidden="1">"c15243"</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LINES_FDIC" hidden="1">"c6525"</definedName>
    <definedName name="IQ_CREDIT_CARD_LOANS_DOM_QUARTERLY_AVG_FFIEC" hidden="1">"c15480"</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FOREIGN_BANKS_FOREIGN_AGENCIES_FFIEC" hidden="1">"c15344"</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ROWTH_1" hidden="1">"c157"</definedName>
    <definedName name="IQ_EBIT_GROWTH_2" hidden="1">"c161"</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hidden="1">"c359"</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hidden="1">"c1369"</definedName>
    <definedName name="IQ_EBIT_SBC_ACT_OR_EST" hidden="1">"c4316"</definedName>
    <definedName name="IQ_EBIT_SBC_EST" hidden="1">"c4315"</definedName>
    <definedName name="IQ_EBIT_SBC_GUIDANCE" hidden="1">"c4317"</definedName>
    <definedName name="IQ_EBIT_SBC_GW_ACT_OR_EST" hidden="1">"c4320"</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OVER_TOTAL_IE" hidden="1">"c1370"</definedName>
    <definedName name="IQ_EBITDA_DET_EST_REUT_CURRENCY_CURRENCY_REUT" hidden="1">"c12529"</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ROWTH_1" hidden="1">"c156"</definedName>
    <definedName name="IQ_EBITDA_GROWTH_2" hidden="1">"c160"</definedName>
    <definedName name="IQ_EBITDA_GUIDANCE" hidden="1">"c4334"</definedName>
    <definedName name="IQ_EBITDA_HIGH_EST" hidden="1">"c370"</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REUT" hidden="1">"c3643"</definedName>
    <definedName name="IQ_EBITDA_LOW_GUIDANCE" hidden="1">"c4210"</definedName>
    <definedName name="IQ_EBITDA_MARGIN" hidden="1">"c372"</definedName>
    <definedName name="IQ_EBITDA_MEDIAN_EST" hidden="1">"c1663"</definedName>
    <definedName name="IQ_EBITDA_MEDIAN_EST_REUT" hidden="1">"c3641"</definedName>
    <definedName name="IQ_EBITDA_NO_EST" hidden="1">"c267"</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EST" hidden="1">"c4349"</definedName>
    <definedName name="IQ_EBT_SBC_GUIDANCE" hidden="1">"c4351"</definedName>
    <definedName name="IQ_EBT_SBC_GW_ACT_OR_EST" hidden="1">"c4354"</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LIMINATIONS_CONSOL_OFFICES_FOREIGN_FFIEC" hidden="1">"c15395"</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 hidden="1">"c5460"</definedName>
    <definedName name="IQ_EPS_EST" hidden="1">"c399"</definedName>
    <definedName name="IQ_EPS_EST_1" hidden="1">"IQ_EPS_EST_1"</definedName>
    <definedName name="IQ_EPS_EST_BOTTOM_UP" hidden="1">"c5489"</definedName>
    <definedName name="IQ_EPS_EST_BOTTOM_UP_REUT" hidden="1">"c5497"</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REUT" hidden="1">"c5469"</definedName>
    <definedName name="IQ_EPS_GW_DET_EST_REUT_CURRENCY_CURRENCY_REUT" hidden="1">"c12533"</definedName>
    <definedName name="IQ_EPS_GW_EST" hidden="1">"c1737"</definedName>
    <definedName name="IQ_EPS_GW_EST_BOTTOM_UP" hidden="1">"c5491"</definedName>
    <definedName name="IQ_EPS_GW_EST_BOTTOM_UP_REUT" hidden="1">"c5499"</definedName>
    <definedName name="IQ_EPS_GW_EST_REUT" hidden="1">"c5389"</definedName>
    <definedName name="IQ_EPS_GW_GUIDANCE" hidden="1">"c4372"</definedName>
    <definedName name="IQ_EPS_GW_HIGH_EST" hidden="1">"c1739"</definedName>
    <definedName name="IQ_EPS_GW_HIGH_EST_REUT" hidden="1">"c5391"</definedName>
    <definedName name="IQ_EPS_GW_HIGH_GUIDANCE" hidden="1">"c4373"</definedName>
    <definedName name="IQ_EPS_GW_LOW_EST" hidden="1">"c1740"</definedName>
    <definedName name="IQ_EPS_GW_LOW_EST_REUT" hidden="1">"c5392"</definedName>
    <definedName name="IQ_EPS_GW_LOW_GUIDANCE" hidden="1">"c4206"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_ACT_OR_EST" hidden="1">"c2224"</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 hidden="1">"c4375"</definedName>
    <definedName name="IQ_EPS_SBC_GUIDANCE" hidden="1">"c4377"</definedName>
    <definedName name="IQ_EPS_SBC_GW_ACT_OR_EST" hidden="1">"c4380"</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LIST" hidden="1">"c15158"</definedName>
    <definedName name="IQ_EQUITY_METHOD" hidden="1">"c404"</definedName>
    <definedName name="IQ_EQUITY_SECURITIES_FDIC" hidden="1">"c6304"</definedName>
    <definedName name="IQ_EQUITY_SECURITIES_QUARTERLY_AVG_FFIEC" hidden="1">"c15474"</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 hidden="1">"c3549"</definedName>
    <definedName name="IQ_EST_ACT_BV_SHARE_REUT" hidden="1">"c5445"</definedName>
    <definedName name="IQ_EST_ACT_BV_THOM" hidden="1">"c5153"</definedName>
    <definedName name="IQ_EST_ACT_CAPEX" hidden="1">"c3546"</definedName>
    <definedName name="IQ_EST_ACT_CAPEX_REUT" hidden="1">"c3975"</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FFO_SHARE_SHARE_REUT" hidden="1">"c3843"</definedName>
    <definedName name="IQ_EST_ACT_GROSS_MARGIN" hidden="1">"c5553"</definedName>
    <definedName name="IQ_EST_ACT_MAINT_CAPEX" hidden="1">"c4408"</definedName>
    <definedName name="IQ_EST_ACT_NAV" hidden="1">"c1757"</definedName>
    <definedName name="IQ_EST_ACT_NET_DEBT" hidden="1">"c3545"</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DIFF_REUT" hidden="1">"c5433"</definedName>
    <definedName name="IQ_EST_BV_DIFF_THOM" hidden="1">"c5204"</definedName>
    <definedName name="IQ_EST_BV_SHARE_DIFF" hidden="1">"c4147"</definedName>
    <definedName name="IQ_EST_BV_SHARE_SURPRISE_PERCENT" hidden="1">"c4148"</definedName>
    <definedName name="IQ_EST_BV_SURPRISE_PERCENT_REUT" hidden="1">"c5434"</definedName>
    <definedName name="IQ_EST_BV_SURPRISE_PERCENT_THOM" hidden="1">"c5205"</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 hidden="1">"c1635"</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HARE_DIFF_REUT" hidden="1">"c3890"</definedName>
    <definedName name="IQ_EST_FFO_SHARE_SHARE_SURPRISE_PERCENT_REUT" hidden="1">"c3891"</definedName>
    <definedName name="IQ_EST_FFO_SHARE_SURPRISE_PERCENT" hidden="1">"c4453"</definedName>
    <definedName name="IQ_EST_FFO_SURPRISE_PERCENT" hidden="1">"c1870"</definedName>
    <definedName name="IQ_EST_FFO_SURPRISE_PERCENT_REUT" hidden="1">"c3891"</definedName>
    <definedName name="IQ_EST_FOOTNOTE" hidden="1">"c4540"</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BUY_CIQ" hidden="1">"c3700"</definedName>
    <definedName name="IQ_EST_NUM_BUY_REUT" hidden="1">"c3869"</definedName>
    <definedName name="IQ_EST_NUM_BUY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NO_OPINION" hidden="1">"c1758"</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"019773000"</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_ITEMS_OTHER_ADJUSTMENTS_FOREIGN_FFIEC" hidden="1">"c15392"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FDIC" hidden="1">"c6343"</definedName>
    <definedName name="IQ_FED_FUNDS_SOLD_FDIC" hidden="1">"c6307"</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OTHER_INCOME" hidden="1">"c15257"</definedName>
    <definedName name="IQ_FFO" hidden="1">"c1574"</definedName>
    <definedName name="IQ_FFO_ACT_OR_EST" hidden="1">"c2216"</definedName>
    <definedName name="IQ_FFO_ADJ_ACT_OR_EST" hidden="1">"c4435"</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DET_EST" hidden="1">"c12059"</definedName>
    <definedName name="IQ_FFO_EST_DET_EST_CURRENCY" hidden="1">"c12466"</definedName>
    <definedName name="IQ_FFO_EST_DET_EST_CURRENCY_REUT" hidden="1">"c12536"</definedName>
    <definedName name="IQ_FFO_EST_DET_EST_DATE" hidden="1">"c12212"</definedName>
    <definedName name="IQ_FFO_EST_DET_EST_DATE_REUT" hidden="1">"c12295"</definedName>
    <definedName name="IQ_FFO_EST_DET_EST_INCL" hidden="1">"c12349"</definedName>
    <definedName name="IQ_FFO_EST_DET_EST_INCL_REUT" hidden="1">"c12419"</definedName>
    <definedName name="IQ_FFO_EST_DET_EST_ORIGIN_REUT" hidden="1">"c12724"</definedName>
    <definedName name="IQ_FFO_EST_DET_EST_REUT" hidden="1">"c12153"</definedName>
    <definedName name="IQ_FFO_EST_REUT" hidden="1">"c3837"</definedName>
    <definedName name="IQ_FFO_GUIDANCE" hidden="1">"c4443"</definedName>
    <definedName name="IQ_FFO_HIGH_EST" hidden="1">"c419"</definedName>
    <definedName name="IQ_FFO_HIGH_EST_REUT" hidden="1">"c3839"</definedName>
    <definedName name="IQ_FFO_HIGH_GUIDANCE" hidden="1">"c4184"</definedName>
    <definedName name="IQ_FFO_LOW_EST" hidden="1">"c420"</definedName>
    <definedName name="IQ_FFO_LOW_EST_REUT" hidden="1">"c3840"</definedName>
    <definedName name="IQ_FFO_LOW_GUIDANCE" hidden="1">"c4224"</definedName>
    <definedName name="IQ_FFO_MEDIAN_EST" hidden="1">"c1665"</definedName>
    <definedName name="IQ_FFO_MEDIAN_EST_REUT" hidden="1">"c3838"</definedName>
    <definedName name="IQ_FFO_NO_EST" hidden="1">"c276"</definedName>
    <definedName name="IQ_FFO_NUM_EST" hidden="1">"c421"</definedName>
    <definedName name="IQ_FFO_NUM_EST_REUT" hidden="1">"c3841"</definedName>
    <definedName name="IQ_FFO_PAYOUT_RATIO" hidden="1">"c3492"</definedName>
    <definedName name="IQ_FFO_SHARE_ACT_OR_EST" hidden="1">"c4446"</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DATE" hidden="1">"c12212"</definedName>
    <definedName name="IQ_FFO_SHARE_SHARE_EST_DET_EST_DATE_REUT" hidden="1">"c12295"</definedName>
    <definedName name="IQ_FFO_SHARE_SHARE_EST_DET_EST_INCL" hidden="1">"c12349"</definedName>
    <definedName name="IQ_FFO_SHARE_SHARE_EST_DET_EST_INCL_REUT" hidden="1">"c12419"</definedName>
    <definedName name="IQ_FFO_SHARE_SHARE_EST_DET_EST_ORIGIN_REUT" hidden="1">"c12724"</definedName>
    <definedName name="IQ_FFO_SHARE_SHARE_EST_DET_EST_REUT" hidden="1">"c12153"</definedName>
    <definedName name="IQ_FFO_SHARE_SHARE_EST_REUT" hidden="1">"c3837"</definedName>
    <definedName name="IQ_FFO_SHARE_SHARE_HIGH_EST_REUT" hidden="1">"c3839"</definedName>
    <definedName name="IQ_FFO_SHARE_SHARE_LOW_EST_REUT" hidden="1">"c3840"</definedName>
    <definedName name="IQ_FFO_SHARE_SHARE_MEDIAN_EST_REUT" hidden="1">"c3838"</definedName>
    <definedName name="IQ_FFO_SHARE_SHARE_NUM_EST_REUT" hidden="1">"c3841"</definedName>
    <definedName name="IQ_FFO_SHARE_SHARE_STDDEV_EST_REUT" hidden="1">"c3842"</definedName>
    <definedName name="IQ_FFO_SHARE_STDDEV_EST" hidden="1">"c4452"</definedName>
    <definedName name="IQ_FFO_STDDEV_EST" hidden="1">"c422"</definedName>
    <definedName name="IQ_FFO_STDDEV_EST_REUT" hidden="1">"c3842"</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OANS" hidden="1">"c448"</definedName>
    <definedName name="IQ_FQ" hidden="1">500</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NAV" hidden="1">"c15225"</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PAIR_OIL" hidden="1">"c547"</definedName>
    <definedName name="IQ_IMPAIRED_LOANS" hidden="1">"c15250"</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_FOREIGN_FFIEC" hidden="1">"c15391"</definedName>
    <definedName name="IQ_INCOME_TAXES_FDIC" hidden="1">"c6582"</definedName>
    <definedName name="IQ_INDEX_CURRENCY" hidden="1">"c15224"</definedName>
    <definedName name="IQ_INDEX_PROVIDED_DIVIDEND" hidden="1">"c19252"</definedName>
    <definedName name="IQ_INDEX_TYPE" hidden="1">"c15223"</definedName>
    <definedName name="IQ_INDEXCONSTITUENT_CLOSEPRICE" hidden="1">"c19241"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RE_LOANS_DOM_FFIEC" hidden="1">"c15353"</definedName>
    <definedName name="IQ_INT_FEE_INC_TAX_EXEMPT_OBLIGATIONS_DOM_FFIEC" hidden="1">"c15362"</definedName>
    <definedName name="IQ_INT_FEE_INC_TAXABLE_OBLIGATIONS_DOM_FFIEC" hidden="1">"c15361"</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AVINGS_DEPOSITS_MMDA_DOM_FFIEC" hidden="1">"c15364"</definedName>
    <definedName name="IQ_INT_SUB_NOTES_FDIC" hidden="1">"c6568"</definedName>
    <definedName name="IQ_INT_TRANSACTION_ACCOUNTS_DOM_FFIEC" hidden="1">"c15363"</definedName>
    <definedName name="IQ_INTANGIBLES_NET" hidden="1">"c1407"</definedName>
    <definedName name="IQ_INTEL_EPS_EST" hidden="1">"c24729"</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_PROVISION_FOREIGN_FFIEC" hidden="1">"c15382"</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ATURITY_ONE_YEAR_LESS_FDIC" hidden="1">"c6425"</definedName>
    <definedName name="IQ_MBS_QUARTERLY_AVG_FFIEC" hidden="1">"c15471"</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MDA_NON_TRANS_ACCTS_FFIEC" hidden="1">"c15330"</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FDIC" hidden="1">"c6335"</definedName>
    <definedName name="IQ_MTD" hidden="1">800000</definedName>
    <definedName name="IQ_MULTIFAMILY_RES_DOM_FFIEC" hidden="1">"c15270"</definedName>
    <definedName name="IQ_MULTIFAMILY_RESIDENTIAL_LOANS_FDIC" hidden="1">"c6311"</definedName>
    <definedName name="IQ_NAMES_REVISION_DATE_" localSheetId="1" hidden="1">41677.725474537</definedName>
    <definedName name="IQ_NAMES_REVISION_DATE_" hidden="1">42912.7543981482</definedName>
    <definedName name="IQ_NAMES_REVISION_DATE__" hidden="1">43558.745474537</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NONINTEREST_INC_EXP_INTERNATIONAL_OPS_FFIEC" hidden="1">"c15387"</definedName>
    <definedName name="IQ_NET_OPERATING_INCOME_ASSETS_FDIC" hidden="1">"c6729"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 hidden="1">"c1723"</definedName>
    <definedName name="IQ_NI_GW_EST_REUT" hidden="1">"c5375"</definedName>
    <definedName name="IQ_NI_GW_GUIDANCE" hidden="1">"c4471"</definedName>
    <definedName name="IQ_NI_GW_HIGH_EST" hidden="1">"c1725"</definedName>
    <definedName name="IQ_NI_GW_HIGH_EST_REUT" hidden="1">"c5377"</definedName>
    <definedName name="IQ_NI_GW_HIGH_GUIDANCE" hidden="1">"c4178"</definedName>
    <definedName name="IQ_NI_GW_LOW_EST" hidden="1">"c1726"</definedName>
    <definedName name="IQ_NI_GW_LOW_EST_REUT" hidden="1">"c5378"</definedName>
    <definedName name="IQ_NI_GW_LOW_GUIDANCE" hidden="1">"c4218"</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EST" hidden="1">"c4473"</definedName>
    <definedName name="IQ_NI_SBC_GUIDANCE" hidden="1">"c4475"</definedName>
    <definedName name="IQ_NI_SBC_GW_ACT_OR_EST" hidden="1">"c4478"</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FARM_NONRES_DOM_FFIEC" hidden="1">"c15271"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FOREIGN_FFIEC" hidden="1">"c15273"</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BORROWED_MONEY_FAIR_VALUE_TOT_FFIEC" hidden="1">"c15409"</definedName>
    <definedName name="IQ_OTHER_BORROWED_MONEY_LEVEL_1_FFIEC" hidden="1">"c15431"</definedName>
    <definedName name="IQ_OTHER_BORROWED_MONEY_LEVEL_2_FFIEC" hidden="1">"c15444"</definedName>
    <definedName name="IQ_OTHER_BORROWED_MONEY_LEVEL_3_FFIEC" hidden="1">"c15457"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URITIES_QUARTERLY_AVG_FFIEC" hidden="1">"c15473"</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INTEREST_INC_FOREIGN_FFIEC" hidden="1">"c15380"</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AVINGS_DEPOSITS_NON_TRANS_ACCTS_FFIEC" hidden="1">"c15331"</definedName>
    <definedName name="IQ_OTHER_SECURITIES_QUARTERLY_AVG_FFIEC" hidden="1">"c15472"</definedName>
    <definedName name="IQ_OTHER_STRIKE_PRICE_GRANTED" hidden="1">"c2692"</definedName>
    <definedName name="IQ_OTHER_TRADING_ASSETS_FAIR_VALUE_TOT_FFIEC" hidden="1">"c15404"</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LIABILITIES_FAIR_VALUE_TOT_FFIEC" hidden="1">"c15408"</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BV_FWD_CIQ" hidden="1">"c15236"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DAY" hidden="1">"c1822"</definedName>
    <definedName name="IQ_PERCENT_CHANGE_EST_FFO_DAY_CIQ" hidden="1">"c3764"</definedName>
    <definedName name="IQ_PERCENT_CHANGE_EST_FFO_DAY_REUT" hidden="1">"c3933"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SHARE_SHARE_12MONTHS" hidden="1">"c1828"</definedName>
    <definedName name="IQ_PERCENT_CHANGE_EST_FFO_SHARE_SHARE_12MONTHS_REUT" hidden="1">"c3938"</definedName>
    <definedName name="IQ_PERCENT_CHANGE_EST_FFO_SHARE_SHARE_18MONTHS" hidden="1">"c1829"</definedName>
    <definedName name="IQ_PERCENT_CHANGE_EST_FFO_SHARE_SHARE_18MONTHS_REUT" hidden="1">"c3939"</definedName>
    <definedName name="IQ_PERCENT_CHANGE_EST_FFO_SHARE_SHARE_3MONTHS" hidden="1">"c1825"</definedName>
    <definedName name="IQ_PERCENT_CHANGE_EST_FFO_SHARE_SHARE_3MONTHS_REUT" hidden="1">"c3935"</definedName>
    <definedName name="IQ_PERCENT_CHANGE_EST_FFO_SHARE_SHARE_6MONTHS" hidden="1">"c1826"</definedName>
    <definedName name="IQ_PERCENT_CHANGE_EST_FFO_SHARE_SHARE_6MONTHS_REUT" hidden="1">"c3936"</definedName>
    <definedName name="IQ_PERCENT_CHANGE_EST_FFO_SHARE_SHARE_9MONTHS" hidden="1">"c1827"</definedName>
    <definedName name="IQ_PERCENT_CHANGE_EST_FFO_SHARE_SHARE_9MONTHS_REUT" hidden="1">"c3937"</definedName>
    <definedName name="IQ_PERCENT_CHANGE_EST_FFO_SHARE_SHARE_DAY" hidden="1">"c1822"</definedName>
    <definedName name="IQ_PERCENT_CHANGE_EST_FFO_SHARE_SHARE_DAY_REUT" hidden="1">"c3933"</definedName>
    <definedName name="IQ_PERCENT_CHANGE_EST_FFO_SHARE_SHARE_MONTH" hidden="1">"c1824"</definedName>
    <definedName name="IQ_PERCENT_CHANGE_EST_FFO_SHARE_SHARE_MONTH_REUT" hidden="1">"c3934"</definedName>
    <definedName name="IQ_PERCENT_CHANGE_EST_FFO_SHARE_SHARE_WEEK" hidden="1">"c1823"</definedName>
    <definedName name="IQ_PERCENT_CHANGE_EST_FFO_SHARE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"c3965"</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DEPOSITS_FFIEC" hidden="1">"c15312"</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ICE_CFPS_FWD" hidden="1">"c2237"</definedName>
    <definedName name="IQ_PRICE_CFPS_FWD_REUT" hidden="1">"c4053"</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TARGET" hidden="1">"c82"</definedName>
    <definedName name="IQ_PRICE_TARGET_BOTTOM_UP" hidden="1">"c5486"</definedName>
    <definedName name="IQ_PRICE_TARGET_BOTTOM_UP_REUT" hidden="1">"c5494"</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DIC" hidden="1">"c6730"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DIC" hidden="1">"c6732"</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V" hidden="1">"c1122"</definedName>
    <definedName name="IQ_REV_BEFORE_LL" hidden="1">"c1123"</definedName>
    <definedName name="IQ_REV_BEFORE_LOAN_LOSS_FOREIGN_FFIEC" hidden="1">"c15381"</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REUT" hidden="1">"c5461"</definedName>
    <definedName name="IQ_REVENUE_EST" hidden="1">"c1126"</definedName>
    <definedName name="IQ_REVENUE_EST_1" hidden="1">"IQ_REVENUE_EST_1"</definedName>
    <definedName name="IQ_REVENUE_EST_BOTTOM_UP" hidden="1">"c5488"</definedName>
    <definedName name="IQ_REVENUE_EST_BOTTOM_UP_REUT" hidden="1">"c5496"</definedName>
    <definedName name="IQ_REVENUE_EST_REUT" hidden="1">"c3634"</definedName>
    <definedName name="IQ_REVENUE_GROWTH_1" hidden="1">"c155"</definedName>
    <definedName name="IQ_REVENUE_GROWTH_2" hidden="1">"c159"</definedName>
    <definedName name="IQ_REVENUE_GUIDANCE" hidden="1">"c4519"</definedName>
    <definedName name="IQ_REVENUE_HIGH_EST" hidden="1">"c1127"</definedName>
    <definedName name="IQ_REVENUE_HIGH_EST_REUT" hidden="1">"c3636"</definedName>
    <definedName name="IQ_REVENUE_HIGH_GUIDANCE" hidden="1">"c4169"</definedName>
    <definedName name="IQ_REVENUE_LOW_EST" hidden="1">"c1128"</definedName>
    <definedName name="IQ_REVENUE_LOW_EST_REUT" hidden="1">"c3637"</definedName>
    <definedName name="IQ_REVENUE_LOW_GUIDANCE" hidden="1">"c4209"</definedName>
    <definedName name="IQ_REVENUE_MEDIAN_EST" hidden="1">"c1662"</definedName>
    <definedName name="IQ_REVENUE_MEDIAN_EST_REUT" hidden="1">"c3635"</definedName>
    <definedName name="IQ_REVENUE_NO_EST" hidden="1">"c263"</definedName>
    <definedName name="IQ_REVENUE_NUM_EST" hidden="1">"c1129"</definedName>
    <definedName name="IQ_REVENUE_NUM_EST_REUT" hidden="1">"c3638"</definedName>
    <definedName name="IQ_REVISION_DATE_" hidden="1">38971.4766666667</definedName>
    <definedName name="IQ_REVOLVING_SECURED_1_4_NON_ACCRUAL_FFIEC" hidden="1">"c13314"</definedName>
    <definedName name="IQ_REVOLVING_SECURED_1_–4_NON_ACCRUAL_FFIEC" hidden="1">"c13314"</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DEPOSITS_NON_TRANS_ACCTS_FFIEC" hidden="1">"c15329"</definedName>
    <definedName name="IQ_SAVINGS_DEPOSITS_QUARTERLY_AVG_FFIEC" hidden="1">"c15485"</definedName>
    <definedName name="IQ_SEC_OTHER_NONFARM_NONRES_NON_ACCRUAL_FFIEC" hidden="1">"c15462"</definedName>
    <definedName name="IQ_SEC_OWNER_NONFARM_NONRES_NON_ACCRUAL_FFIEC" hidden="1">"c15461"</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STATE_POLI_SUBD_QUARTERLY_AVG_FFIEC" hidden="1">"c15470"</definedName>
    <definedName name="IQ_SECURITIES_UNDERWRITING_FDIC" hidden="1">"c6529"</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LEVEL_1_FFIEC" hidden="1">"c15432"</definedName>
    <definedName name="IQ_SUB_NOTES_DEBENTURES_LEVEL_2_FFIEC" hidden="1">"c15445"</definedName>
    <definedName name="IQ_SUB_NOTES_DEBENTURES_LEVEL_3_FFIEC" hidden="1">"c15458"</definedName>
    <definedName name="IQ_SURPLUS_FDIC" hidden="1">"c6351"</definedName>
    <definedName name="IQ_SVA" hidden="1">"c1214"</definedName>
    <definedName name="IQ_SYNTHETIC_STRUCTURED_PRODUCTS_AVAIL_SALE_FFIEC" hidden="1">"c15264"</definedName>
    <definedName name="IQ_SYNTHETIC_STRUCTURED_PRODUCTS_FFIEC" hidden="1">"c15261"</definedName>
    <definedName name="IQ_TARGET_PRICE_LASTCLOSE" hidden="1">"c1855"</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AIR_VALUE_TOT_FFIEC" hidden="1">"c15405"</definedName>
    <definedName name="IQ_TOTAL_ASSETS_FDIC" hidden="1">"c6339"</definedName>
    <definedName name="IQ_TOTAL_ASSETS_LEVEL_1_FFIEC" hidden="1">"c15427"</definedName>
    <definedName name="IQ_TOTAL_ASSETS_LEVEL_2_FFIEC" hidden="1">"c15440"</definedName>
    <definedName name="IQ_TOTAL_ASSETS_LEVEL_3_FFIEC" hidden="1">"c15453"</definedName>
    <definedName name="IQ_TOTAL_AVG_CE_TOTAL_AVG_ASSETS" hidden="1">"c1241"</definedName>
    <definedName name="IQ_TOTAL_AVG_EQUITY_TOTAL_AVG_ASSETS" hidden="1">"c1242"</definedName>
    <definedName name="IQ_TOTAL_BANK_CAPITAL" hidden="1">"c2668"</definedName>
    <definedName name="IQ_TOTAL_BROKERED_DEPOSIT_FFIEC" hidden="1">"c15304"</definedName>
    <definedName name="IQ_TOTAL_CA" hidden="1">"c1243"</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DOM_FFIEC" hidden="1">"c15313"</definedName>
    <definedName name="IQ_TOTAL_DEPOSITS_FDIC" hidden="1">"c6342"</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INCL_MINORITY_INTEREST_FFIEC" hidden="1">"c15278"</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AIR_VALUE_TOT_FFIEC" hidden="1">"c15411"</definedName>
    <definedName name="IQ_TOTAL_LIABILITIES_FDIC" hidden="1">"c6348"</definedName>
    <definedName name="IQ_TOTAL_LIABILITIES_LEVEL_1_FFIEC" hidden="1">"c15433"</definedName>
    <definedName name="IQ_TOTAL_LIABILITIES_LEVEL_2_FFIEC" hidden="1">"c15446"</definedName>
    <definedName name="IQ_TOTAL_LIABILITIES_LEVEL_3_FFIEC" hidden="1">"c15459"</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EVENUE_FOREIGN_FFIEC" hidden="1">"c15383"</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LIAB_FOREIGN_FFIEC" hidden="1">"c15296"</definedName>
    <definedName name="IQ_TOTAL_TRANS_ACCTS_FFIEC" hidden="1">"c15321"</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DING_REV_FOREIGN_FFIEC" hidden="1">"c15377"</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TREASURY_SECURITIES_FDIC" hidden="1">"c6298"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LOANS" hidden="1">"c15249"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1</definedName>
    <definedName name="IQB_BOOKMARK_LOCATION_0" hidden="1">#REF!</definedName>
    <definedName name="IQRA10" hidden="1">"$A$11:$A$262"</definedName>
    <definedName name="IQRA14" hidden="1">"$A$15:$A$99"</definedName>
    <definedName name="IQRA8" hidden="1">"$A$9:$A$763"</definedName>
    <definedName name="IQRA9" hidden="1">"$A$10:$A$46"</definedName>
    <definedName name="IQRAF17" hidden="1">"$AF$18:$AF$270"</definedName>
    <definedName name="IQRAP17" hidden="1">"$AP$18"</definedName>
    <definedName name="IQRAP89" hidden="1">"$AP$90"</definedName>
    <definedName name="IQRAQ17" hidden="1">"$AQ$18"</definedName>
    <definedName name="IQRAQ89" hidden="1">"$AQ$90"</definedName>
    <definedName name="IQRAR89" hidden="1">"$AR$90"</definedName>
    <definedName name="IQRAS17" hidden="1">"$AS$18:$AS$25"</definedName>
    <definedName name="IQRAS89" hidden="1">"$AS$90:$AS$93"</definedName>
    <definedName name="IQRAT17" hidden="1">"$AT$18:$AT$25"</definedName>
    <definedName name="IQRAT89" hidden="1">"$AT$90"</definedName>
    <definedName name="IQRAU17" hidden="1">"$AU$18"</definedName>
    <definedName name="IQRAV89" hidden="1">"$AV$90"</definedName>
    <definedName name="IQRAX89" hidden="1">"$AX$90"</definedName>
    <definedName name="IQRAZ17" hidden="1">"$AZ$18:$AZ$19"</definedName>
    <definedName name="IQRB11" hidden="1">"$B$12:$B$1616"</definedName>
    <definedName name="IQRB6" hidden="1">"$B$7:$B$258"</definedName>
    <definedName name="IQRB7" hidden="1">"$B$8:$B$103"</definedName>
    <definedName name="IQRB8" hidden="1">"$B$9:$B$262"</definedName>
    <definedName name="IQRBA17" hidden="1">"$BA$18"</definedName>
    <definedName name="IQRC8" hidden="1">"$C$9:$C$260"</definedName>
    <definedName name="IQRD32" hidden="1">"$D$33:$D$37"</definedName>
    <definedName name="IQRD33" hidden="1">"$D$34:$D$38"</definedName>
    <definedName name="IQRD34" hidden="1">"$D$35:$D$39"</definedName>
    <definedName name="IQRD35" hidden="1">"$D$36:$D$40"</definedName>
    <definedName name="IQRD36" hidden="1">"$D$37:$D$41"</definedName>
    <definedName name="IQRD37" hidden="1">"$D$38:$D$42"</definedName>
    <definedName name="IQRD38" hidden="1">"$D$39:$D$295"</definedName>
    <definedName name="IQRD39" hidden="1">"$D$40:$D$44"</definedName>
    <definedName name="IQRD40" hidden="1">"$D$41:$D$45"</definedName>
    <definedName name="IQRD41" hidden="1">"$D$42:$D$46"</definedName>
    <definedName name="IQRD42" hidden="1">"$D$43:$D$299"</definedName>
    <definedName name="IQRD43" hidden="1">"$D$44:$D$299"</definedName>
    <definedName name="IQRD44" hidden="1">"$D$45:$D$49"</definedName>
    <definedName name="IQRD45" hidden="1">"$D$46:$D$50"</definedName>
    <definedName name="IQRD46" hidden="1">"$D$47:$D$51"</definedName>
    <definedName name="IQRD48" hidden="1">"$D$49:$D$53"</definedName>
    <definedName name="IQRD49" hidden="1">"$D$50:$D$54"</definedName>
    <definedName name="IQRD50" hidden="1">"$D$51:$D$55"</definedName>
    <definedName name="IQRD51" hidden="1">"$D$52:$D$303"</definedName>
    <definedName name="IQRD52" hidden="1">"$D$53:$D$57"</definedName>
    <definedName name="IQRD53" hidden="1">"$D$54:$D$58"</definedName>
    <definedName name="IQRD54" hidden="1">"$D$55:$D$59"</definedName>
    <definedName name="IQRD55" hidden="1">"$D$56:$D$60"</definedName>
    <definedName name="IQRD56" hidden="1">"$D$57:$D$61"</definedName>
    <definedName name="IQRD57" hidden="1">"$D$58:$D$62"</definedName>
    <definedName name="IQRD58" hidden="1">"$D$59:$D$63"</definedName>
    <definedName name="IQRD59" hidden="1">"$D$60:$D$64"</definedName>
    <definedName name="IQRD60" hidden="1">"$D$61:$D$65"</definedName>
    <definedName name="IQRD61" hidden="1">"$D$62:$D$66"</definedName>
    <definedName name="IQRD62" hidden="1">"$D$63:$D$67"</definedName>
    <definedName name="IQRD63" hidden="1">"$D$64:$D$68"</definedName>
    <definedName name="IQRD64" hidden="1">"$D$65:$D$69"</definedName>
    <definedName name="IQRD65" hidden="1">"$D$66:$D$70"</definedName>
    <definedName name="IQRD66" hidden="1">"$D$67:$D$71"</definedName>
    <definedName name="IQRD67" hidden="1">"$D$68:$D$72"</definedName>
    <definedName name="IQRD68" hidden="1">"$D$69:$D$73"</definedName>
    <definedName name="IQRD69" hidden="1">"$D$70:$D$74"</definedName>
    <definedName name="IQRD70" hidden="1">"$D$71:$D$75"</definedName>
    <definedName name="IQRD71" hidden="1">"$D$72:$D$76"</definedName>
    <definedName name="IQRD72" hidden="1">"$D$73:$D$77"</definedName>
    <definedName name="IQRD73" hidden="1">"$D$74:$D$78"</definedName>
    <definedName name="IQRD74" hidden="1">"$D$75:$D$79"</definedName>
    <definedName name="IQRD75" hidden="1">"$D$76:$D$80"</definedName>
    <definedName name="IQRD76" hidden="1">"$D$77:$D$81"</definedName>
    <definedName name="IQRD77" hidden="1">"$D$78:$D$82"</definedName>
    <definedName name="IQRD78" hidden="1">"$D$79:$D$83"</definedName>
    <definedName name="IQRD79" hidden="1">"$D$80:$D$84"</definedName>
    <definedName name="IQRD80" hidden="1">"$D$81:$D$85"</definedName>
    <definedName name="IQRD81" hidden="1">"$D$82:$D$86"</definedName>
    <definedName name="IQRD82" hidden="1">"$D$83:$D$87"</definedName>
    <definedName name="IQRD83" hidden="1">"$D$84:$D$88"</definedName>
    <definedName name="IQRD84" hidden="1">"$D$85:$D$89"</definedName>
    <definedName name="IQRD85" hidden="1">"$D$86:$D$90"</definedName>
    <definedName name="IQRD86" hidden="1">"$D$87:$D$91"</definedName>
    <definedName name="IQRD87" hidden="1">"$D$88:$D$92"</definedName>
    <definedName name="IQRD88" hidden="1">"$D$89:$D$93"</definedName>
    <definedName name="IQRD89" hidden="1">"$D$90:$D$94"</definedName>
    <definedName name="IQRD90" hidden="1">"$D$91:$D$95"</definedName>
    <definedName name="IQRD91" hidden="1">"$D$92:$D$96"</definedName>
    <definedName name="IQRD92" hidden="1">"$D$93:$D$97"</definedName>
    <definedName name="IQRD93" hidden="1">"$D$94:$D$98"</definedName>
    <definedName name="IQRD94" hidden="1">"$D$95:$D$99"</definedName>
    <definedName name="IQRD95" hidden="1">"$D$96:$D$100"</definedName>
    <definedName name="IQRD96" hidden="1">"$D$97:$D$101"</definedName>
    <definedName name="IQRD97" hidden="1">"$D$98:$D$102"</definedName>
    <definedName name="IQRD98" hidden="1">"$D$99:$D$103"</definedName>
    <definedName name="IQRE10" hidden="1">"$E$11:$E$15"</definedName>
    <definedName name="IQRE11" hidden="1">"$E$12:$E$16"</definedName>
    <definedName name="IQRE12" hidden="1">"$E$13:$E$17"</definedName>
    <definedName name="IQRE13" hidden="1">"$E$14:$E$18"</definedName>
    <definedName name="IQRE14" hidden="1">"$E$15:$E$19"</definedName>
    <definedName name="IQRE15" hidden="1">"$E$16:$E$20"</definedName>
    <definedName name="IQRE16" hidden="1">"$E$17:$E$18"</definedName>
    <definedName name="IQRE7" hidden="1">"$E$8:$E$12"</definedName>
    <definedName name="IQRE8" hidden="1">"$E$9:$E$13"</definedName>
    <definedName name="IQRE9" hidden="1">"$E$10:$E$14"</definedName>
    <definedName name="IQRF12" hidden="1">"$F$13:$F$17"</definedName>
    <definedName name="IQRF13" hidden="1">"$F$14:$F$18"</definedName>
    <definedName name="IQRF14" hidden="1">"$F$15:$F$19"</definedName>
    <definedName name="IQRF15" hidden="1">"$F$16:$F$20"</definedName>
    <definedName name="IQRF16" hidden="1">"$F$17:$F$21"</definedName>
    <definedName name="IQRF17" hidden="1">"$F$18:$F$22"</definedName>
    <definedName name="IQRF18" hidden="1">"$F$19:$F$23"</definedName>
    <definedName name="IQRF19" hidden="1">"$F$20:$F$24"</definedName>
    <definedName name="IQRF20" hidden="1">"$F$21:$F$25"</definedName>
    <definedName name="IQRF21" hidden="1">"$F$22:$F$23"</definedName>
    <definedName name="IQRG26" hidden="1">"$G$27:$G$31"</definedName>
    <definedName name="IQRI2" hidden="1">"$I$3:$I$264"</definedName>
    <definedName name="IQRJ8" hidden="1">"$J$9:$J$260"</definedName>
    <definedName name="IQRK8" hidden="1">"$K$9:$K$261"</definedName>
    <definedName name="IQRM67" hidden="1">"$M$68:$M$320"</definedName>
    <definedName name="IQRM68" hidden="1">"$M$69:$M$321"</definedName>
    <definedName name="IQRM69" hidden="1">"$M$70:$M$322"</definedName>
    <definedName name="IQRM70" hidden="1">"$M$71:$M$323"</definedName>
    <definedName name="IQRO9" hidden="1">"$O$10"</definedName>
    <definedName name="IQRP9" hidden="1">"$P$10:$P$64"</definedName>
    <definedName name="IQRQ35" hidden="1">"$Q$36:$Q$227"</definedName>
    <definedName name="IQRR67" hidden="1">"$R$68:$R$320"</definedName>
    <definedName name="IQRS68" hidden="1">"$S$69:$S$321"</definedName>
    <definedName name="Jeep" localSheetId="1" hidden="1">{"overall",#N/A,FALSE,"Taylor";"Jul24Sum",#N/A,FALSE,"Finance";"Jul24COS",#N/A,FALSE,"Finance";"Jul24C3",#N/A,FALSE,"Finance";"jul24tax&amp;debtcalcs",#N/A,FALSE,"Finance";"jeepsum",#N/A,FALSE,"Finance";"taysum1",#N/A,FALSE,"Taylor";"BS",#N/A,FALSE,"Taylor";"backup",#N/A,FALSE,"Taylor";"jeepop",#N/A,FALSE,"Operating costs"}</definedName>
    <definedName name="Jeep" hidden="1">{"overall",#N/A,FALSE,"Taylor";"Jul24Sum",#N/A,FALSE,"Finance";"Jul24COS",#N/A,FALSE,"Finance";"Jul24C3",#N/A,FALSE,"Finance";"jul24tax&amp;debtcalcs",#N/A,FALSE,"Finance";"jeepsum",#N/A,FALSE,"Finance";"taysum1",#N/A,FALSE,"Taylor";"BS",#N/A,FALSE,"Taylor";"backup",#N/A,FALSE,"Taylor";"jeepop",#N/A,FALSE,"Operating costs"}</definedName>
    <definedName name="ListOffset" hidden="1">1</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_PlaceofPath" hidden="1">"F:\MREGAN\win\EXL\CO\HVAC\WLV\WLV_vdf.xls"</definedName>
    <definedName name="MLNK0c9445f2645d4a1093dbe137a2574261" hidden="1">#REF!</definedName>
    <definedName name="MLNK39324e12ea41496aa030b0a5d2cd4844" hidden="1">#REF!</definedName>
    <definedName name="MLNK430769720e454fd2a44b2e97b9b1d09e" hidden="1">#REF!</definedName>
    <definedName name="MLNK7c324a6d604349da9cf8ffb1c22b8c82" hidden="1">#REF!</definedName>
    <definedName name="MLNKc56fd6ce82704d1dae96810cfbcecb05" hidden="1">#REF!</definedName>
    <definedName name="MLNKce70daba1d3c440e94a6e8ebd0809296" hidden="1">#REF!</definedName>
    <definedName name="MLNKd7ea5fc1d5ba4187aae5345e775f20ab" hidden="1">#REF!</definedName>
    <definedName name="MLNKde3e725730d44f498290c34986afa042" hidden="1">#REF!</definedName>
    <definedName name="MLNKe67864e4353e4c1687a89fc2aa54e040" hidden="1">#REF!</definedName>
    <definedName name="MLNKff48372a8aa1404baba3a00b1f000f31" hidden="1">#REF!</definedName>
    <definedName name="oldkey1" hidden="1">#REF!</definedName>
    <definedName name="oldsort" hidden="1">#REF!</definedName>
    <definedName name="P11P12P13" hidden="1">#REF!</definedName>
    <definedName name="PriceRange" hidden="1">#N/A</definedName>
    <definedName name="PriceRangeMain" hidden="1">#REF!</definedName>
    <definedName name="_xlnm.Print_Area" localSheetId="1">'Financials from CIP'!$A$2:$G$82</definedName>
    <definedName name="_xlnm.Print_Area" localSheetId="2">'Step 1'!$A$1:$M$77</definedName>
    <definedName name="_xlnm.Print_Area" localSheetId="3">'Step 1 Answer Key'!$A$1:$M$77</definedName>
    <definedName name="_xlnm.Print_Area" localSheetId="4">'Step 2'!$A$1:$M$90</definedName>
    <definedName name="_xlnm.Print_Area" localSheetId="5">'Step 2 Answer Key'!$A$1:$M$90</definedName>
    <definedName name="_xlnm.Print_Area" localSheetId="6">'Step 3'!$A$1:$M$90</definedName>
    <definedName name="_xlnm.Print_Area" localSheetId="7">'Step 3 Answer Key'!$A$1:$M$90</definedName>
    <definedName name="_xlnm.Print_Area" localSheetId="8">'Step 4'!$A$1:$M$90</definedName>
    <definedName name="_xlnm.Print_Area" localSheetId="9">'Step 4 Answer Key'!$A$1:$M$90</definedName>
    <definedName name="_xlnm.Print_Area" localSheetId="10">'Step 5'!$A$1:$M$90</definedName>
    <definedName name="_xlnm.Print_Area" localSheetId="11">'Step 5 Answer Key'!$A$1:$M$90</definedName>
    <definedName name="_xlnm.Print_Area" localSheetId="12">'Step 6'!$A$1:$M$90</definedName>
    <definedName name="_xlnm.Print_Area" localSheetId="13">'Step 6 Answer Key'!$A$1:$M$90</definedName>
    <definedName name="_xlnm.Print_Area" localSheetId="14">'Step 7'!$A$1:$M$90</definedName>
    <definedName name="_xlnm.Print_Area" localSheetId="15">'Step 7 Answer Key'!$A$1:$M$90</definedName>
    <definedName name="_xlnm.Print_Area" localSheetId="16">'Step 8'!$A$1:$M$90</definedName>
    <definedName name="REP7P01" hidden="1">#REF!</definedName>
    <definedName name="REP7P02" hidden="1">#REF!</definedName>
    <definedName name="REP7P03" hidden="1">#REF!</definedName>
    <definedName name="ReportGroup" hidden="1">6</definedName>
    <definedName name="SAPBEXdnldView" hidden="1">"48D4APZ6RE52FPA89IW8VMM22"</definedName>
    <definedName name="SAPBEXrevision" hidden="1">1</definedName>
    <definedName name="SAPBEXsysID" hidden="1">"BWP"</definedName>
    <definedName name="SAPBEXwbID" hidden="1">"3MIIGAE7VHTLTPJLQTSR9TQD9"</definedName>
    <definedName name="sencount" hidden="1">2</definedName>
    <definedName name="solver_adj" hidden="1">#REF!</definedName>
    <definedName name="solver_lhs1" hidden="1">#REF!</definedName>
    <definedName name="solver_lin" hidden="1">0</definedName>
    <definedName name="solver_num" hidden="1">1</definedName>
    <definedName name="solver_opt" hidden="1">#REF!</definedName>
    <definedName name="solver_rel1" hidden="1">1</definedName>
    <definedName name="solver_rhs1" hidden="1">0.15</definedName>
    <definedName name="solver_tmp" hidden="1">0.15</definedName>
    <definedName name="solver_typ" hidden="1">3</definedName>
    <definedName name="solver_val" hidden="1">0.25</definedName>
    <definedName name="SuppressPressed" hidden="1">FALSE</definedName>
    <definedName name="TextRefCopyRangeCount" hidden="1">13</definedName>
    <definedName name="Val" hidden="1">39273.5911689815</definedName>
    <definedName name="VersionNumber" hidden="1">"4.8.6710"</definedName>
    <definedName name="VI7_AxisOffset" localSheetId="2" hidden="1">_xll.ContributionAxisOffset(#REF!,#REF!,#REF!,0)</definedName>
    <definedName name="VI7_AxisOffset" localSheetId="3" hidden="1">_xll.ContributionAxisOffset(#REF!,#REF!,#REF!,0)</definedName>
    <definedName name="VI7_AxisOffset" localSheetId="4" hidden="1">_xll.ContributionAxisOffset(#REF!,#REF!,#REF!,0)</definedName>
    <definedName name="VI7_AxisOffset" localSheetId="5" hidden="1">_xll.ContributionAxisOffset(#REF!,#REF!,#REF!,0)</definedName>
    <definedName name="VI7_AxisOffset" localSheetId="6" hidden="1">_xll.ContributionAxisOffset(#REF!,#REF!,#REF!,0)</definedName>
    <definedName name="VI7_AxisOffset" localSheetId="7" hidden="1">_xll.ContributionAxisOffset(#REF!,#REF!,#REF!,0)</definedName>
    <definedName name="VI7_AxisOffset" localSheetId="8" hidden="1">_xll.ContributionAxisOffset(#REF!,#REF!,#REF!,0)</definedName>
    <definedName name="VI7_AxisOffset" localSheetId="9" hidden="1">_xll.ContributionAxisOffset(#REF!,#REF!,#REF!,0)</definedName>
    <definedName name="VI7_AxisOffset" localSheetId="10" hidden="1">_xll.ContributionAxisOffset(#REF!,#REF!,#REF!,0)</definedName>
    <definedName name="VI7_AxisOffset" localSheetId="11" hidden="1">_xll.ContributionAxisOffset(#REF!,#REF!,#REF!,0)</definedName>
    <definedName name="VI7_AxisOffset" localSheetId="12" hidden="1">_xll.ContributionAxisOffset(#REF!,#REF!,#REF!,0)</definedName>
    <definedName name="VI7_AxisOffset" localSheetId="13" hidden="1">_xll.ContributionAxisOffset(#REF!,#REF!,#REF!,0)</definedName>
    <definedName name="VI7_AxisOffset" localSheetId="14" hidden="1">_xll.ContributionAxisOffset(#REF!,#REF!,#REF!,0)</definedName>
    <definedName name="VI7_AxisOffset" localSheetId="15" hidden="1">_xll.ContributionAxisOffset(#REF!,#REF!,#REF!,0)</definedName>
    <definedName name="VI7_AxisOffset" localSheetId="16" hidden="1">_xll.ContributionAxisOffset(#REF!,#REF!,#REF!,0)</definedName>
    <definedName name="VI7_AxisOffset" hidden="1">_xll.ContributionAxisOffset(#REF!,#REF!,#REF!,0)</definedName>
    <definedName name="VI7_BaseColumn" hidden="1">"#NA"</definedName>
    <definedName name="VI7_CategoriesClass1" hidden="1">#REF!</definedName>
    <definedName name="VI7_CategoriesColumn" hidden="1">#REF!</definedName>
    <definedName name="VI7_ComparisonColumn1" hidden="1">#REF!</definedName>
    <definedName name="VI7_Cumulative" localSheetId="2" hidden="1">_xll.ContributionCumulative(#REF!,#REF!,#REF!)</definedName>
    <definedName name="VI7_Cumulative" localSheetId="3" hidden="1">_xll.ContributionCumulative(#REF!,#REF!,#REF!)</definedName>
    <definedName name="VI7_Cumulative" localSheetId="4" hidden="1">_xll.ContributionCumulative(#REF!,#REF!,#REF!)</definedName>
    <definedName name="VI7_Cumulative" localSheetId="5" hidden="1">_xll.ContributionCumulative(#REF!,#REF!,#REF!)</definedName>
    <definedName name="VI7_Cumulative" localSheetId="6" hidden="1">_xll.ContributionCumulative(#REF!,#REF!,#REF!)</definedName>
    <definedName name="VI7_Cumulative" localSheetId="7" hidden="1">_xll.ContributionCumulative(#REF!,#REF!,#REF!)</definedName>
    <definedName name="VI7_Cumulative" localSheetId="8" hidden="1">_xll.ContributionCumulative(#REF!,#REF!,#REF!)</definedName>
    <definedName name="VI7_Cumulative" localSheetId="9" hidden="1">_xll.ContributionCumulative(#REF!,#REF!,#REF!)</definedName>
    <definedName name="VI7_Cumulative" localSheetId="10" hidden="1">_xll.ContributionCumulative(#REF!,#REF!,#REF!)</definedName>
    <definedName name="VI7_Cumulative" localSheetId="11" hidden="1">_xll.ContributionCumulative(#REF!,#REF!,#REF!)</definedName>
    <definedName name="VI7_Cumulative" localSheetId="12" hidden="1">_xll.ContributionCumulative(#REF!,#REF!,#REF!)</definedName>
    <definedName name="VI7_Cumulative" localSheetId="13" hidden="1">_xll.ContributionCumulative(#REF!,#REF!,#REF!)</definedName>
    <definedName name="VI7_Cumulative" localSheetId="14" hidden="1">_xll.ContributionCumulative(#REF!,#REF!,#REF!)</definedName>
    <definedName name="VI7_Cumulative" localSheetId="15" hidden="1">_xll.ContributionCumulative(#REF!,#REF!,#REF!)</definedName>
    <definedName name="VI7_Cumulative" localSheetId="16" hidden="1">_xll.ContributionCumulative(#REF!,#REF!,#REF!)</definedName>
    <definedName name="VI7_Cumulative" hidden="1">_xll.ContributionCumulative(#REF!,#REF!,#REF!)</definedName>
    <definedName name="VI7_Difference1CalculatedIndex1" localSheetId="2" hidden="1">_xll.DifferenceCalculatedIndex(#REF!,#REF!,#REF!,#REF!)</definedName>
    <definedName name="VI7_Difference1CalculatedIndex1" localSheetId="3" hidden="1">_xll.DifferenceCalculatedIndex(#REF!,#REF!,#REF!,#REF!)</definedName>
    <definedName name="VI7_Difference1CalculatedIndex1" localSheetId="4" hidden="1">_xll.DifferenceCalculatedIndex(#REF!,#REF!,#REF!,#REF!)</definedName>
    <definedName name="VI7_Difference1CalculatedIndex1" localSheetId="5" hidden="1">_xll.DifferenceCalculatedIndex(#REF!,#REF!,#REF!,#REF!)</definedName>
    <definedName name="VI7_Difference1CalculatedIndex1" localSheetId="6" hidden="1">_xll.DifferenceCalculatedIndex(#REF!,#REF!,#REF!,#REF!)</definedName>
    <definedName name="VI7_Difference1CalculatedIndex1" localSheetId="7" hidden="1">_xll.DifferenceCalculatedIndex(#REF!,#REF!,#REF!,#REF!)</definedName>
    <definedName name="VI7_Difference1CalculatedIndex1" localSheetId="8" hidden="1">_xll.DifferenceCalculatedIndex(#REF!,#REF!,#REF!,#REF!)</definedName>
    <definedName name="VI7_Difference1CalculatedIndex1" localSheetId="9" hidden="1">_xll.DifferenceCalculatedIndex(#REF!,#REF!,#REF!,#REF!)</definedName>
    <definedName name="VI7_Difference1CalculatedIndex1" localSheetId="10" hidden="1">_xll.DifferenceCalculatedIndex(#REF!,#REF!,#REF!,#REF!)</definedName>
    <definedName name="VI7_Difference1CalculatedIndex1" localSheetId="11" hidden="1">_xll.DifferenceCalculatedIndex(#REF!,#REF!,#REF!,#REF!)</definedName>
    <definedName name="VI7_Difference1CalculatedIndex1" localSheetId="12" hidden="1">_xll.DifferenceCalculatedIndex(#REF!,#REF!,#REF!,#REF!)</definedName>
    <definedName name="VI7_Difference1CalculatedIndex1" localSheetId="13" hidden="1">_xll.DifferenceCalculatedIndex(#REF!,#REF!,#REF!,#REF!)</definedName>
    <definedName name="VI7_Difference1CalculatedIndex1" localSheetId="14" hidden="1">_xll.DifferenceCalculatedIndex(#REF!,#REF!,#REF!,#REF!)</definedName>
    <definedName name="VI7_Difference1CalculatedIndex1" localSheetId="15" hidden="1">_xll.DifferenceCalculatedIndex(#REF!,#REF!,#REF!,#REF!)</definedName>
    <definedName name="VI7_Difference1CalculatedIndex1" localSheetId="16" hidden="1">_xll.DifferenceCalculatedIndex(#REF!,#REF!,#REF!,#REF!)</definedName>
    <definedName name="VI7_Difference1CalculatedIndex1" hidden="1">_xll.DifferenceCalculatedIndex(#REF!,#REF!,#REF!,#REF!)</definedName>
    <definedName name="VI7_Difference1CalculatedIndex2" localSheetId="2" hidden="1">_xll.DifferenceCalculatedIndex(#REF!,#REF!,#REF!,#REF!)</definedName>
    <definedName name="VI7_Difference1CalculatedIndex2" localSheetId="3" hidden="1">_xll.DifferenceCalculatedIndex(#REF!,#REF!,#REF!,#REF!)</definedName>
    <definedName name="VI7_Difference1CalculatedIndex2" localSheetId="4" hidden="1">_xll.DifferenceCalculatedIndex(#REF!,#REF!,#REF!,#REF!)</definedName>
    <definedName name="VI7_Difference1CalculatedIndex2" localSheetId="5" hidden="1">_xll.DifferenceCalculatedIndex(#REF!,#REF!,#REF!,#REF!)</definedName>
    <definedName name="VI7_Difference1CalculatedIndex2" localSheetId="6" hidden="1">_xll.DifferenceCalculatedIndex(#REF!,#REF!,#REF!,#REF!)</definedName>
    <definedName name="VI7_Difference1CalculatedIndex2" localSheetId="7" hidden="1">_xll.DifferenceCalculatedIndex(#REF!,#REF!,#REF!,#REF!)</definedName>
    <definedName name="VI7_Difference1CalculatedIndex2" localSheetId="8" hidden="1">_xll.DifferenceCalculatedIndex(#REF!,#REF!,#REF!,#REF!)</definedName>
    <definedName name="VI7_Difference1CalculatedIndex2" localSheetId="9" hidden="1">_xll.DifferenceCalculatedIndex(#REF!,#REF!,#REF!,#REF!)</definedName>
    <definedName name="VI7_Difference1CalculatedIndex2" localSheetId="10" hidden="1">_xll.DifferenceCalculatedIndex(#REF!,#REF!,#REF!,#REF!)</definedName>
    <definedName name="VI7_Difference1CalculatedIndex2" localSheetId="11" hidden="1">_xll.DifferenceCalculatedIndex(#REF!,#REF!,#REF!,#REF!)</definedName>
    <definedName name="VI7_Difference1CalculatedIndex2" localSheetId="12" hidden="1">_xll.DifferenceCalculatedIndex(#REF!,#REF!,#REF!,#REF!)</definedName>
    <definedName name="VI7_Difference1CalculatedIndex2" localSheetId="13" hidden="1">_xll.DifferenceCalculatedIndex(#REF!,#REF!,#REF!,#REF!)</definedName>
    <definedName name="VI7_Difference1CalculatedIndex2" localSheetId="14" hidden="1">_xll.DifferenceCalculatedIndex(#REF!,#REF!,#REF!,#REF!)</definedName>
    <definedName name="VI7_Difference1CalculatedIndex2" localSheetId="15" hidden="1">_xll.DifferenceCalculatedIndex(#REF!,#REF!,#REF!,#REF!)</definedName>
    <definedName name="VI7_Difference1CalculatedIndex2" localSheetId="16" hidden="1">_xll.DifferenceCalculatedIndex(#REF!,#REF!,#REF!,#REF!)</definedName>
    <definedName name="VI7_Difference1CalculatedIndex2" hidden="1">_xll.DifferenceCalculatedIndex(#REF!,#REF!,#REF!,#REF!)</definedName>
    <definedName name="VI7_Difference1Category1" hidden="1">"FY16"</definedName>
    <definedName name="VI7_Difference1Category2" hidden="1">"FY17"</definedName>
    <definedName name="VI7_Difference1Index1" hidden="1">1</definedName>
    <definedName name="VI7_Difference1Index2" hidden="1">1</definedName>
    <definedName name="VI7_Difference1LabelY1" localSheetId="2" hidden="1">_xll.ContributionDifferenceY(#REF!,#REF!,0,0,0)</definedName>
    <definedName name="VI7_Difference1LabelY1" localSheetId="3" hidden="1">_xll.ContributionDifferenceY(#REF!,#REF!,0,0,0)</definedName>
    <definedName name="VI7_Difference1LabelY1" localSheetId="4" hidden="1">_xll.ContributionDifferenceY(#REF!,#REF!,0,0,0)</definedName>
    <definedName name="VI7_Difference1LabelY1" localSheetId="5" hidden="1">_xll.ContributionDifferenceY(#REF!,#REF!,0,0,0)</definedName>
    <definedName name="VI7_Difference1LabelY1" localSheetId="6" hidden="1">_xll.ContributionDifferenceY(#REF!,#REF!,0,0,0)</definedName>
    <definedName name="VI7_Difference1LabelY1" localSheetId="7" hidden="1">_xll.ContributionDifferenceY(#REF!,#REF!,0,0,0)</definedName>
    <definedName name="VI7_Difference1LabelY1" localSheetId="8" hidden="1">_xll.ContributionDifferenceY(#REF!,#REF!,0,0,0)</definedName>
    <definedName name="VI7_Difference1LabelY1" localSheetId="9" hidden="1">_xll.ContributionDifferenceY(#REF!,#REF!,0,0,0)</definedName>
    <definedName name="VI7_Difference1LabelY1" localSheetId="10" hidden="1">_xll.ContributionDifferenceY(#REF!,#REF!,0,0,0)</definedName>
    <definedName name="VI7_Difference1LabelY1" localSheetId="11" hidden="1">_xll.ContributionDifferenceY(#REF!,#REF!,0,0,0)</definedName>
    <definedName name="VI7_Difference1LabelY1" localSheetId="12" hidden="1">_xll.ContributionDifferenceY(#REF!,#REF!,0,0,0)</definedName>
    <definedName name="VI7_Difference1LabelY1" localSheetId="13" hidden="1">_xll.ContributionDifferenceY(#REF!,#REF!,0,0,0)</definedName>
    <definedName name="VI7_Difference1LabelY1" localSheetId="14" hidden="1">_xll.ContributionDifferenceY(#REF!,#REF!,0,0,0)</definedName>
    <definedName name="VI7_Difference1LabelY1" localSheetId="15" hidden="1">_xll.ContributionDifferenceY(#REF!,#REF!,0,0,0)</definedName>
    <definedName name="VI7_Difference1LabelY1" localSheetId="16" hidden="1">_xll.ContributionDifferenceY(#REF!,#REF!,0,0,0)</definedName>
    <definedName name="VI7_Difference1LabelY1" hidden="1">_xll.ContributionDifferenceY(#REF!,#REF!,0,0,0)</definedName>
    <definedName name="VI7_Difference1LabelY2" localSheetId="2" hidden="1">_xll.ContributionDifferenceY(#REF!,#REF!,0,0,0)</definedName>
    <definedName name="VI7_Difference1LabelY2" localSheetId="3" hidden="1">_xll.ContributionDifferenceY(#REF!,#REF!,0,0,0)</definedName>
    <definedName name="VI7_Difference1LabelY2" localSheetId="4" hidden="1">_xll.ContributionDifferenceY(#REF!,#REF!,0,0,0)</definedName>
    <definedName name="VI7_Difference1LabelY2" localSheetId="5" hidden="1">_xll.ContributionDifferenceY(#REF!,#REF!,0,0,0)</definedName>
    <definedName name="VI7_Difference1LabelY2" localSheetId="6" hidden="1">_xll.ContributionDifferenceY(#REF!,#REF!,0,0,0)</definedName>
    <definedName name="VI7_Difference1LabelY2" localSheetId="7" hidden="1">_xll.ContributionDifferenceY(#REF!,#REF!,0,0,0)</definedName>
    <definedName name="VI7_Difference1LabelY2" localSheetId="8" hidden="1">_xll.ContributionDifferenceY(#REF!,#REF!,0,0,0)</definedName>
    <definedName name="VI7_Difference1LabelY2" localSheetId="9" hidden="1">_xll.ContributionDifferenceY(#REF!,#REF!,0,0,0)</definedName>
    <definedName name="VI7_Difference1LabelY2" localSheetId="10" hidden="1">_xll.ContributionDifferenceY(#REF!,#REF!,0,0,0)</definedName>
    <definedName name="VI7_Difference1LabelY2" localSheetId="11" hidden="1">_xll.ContributionDifferenceY(#REF!,#REF!,0,0,0)</definedName>
    <definedName name="VI7_Difference1LabelY2" localSheetId="12" hidden="1">_xll.ContributionDifferenceY(#REF!,#REF!,0,0,0)</definedName>
    <definedName name="VI7_Difference1LabelY2" localSheetId="13" hidden="1">_xll.ContributionDifferenceY(#REF!,#REF!,0,0,0)</definedName>
    <definedName name="VI7_Difference1LabelY2" localSheetId="14" hidden="1">_xll.ContributionDifferenceY(#REF!,#REF!,0,0,0)</definedName>
    <definedName name="VI7_Difference1LabelY2" localSheetId="15" hidden="1">_xll.ContributionDifferenceY(#REF!,#REF!,0,0,0)</definedName>
    <definedName name="VI7_Difference1LabelY2" localSheetId="16" hidden="1">_xll.ContributionDifferenceY(#REF!,#REF!,0,0,0)</definedName>
    <definedName name="VI7_Difference1LabelY2" hidden="1">_xll.ContributionDifferenceY(#REF!,#REF!,0,0,0)</definedName>
    <definedName name="VI7_LabelOffsetMax" localSheetId="2" hidden="1">_xll.LabelOffset(#REF!,#REF!,204,10,"$#,##0.0",1,0,0)</definedName>
    <definedName name="VI7_LabelOffsetMax" localSheetId="3" hidden="1">_xll.LabelOffset(#REF!,#REF!,204,10,"$#,##0.0",1,0,0)</definedName>
    <definedName name="VI7_LabelOffsetMax" localSheetId="4" hidden="1">_xll.LabelOffset(#REF!,#REF!,204,10,"$#,##0.0",1,0,0)</definedName>
    <definedName name="VI7_LabelOffsetMax" localSheetId="5" hidden="1">_xll.LabelOffset(#REF!,#REF!,204,10,"$#,##0.0",1,0,0)</definedName>
    <definedName name="VI7_LabelOffsetMax" localSheetId="6" hidden="1">_xll.LabelOffset(#REF!,#REF!,204,10,"$#,##0.0",1,0,0)</definedName>
    <definedName name="VI7_LabelOffsetMax" localSheetId="7" hidden="1">_xll.LabelOffset(#REF!,#REF!,204,10,"$#,##0.0",1,0,0)</definedName>
    <definedName name="VI7_LabelOffsetMax" localSheetId="8" hidden="1">_xll.LabelOffset(#REF!,#REF!,204,10,"$#,##0.0",1,0,0)</definedName>
    <definedName name="VI7_LabelOffsetMax" localSheetId="9" hidden="1">_xll.LabelOffset(#REF!,#REF!,204,10,"$#,##0.0",1,0,0)</definedName>
    <definedName name="VI7_LabelOffsetMax" localSheetId="10" hidden="1">_xll.LabelOffset(#REF!,#REF!,204,10,"$#,##0.0",1,0,0)</definedName>
    <definedName name="VI7_LabelOffsetMax" localSheetId="11" hidden="1">_xll.LabelOffset(#REF!,#REF!,204,10,"$#,##0.0",1,0,0)</definedName>
    <definedName name="VI7_LabelOffsetMax" localSheetId="12" hidden="1">_xll.LabelOffset(#REF!,#REF!,204,10,"$#,##0.0",1,0,0)</definedName>
    <definedName name="VI7_LabelOffsetMax" localSheetId="13" hidden="1">_xll.LabelOffset(#REF!,#REF!,204,10,"$#,##0.0",1,0,0)</definedName>
    <definedName name="VI7_LabelOffsetMax" localSheetId="14" hidden="1">_xll.LabelOffset(#REF!,#REF!,204,10,"$#,##0.0",1,0,0)</definedName>
    <definedName name="VI7_LabelOffsetMax" localSheetId="15" hidden="1">_xll.LabelOffset(#REF!,#REF!,204,10,"$#,##0.0",1,0,0)</definedName>
    <definedName name="VI7_LabelOffsetMax" localSheetId="16" hidden="1">_xll.LabelOffset(#REF!,#REF!,204,10,"$#,##0.0",1,0,0)</definedName>
    <definedName name="VI7_LabelOffsetMax" hidden="1">_xll.LabelOffset(#REF!,#REF!,204,10,"$#,##0.0",1,0,0)</definedName>
    <definedName name="VI7_LabelOffsetMin" localSheetId="2" hidden="1">_xll.LabelOffset(#REF!,#REF!,204,10,"$#,##0.0",0,0,0)</definedName>
    <definedName name="VI7_LabelOffsetMin" localSheetId="3" hidden="1">_xll.LabelOffset(#REF!,#REF!,204,10,"$#,##0.0",0,0,0)</definedName>
    <definedName name="VI7_LabelOffsetMin" localSheetId="4" hidden="1">_xll.LabelOffset(#REF!,#REF!,204,10,"$#,##0.0",0,0,0)</definedName>
    <definedName name="VI7_LabelOffsetMin" localSheetId="5" hidden="1">_xll.LabelOffset(#REF!,#REF!,204,10,"$#,##0.0",0,0,0)</definedName>
    <definedName name="VI7_LabelOffsetMin" localSheetId="6" hidden="1">_xll.LabelOffset(#REF!,#REF!,204,10,"$#,##0.0",0,0,0)</definedName>
    <definedName name="VI7_LabelOffsetMin" localSheetId="7" hidden="1">_xll.LabelOffset(#REF!,#REF!,204,10,"$#,##0.0",0,0,0)</definedName>
    <definedName name="VI7_LabelOffsetMin" localSheetId="8" hidden="1">_xll.LabelOffset(#REF!,#REF!,204,10,"$#,##0.0",0,0,0)</definedName>
    <definedName name="VI7_LabelOffsetMin" localSheetId="9" hidden="1">_xll.LabelOffset(#REF!,#REF!,204,10,"$#,##0.0",0,0,0)</definedName>
    <definedName name="VI7_LabelOffsetMin" localSheetId="10" hidden="1">_xll.LabelOffset(#REF!,#REF!,204,10,"$#,##0.0",0,0,0)</definedName>
    <definedName name="VI7_LabelOffsetMin" localSheetId="11" hidden="1">_xll.LabelOffset(#REF!,#REF!,204,10,"$#,##0.0",0,0,0)</definedName>
    <definedName name="VI7_LabelOffsetMin" localSheetId="12" hidden="1">_xll.LabelOffset(#REF!,#REF!,204,10,"$#,##0.0",0,0,0)</definedName>
    <definedName name="VI7_LabelOffsetMin" localSheetId="13" hidden="1">_xll.LabelOffset(#REF!,#REF!,204,10,"$#,##0.0",0,0,0)</definedName>
    <definedName name="VI7_LabelOffsetMin" localSheetId="14" hidden="1">_xll.LabelOffset(#REF!,#REF!,204,10,"$#,##0.0",0,0,0)</definedName>
    <definedName name="VI7_LabelOffsetMin" localSheetId="15" hidden="1">_xll.LabelOffset(#REF!,#REF!,204,10,"$#,##0.0",0,0,0)</definedName>
    <definedName name="VI7_LabelOffsetMin" localSheetId="16" hidden="1">_xll.LabelOffset(#REF!,#REF!,204,10,"$#,##0.0",0,0,0)</definedName>
    <definedName name="VI7_LabelOffsetMin" hidden="1">_xll.LabelOffset(#REF!,#REF!,204,10,"$#,##0.0",0,0,0)</definedName>
    <definedName name="VI7_Max" localSheetId="2" hidden="1">_xll.MaxFromSeriesWithBreak(#REF!,#REF!,0)</definedName>
    <definedName name="VI7_Max" localSheetId="3" hidden="1">_xll.MaxFromSeriesWithBreak(#REF!,#REF!,0)</definedName>
    <definedName name="VI7_Max" localSheetId="4" hidden="1">_xll.MaxFromSeriesWithBreak(#REF!,#REF!,0)</definedName>
    <definedName name="VI7_Max" localSheetId="5" hidden="1">_xll.MaxFromSeriesWithBreak(#REF!,#REF!,0)</definedName>
    <definedName name="VI7_Max" localSheetId="6" hidden="1">_xll.MaxFromSeriesWithBreak(#REF!,#REF!,0)</definedName>
    <definedName name="VI7_Max" localSheetId="7" hidden="1">_xll.MaxFromSeriesWithBreak(#REF!,#REF!,0)</definedName>
    <definedName name="VI7_Max" localSheetId="8" hidden="1">_xll.MaxFromSeriesWithBreak(#REF!,#REF!,0)</definedName>
    <definedName name="VI7_Max" localSheetId="9" hidden="1">_xll.MaxFromSeriesWithBreak(#REF!,#REF!,0)</definedName>
    <definedName name="VI7_Max" localSheetId="10" hidden="1">_xll.MaxFromSeriesWithBreak(#REF!,#REF!,0)</definedName>
    <definedName name="VI7_Max" localSheetId="11" hidden="1">_xll.MaxFromSeriesWithBreak(#REF!,#REF!,0)</definedName>
    <definedName name="VI7_Max" localSheetId="12" hidden="1">_xll.MaxFromSeriesWithBreak(#REF!,#REF!,0)</definedName>
    <definedName name="VI7_Max" localSheetId="13" hidden="1">_xll.MaxFromSeriesWithBreak(#REF!,#REF!,0)</definedName>
    <definedName name="VI7_Max" localSheetId="14" hidden="1">_xll.MaxFromSeriesWithBreak(#REF!,#REF!,0)</definedName>
    <definedName name="VI7_Max" localSheetId="15" hidden="1">_xll.MaxFromSeriesWithBreak(#REF!,#REF!,0)</definedName>
    <definedName name="VI7_Max" localSheetId="16" hidden="1">_xll.MaxFromSeriesWithBreak(#REF!,#REF!,0)</definedName>
    <definedName name="VI7_Max" hidden="1">_xll.MaxFromSeriesWithBreak(#REF!,#REF!,0)</definedName>
    <definedName name="VI7_Min" localSheetId="2" hidden="1">_xll.MinFromSeries(#REF!)</definedName>
    <definedName name="VI7_Min" localSheetId="3" hidden="1">_xll.MinFromSeries(#REF!)</definedName>
    <definedName name="VI7_Min" localSheetId="4" hidden="1">_xll.MinFromSeries(#REF!)</definedName>
    <definedName name="VI7_Min" localSheetId="5" hidden="1">_xll.MinFromSeries(#REF!)</definedName>
    <definedName name="VI7_Min" localSheetId="6" hidden="1">_xll.MinFromSeries(#REF!)</definedName>
    <definedName name="VI7_Min" localSheetId="7" hidden="1">_xll.MinFromSeries(#REF!)</definedName>
    <definedName name="VI7_Min" localSheetId="8" hidden="1">_xll.MinFromSeries(#REF!)</definedName>
    <definedName name="VI7_Min" localSheetId="9" hidden="1">_xll.MinFromSeries(#REF!)</definedName>
    <definedName name="VI7_Min" localSheetId="10" hidden="1">_xll.MinFromSeries(#REF!)</definedName>
    <definedName name="VI7_Min" localSheetId="11" hidden="1">_xll.MinFromSeries(#REF!)</definedName>
    <definedName name="VI7_Min" localSheetId="12" hidden="1">_xll.MinFromSeries(#REF!)</definedName>
    <definedName name="VI7_Min" localSheetId="13" hidden="1">_xll.MinFromSeries(#REF!)</definedName>
    <definedName name="VI7_Min" localSheetId="14" hidden="1">_xll.MinFromSeries(#REF!)</definedName>
    <definedName name="VI7_Min" localSheetId="15" hidden="1">_xll.MinFromSeries(#REF!)</definedName>
    <definedName name="VI7_Min" localSheetId="16" hidden="1">_xll.MinFromSeries(#REF!)</definedName>
    <definedName name="VI7_Min" hidden="1">_xll.MinFromSeries(#REF!)</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pple." hidden="1">{#N/A,#N/A,FALSE,"Quarterlies";#N/A,#N/A,FALSE,"Annual";#N/A,#N/A,FALSE,"Balance";#N/A,#N/A,FALSE,"Cash Flow";#N/A,#N/A,FALSE,"Store Openings";#N/A,#N/A,FALSE,"Comps"}</definedName>
    <definedName name="wrn.Cracker." hidden="1">{#N/A,#N/A,FALSE,"Quarts";#N/A,#N/A,FALSE,"Annual";#N/A,#N/A,FALSE,"Balance";#N/A,#N/A,FALSE,"Cash Flow";#N/A,#N/A,FALSE,"Comps";#N/A,#N/A,FALSE,"Stores"}</definedName>
    <definedName name="wrn.Darden." hidden="1">{#N/A,#N/A,FALSE,"Annual";#N/A,#N/A,FALSE,"Balance";#N/A,#N/A,FALSE,"Stores"}</definedName>
    <definedName name="wrn.IND." hidden="1">{#N/A,#N/A,FALSE,"Cover 1";#N/A,#N/A,FALSE,"APPB";#N/A,#N/A,FALSE,"BOBE";#N/A,#N/A,FALSE,"EAT";#N/A,#N/A,FALSE,"CBRL";#N/A,#N/A,FALSE,"DRI";#N/A,#N/A,FALSE,"MCD";#N/A,#N/A,FALSE,"RI";#N/A,#N/A,FALSE,"WEN"}</definedName>
    <definedName name="wrn.jeep." localSheetId="1" hidden="1">{"taysum1",#N/A,FALSE,"Taylor";"jeepsum1",#N/A,FALSE,"Finance";"BS",#N/A,FALSE,"Taylor";"Tay",#N/A,FALSE,"Taylor";"ConsolLoan",#N/A,FALSE,"Taylor";"Jeep1",#N/A,FALSE,"Finance";"Jeep2",#N/A,FALSE,"Finance";"jeep3",#N/A,FALSE,"Finance";"jeep4",#N/A,FALSE,"Finance";"Jeepprod",#N/A,FALSE,"Production";"jeepop",#N/A,FALSE,"Operating costs"}</definedName>
    <definedName name="wrn.jeep." hidden="1">{"taysum1",#N/A,FALSE,"Taylor";"jeepsum1",#N/A,FALSE,"Finance";"BS",#N/A,FALSE,"Taylor";"Tay",#N/A,FALSE,"Taylor";"ConsolLoan",#N/A,FALSE,"Taylor";"Jeep1",#N/A,FALSE,"Finance";"Jeep2",#N/A,FALSE,"Finance";"jeep3",#N/A,FALSE,"Finance";"jeep4",#N/A,FALSE,"Finance";"Jeepprod",#N/A,FALSE,"Production";"jeepop",#N/A,FALSE,"Operating costs"}</definedName>
    <definedName name="wrn.jeepJul24." localSheetId="1" hidden="1">{"overall",#N/A,FALSE,"Taylor";"Jul24Sum",#N/A,FALSE,"Finance";"Jul24COS",#N/A,FALSE,"Finance";"Jul24C3",#N/A,FALSE,"Finance";"jul24tax&amp;debtcalcs",#N/A,FALSE,"Finance";"jeepsum",#N/A,FALSE,"Finance";"taysum1",#N/A,FALSE,"Taylor";"BS",#N/A,FALSE,"Taylor";"backup",#N/A,FALSE,"Taylor";"jeepop",#N/A,FALSE,"Operating costs"}</definedName>
    <definedName name="wrn.jeepJul24." hidden="1">{"overall",#N/A,FALSE,"Taylor";"Jul24Sum",#N/A,FALSE,"Finance";"Jul24COS",#N/A,FALSE,"Finance";"Jul24C3",#N/A,FALSE,"Finance";"jul24tax&amp;debtcalcs",#N/A,FALSE,"Finance";"jeepsum",#N/A,FALSE,"Finance";"taysum1",#N/A,FALSE,"Taylor";"BS",#N/A,FALSE,"Taylor";"backup",#N/A,FALSE,"Taylor";"jeepop",#N/A,FALSE,"Operating costs"}</definedName>
    <definedName name="wrn.Morrison." hidden="1">{#N/A,#N/A,FALSE,"Quarts";#N/A,#N/A,FALSE,"Annual";#N/A,#N/A,FALSE,"Balance";#N/A,#N/A,FALSE,"Cash Flow";#N/A,#N/A,FALSE,"Store Openings"}</definedName>
    <definedName name="wrn.Wendy." hidden="1">{#N/A,#N/A,FALSE,"Quarts";#N/A,#N/A,FALSE,"Annual";#N/A,#N/A,FALSE,"Cash Flow";#N/A,#N/A,FALSE,"Dividends";#N/A,#N/A,FALSE,"Stats"}</definedName>
    <definedName name="xdif_ActivateOnOpen" hidden="1">TRUE</definedName>
    <definedName name="xdif_AutomationClearCache" hidden="1">TRUE</definedName>
    <definedName name="xdif_AutomationCreateFolderStructure" hidden="1">FALSE</definedName>
    <definedName name="xdif_AutomationDropFormulas" hidden="1">"DropIncludingOtherWorkbookFormulas"</definedName>
    <definedName name="xdif_AutomationEmailSubject" hidden="1">"Automated workbook email from SmartView"</definedName>
    <definedName name="xdif_AutomationIgnoreHiddenRows" hidden="1">TRUE</definedName>
    <definedName name="xdif_AutomationMode" hidden="1">"AutomationSheet"</definedName>
    <definedName name="xdif_AutomationProtection" hidden="1">FALSE</definedName>
    <definedName name="xdif_AutomationRange" hidden="1">#REF!</definedName>
    <definedName name="xdif_AutomationSuppressZeros" hidden="1">TRUE</definedName>
    <definedName name="xdif_AutomationType01" hidden="1">"MultipleSheets"</definedName>
    <definedName name="xdif_AutomationType02" hidden="1">"SingleSheet"</definedName>
    <definedName name="xdif_AutomationUpdateLists" hidden="1">FALSE</definedName>
    <definedName name="xdif_RefreshIncludeLists" hidden="1">FALSE</definedName>
    <definedName name="xdif_RefreshOnOpen" hidden="1">FALSE</definedName>
    <definedName name="xdif_SheetToAutomate01" hidden="1">#REF!</definedName>
    <definedName name="xdif_SheetToAutomate02" hidden="1">#REF!</definedName>
    <definedName name="xdifExcludeHiddenBudgetUpload" hidden="1">TRUE</definedName>
    <definedName name="xdifSelectedSheetsBudgetUpload" localSheetId="1" hidden="1">{"BK Brand Summary"}</definedName>
    <definedName name="xdifSelectedSheetsBudgetUpload" hidden="1">{"BK Brand Summary"}</definedName>
    <definedName name="xjey1" hidden="1">#REF!</definedName>
    <definedName name="XREF_COLUMN_1" hidden="1">#REF!</definedName>
    <definedName name="XREF_COLUMN_12" hidden="1">#REF!</definedName>
    <definedName name="XREF_COLUMN_13" hidden="1">#REF!</definedName>
    <definedName name="XREF_COLUMN_2" hidden="1">#REF!</definedName>
    <definedName name="XREF_COLUMN_22" hidden="1">#REF!</definedName>
    <definedName name="XREF_COLUMN_3" hidden="1">#REF!</definedName>
    <definedName name="XREF_COLUMN_4" hidden="1">#REF!</definedName>
    <definedName name="XRefActiveRow" hidden="1">#REF!</definedName>
    <definedName name="XRefColumnsCount" hidden="1">1</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8" hidden="1">#REF!</definedName>
    <definedName name="XRefCopy8Row" hidden="1">#REF!</definedName>
    <definedName name="XRefCopy9" hidden="1">#REF!</definedName>
    <definedName name="XRefCopy9Row" hidden="1">#REF!</definedName>
    <definedName name="XRefCopyRangeCount" hidden="1">1</definedName>
    <definedName name="XRefPaste1" hidden="1">#REF!</definedName>
    <definedName name="XRefPaste12Row" hidden="1">#REF!</definedName>
    <definedName name="XRefPaste17Row" hidden="1">#REF!</definedName>
    <definedName name="XRefPaste18"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11</definedName>
    <definedName name="xsort2" hidden="1">#REF!</definedName>
    <definedName name="xxxxxx" localSheetId="1" hidden="1">{"taysum1",#N/A,FALSE,"Taylor";"jeepsum1",#N/A,FALSE,"Finance";"BS",#N/A,FALSE,"Taylor";"Tay",#N/A,FALSE,"Taylor";"ConsolLoan",#N/A,FALSE,"Taylor";"Jeep1",#N/A,FALSE,"Finance";"Jeep2",#N/A,FALSE,"Finance";"jeep3",#N/A,FALSE,"Finance";"jeep4",#N/A,FALSE,"Finance";"Jeepprod",#N/A,FALSE,"Production";"jeepop",#N/A,FALSE,"Operating costs"}</definedName>
    <definedName name="xxxxxx" hidden="1">{"taysum1",#N/A,FALSE,"Taylor";"jeepsum1",#N/A,FALSE,"Finance";"BS",#N/A,FALSE,"Taylor";"Tay",#N/A,FALSE,"Taylor";"ConsolLoan",#N/A,FALSE,"Taylor";"Jeep1",#N/A,FALSE,"Finance";"Jeep2",#N/A,FALSE,"Finance";"jeep3",#N/A,FALSE,"Finance";"jeep4",#N/A,FALSE,"Finance";"Jeepprod",#N/A,FALSE,"Production";"jeepop",#N/A,FALSE,"Operating costs"}</definedName>
    <definedName name="yyyyyy" localSheetId="1" hidden="1">{"overall",#N/A,FALSE,"Taylor";"Jul24Sum",#N/A,FALSE,"Finance";"Jul24COS",#N/A,FALSE,"Finance";"Jul24C3",#N/A,FALSE,"Finance";"jul24tax&amp;debtcalcs",#N/A,FALSE,"Finance";"jeepsum",#N/A,FALSE,"Finance";"taysum1",#N/A,FALSE,"Taylor";"BS",#N/A,FALSE,"Taylor";"backup",#N/A,FALSE,"Taylor";"jeepop",#N/A,FALSE,"Operating costs"}</definedName>
    <definedName name="yyyyyy" hidden="1">{"overall",#N/A,FALSE,"Taylor";"Jul24Sum",#N/A,FALSE,"Finance";"Jul24COS",#N/A,FALSE,"Finance";"Jul24C3",#N/A,FALSE,"Finance";"jul24tax&amp;debtcalcs",#N/A,FALSE,"Finance";"jeepsum",#N/A,FALSE,"Finance";"taysum1",#N/A,FALSE,"Taylor";"BS",#N/A,FALSE,"Taylor";"backup",#N/A,FALSE,"Taylor";"jeepop",#N/A,FALSE,"Operating costs"}</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7" i="17" l="1"/>
  <c r="J268" i="17"/>
  <c r="J267" i="17"/>
  <c r="C260" i="17"/>
  <c r="C249" i="17"/>
  <c r="C212" i="17" s="1"/>
  <c r="C222" i="17" s="1"/>
  <c r="G247" i="17"/>
  <c r="G259" i="17" s="1"/>
  <c r="H244" i="17"/>
  <c r="C243" i="17"/>
  <c r="C237" i="17"/>
  <c r="C228" i="17"/>
  <c r="C267" i="17" s="1"/>
  <c r="C278" i="17" s="1"/>
  <c r="G201" i="17"/>
  <c r="D187" i="17"/>
  <c r="G187" i="17" s="1"/>
  <c r="H187" i="17" s="1"/>
  <c r="C187" i="17"/>
  <c r="F137" i="17"/>
  <c r="C137" i="17"/>
  <c r="C136" i="17"/>
  <c r="C135" i="17"/>
  <c r="C132" i="17"/>
  <c r="C131" i="17"/>
  <c r="C130" i="17"/>
  <c r="G126" i="17"/>
  <c r="C116" i="17"/>
  <c r="C115" i="17"/>
  <c r="C114" i="17"/>
  <c r="H96" i="17"/>
  <c r="G96" i="17"/>
  <c r="G86" i="17"/>
  <c r="F86" i="17"/>
  <c r="G85" i="17"/>
  <c r="H85" i="17" s="1"/>
  <c r="I85" i="17" s="1"/>
  <c r="J85" i="17" s="1"/>
  <c r="K85" i="17" s="1"/>
  <c r="L85" i="17" s="1"/>
  <c r="F85" i="17"/>
  <c r="G83" i="17"/>
  <c r="H83" i="17" s="1"/>
  <c r="I83" i="17" s="1"/>
  <c r="J83" i="17" s="1"/>
  <c r="K83" i="17" s="1"/>
  <c r="L83" i="17" s="1"/>
  <c r="F83" i="17"/>
  <c r="G81" i="17"/>
  <c r="G253" i="17" s="1"/>
  <c r="G260" i="17" s="1"/>
  <c r="F81" i="17"/>
  <c r="F82" i="17" s="1"/>
  <c r="G80" i="17"/>
  <c r="F80" i="17"/>
  <c r="G79" i="17"/>
  <c r="G241" i="17" s="1"/>
  <c r="F79" i="17"/>
  <c r="G78" i="17"/>
  <c r="F78" i="17"/>
  <c r="G76" i="17"/>
  <c r="G137" i="17" s="1"/>
  <c r="F76" i="17"/>
  <c r="G75" i="17"/>
  <c r="G136" i="17" s="1"/>
  <c r="F75" i="17"/>
  <c r="F136" i="17" s="1"/>
  <c r="G74" i="17"/>
  <c r="F74" i="17"/>
  <c r="F135" i="17" s="1"/>
  <c r="G69" i="17"/>
  <c r="F69" i="17"/>
  <c r="G67" i="17"/>
  <c r="F67" i="17"/>
  <c r="G63" i="17"/>
  <c r="G132" i="17" s="1"/>
  <c r="F63" i="17"/>
  <c r="F132" i="17" s="1"/>
  <c r="G62" i="17"/>
  <c r="G131" i="17" s="1"/>
  <c r="F62" i="17"/>
  <c r="F131" i="17" s="1"/>
  <c r="G61" i="17"/>
  <c r="G130" i="17" s="1"/>
  <c r="F61" i="17"/>
  <c r="F130" i="17" s="1"/>
  <c r="G60" i="17"/>
  <c r="F60" i="17"/>
  <c r="F168" i="17" s="1"/>
  <c r="G56" i="17"/>
  <c r="F56" i="17" s="1"/>
  <c r="G36" i="17"/>
  <c r="G32" i="17"/>
  <c r="F32" i="17"/>
  <c r="G30" i="17"/>
  <c r="F30" i="17"/>
  <c r="L29" i="17"/>
  <c r="K29" i="17"/>
  <c r="J29" i="17"/>
  <c r="I29" i="17"/>
  <c r="H29" i="17"/>
  <c r="G29" i="17"/>
  <c r="F29" i="17"/>
  <c r="C28" i="17"/>
  <c r="C27" i="17"/>
  <c r="C26" i="17"/>
  <c r="G21" i="17"/>
  <c r="H21" i="17" s="1"/>
  <c r="F21" i="17"/>
  <c r="G20" i="17"/>
  <c r="F187" i="17" s="1"/>
  <c r="F20" i="17"/>
  <c r="G17" i="17"/>
  <c r="G147" i="17" s="1"/>
  <c r="F17" i="17"/>
  <c r="F147" i="17" s="1"/>
  <c r="G14" i="17"/>
  <c r="F14" i="17"/>
  <c r="F146" i="17" s="1"/>
  <c r="H11" i="17"/>
  <c r="F11" i="17"/>
  <c r="J268" i="16"/>
  <c r="J267" i="16"/>
  <c r="C260" i="16"/>
  <c r="G247" i="16"/>
  <c r="G259" i="16" s="1"/>
  <c r="C243" i="16"/>
  <c r="H238" i="16"/>
  <c r="C237" i="16"/>
  <c r="G232" i="16"/>
  <c r="H229" i="16" s="1"/>
  <c r="C228" i="16"/>
  <c r="C267" i="16" s="1"/>
  <c r="H201" i="16"/>
  <c r="G201" i="16"/>
  <c r="F201" i="16"/>
  <c r="D187" i="16"/>
  <c r="G187" i="16" s="1"/>
  <c r="H187" i="16" s="1"/>
  <c r="I187" i="16" s="1"/>
  <c r="C187" i="16"/>
  <c r="H185" i="16"/>
  <c r="C188" i="16" s="1"/>
  <c r="C137" i="16"/>
  <c r="C136" i="16"/>
  <c r="C135" i="16"/>
  <c r="F132" i="16"/>
  <c r="C132" i="16"/>
  <c r="C131" i="16"/>
  <c r="C130" i="16"/>
  <c r="J126" i="16"/>
  <c r="I126" i="16"/>
  <c r="H126" i="16"/>
  <c r="G126" i="16"/>
  <c r="F126" i="16"/>
  <c r="C116" i="16"/>
  <c r="C249" i="16" s="1"/>
  <c r="C115" i="16"/>
  <c r="C114" i="16"/>
  <c r="I96" i="16"/>
  <c r="H96" i="16"/>
  <c r="G96" i="16"/>
  <c r="F96" i="16"/>
  <c r="G86" i="16"/>
  <c r="F86" i="16"/>
  <c r="G85" i="16"/>
  <c r="F85" i="16"/>
  <c r="G83" i="16"/>
  <c r="H83" i="16" s="1"/>
  <c r="I83" i="16" s="1"/>
  <c r="J83" i="16" s="1"/>
  <c r="K83" i="16" s="1"/>
  <c r="L83" i="16" s="1"/>
  <c r="F83" i="16"/>
  <c r="G81" i="16"/>
  <c r="G253" i="16" s="1"/>
  <c r="F81" i="16"/>
  <c r="G80" i="16"/>
  <c r="F80" i="16"/>
  <c r="G79" i="16"/>
  <c r="G241" i="16" s="1"/>
  <c r="F79" i="16"/>
  <c r="G78" i="16"/>
  <c r="F78" i="16"/>
  <c r="G76" i="16"/>
  <c r="G137" i="16" s="1"/>
  <c r="F76" i="16"/>
  <c r="F137" i="16" s="1"/>
  <c r="G75" i="16"/>
  <c r="F75" i="16"/>
  <c r="F136" i="16" s="1"/>
  <c r="G74" i="16"/>
  <c r="G135" i="16" s="1"/>
  <c r="F74" i="16"/>
  <c r="G69" i="16"/>
  <c r="F69" i="16"/>
  <c r="G67" i="16"/>
  <c r="F67" i="16"/>
  <c r="G63" i="16"/>
  <c r="G132" i="16" s="1"/>
  <c r="F63" i="16"/>
  <c r="G62" i="16"/>
  <c r="G131" i="16" s="1"/>
  <c r="F62" i="16"/>
  <c r="F131" i="16" s="1"/>
  <c r="G61" i="16"/>
  <c r="G130" i="16" s="1"/>
  <c r="F61" i="16"/>
  <c r="F130" i="16" s="1"/>
  <c r="G60" i="16"/>
  <c r="H203" i="16" s="1"/>
  <c r="H205" i="16" s="1"/>
  <c r="F60" i="16"/>
  <c r="J56" i="16"/>
  <c r="G56" i="16"/>
  <c r="F56" i="16" s="1"/>
  <c r="G36" i="16"/>
  <c r="G32" i="16"/>
  <c r="F32" i="16"/>
  <c r="G30" i="16"/>
  <c r="F30" i="16"/>
  <c r="L29" i="16"/>
  <c r="K29" i="16"/>
  <c r="J29" i="16"/>
  <c r="I29" i="16"/>
  <c r="H29" i="16"/>
  <c r="G29" i="16"/>
  <c r="F29" i="16"/>
  <c r="C28" i="16"/>
  <c r="C27" i="16"/>
  <c r="C26" i="16"/>
  <c r="G21" i="16"/>
  <c r="F21" i="16"/>
  <c r="G20" i="16"/>
  <c r="F187" i="16" s="1"/>
  <c r="F20" i="16"/>
  <c r="G17" i="16"/>
  <c r="F17" i="16"/>
  <c r="G14" i="16"/>
  <c r="G146" i="16" s="1"/>
  <c r="G153" i="16" s="1"/>
  <c r="F14" i="16"/>
  <c r="F146" i="16" s="1"/>
  <c r="J11" i="16"/>
  <c r="I11" i="16"/>
  <c r="H11" i="16"/>
  <c r="H56" i="16" s="1"/>
  <c r="F11" i="16"/>
  <c r="J268" i="15"/>
  <c r="C268" i="15"/>
  <c r="J267" i="15"/>
  <c r="C267" i="15"/>
  <c r="C258" i="15"/>
  <c r="C249" i="15"/>
  <c r="C243" i="15"/>
  <c r="C237" i="15"/>
  <c r="C228" i="15"/>
  <c r="C220" i="15"/>
  <c r="C210" i="15"/>
  <c r="H201" i="15"/>
  <c r="G201" i="15"/>
  <c r="F201" i="15"/>
  <c r="F187" i="15"/>
  <c r="D187" i="15"/>
  <c r="G187" i="15" s="1"/>
  <c r="H187" i="15" s="1"/>
  <c r="C187" i="15"/>
  <c r="C137" i="15"/>
  <c r="G136" i="15"/>
  <c r="F136" i="15"/>
  <c r="C136" i="15"/>
  <c r="C135" i="15"/>
  <c r="F132" i="15"/>
  <c r="C132" i="15"/>
  <c r="G131" i="15"/>
  <c r="C131" i="15"/>
  <c r="C130" i="15"/>
  <c r="G126" i="15"/>
  <c r="F126" i="15"/>
  <c r="L117" i="15"/>
  <c r="K117" i="15"/>
  <c r="J117" i="15"/>
  <c r="I117" i="15"/>
  <c r="H117" i="15"/>
  <c r="C116" i="15"/>
  <c r="C115" i="15"/>
  <c r="C114" i="15"/>
  <c r="H96" i="15"/>
  <c r="G96" i="15"/>
  <c r="F96" i="15"/>
  <c r="G86" i="15"/>
  <c r="F86" i="15"/>
  <c r="H85" i="15"/>
  <c r="I85" i="15" s="1"/>
  <c r="J85" i="15" s="1"/>
  <c r="K85" i="15" s="1"/>
  <c r="L85" i="15" s="1"/>
  <c r="G85" i="15"/>
  <c r="F85" i="15"/>
  <c r="H83" i="15"/>
  <c r="I83" i="15" s="1"/>
  <c r="J83" i="15" s="1"/>
  <c r="K83" i="15" s="1"/>
  <c r="L83" i="15" s="1"/>
  <c r="G83" i="15"/>
  <c r="F83" i="15"/>
  <c r="G81" i="15"/>
  <c r="G253" i="15" s="1"/>
  <c r="F81" i="15"/>
  <c r="G80" i="15"/>
  <c r="G247" i="15" s="1"/>
  <c r="F80" i="15"/>
  <c r="G79" i="15"/>
  <c r="G241" i="15" s="1"/>
  <c r="G258" i="15" s="1"/>
  <c r="F79" i="15"/>
  <c r="G78" i="15"/>
  <c r="G232" i="15" s="1"/>
  <c r="F78" i="15"/>
  <c r="G76" i="15"/>
  <c r="G137" i="15" s="1"/>
  <c r="F76" i="15"/>
  <c r="F137" i="15" s="1"/>
  <c r="G75" i="15"/>
  <c r="F75" i="15"/>
  <c r="G74" i="15"/>
  <c r="F74" i="15"/>
  <c r="G69" i="15"/>
  <c r="H21" i="15" s="1"/>
  <c r="F69" i="15"/>
  <c r="G67" i="15"/>
  <c r="F67" i="15"/>
  <c r="G63" i="15"/>
  <c r="G132" i="15" s="1"/>
  <c r="F63" i="15"/>
  <c r="G62" i="15"/>
  <c r="G64" i="15" s="1"/>
  <c r="F62" i="15"/>
  <c r="F131" i="15" s="1"/>
  <c r="G61" i="15"/>
  <c r="G130" i="15" s="1"/>
  <c r="F61" i="15"/>
  <c r="G60" i="15"/>
  <c r="F60" i="15"/>
  <c r="F168" i="15" s="1"/>
  <c r="H56" i="15"/>
  <c r="G56" i="15"/>
  <c r="F56" i="15"/>
  <c r="G36" i="15"/>
  <c r="G32" i="15"/>
  <c r="F32" i="15"/>
  <c r="G30" i="15"/>
  <c r="F30" i="15"/>
  <c r="L29" i="15"/>
  <c r="K29" i="15"/>
  <c r="J29" i="15"/>
  <c r="I29" i="15"/>
  <c r="H29" i="15"/>
  <c r="G29" i="15"/>
  <c r="F29" i="15"/>
  <c r="C28" i="15"/>
  <c r="C27" i="15"/>
  <c r="C26" i="15"/>
  <c r="G21" i="15"/>
  <c r="F21" i="15"/>
  <c r="G20" i="15"/>
  <c r="F20" i="15"/>
  <c r="G17" i="15"/>
  <c r="F17" i="15"/>
  <c r="G14" i="15"/>
  <c r="F14" i="15"/>
  <c r="F146" i="15" s="1"/>
  <c r="G13" i="15"/>
  <c r="G48" i="15" s="1"/>
  <c r="H48" i="15" s="1"/>
  <c r="H11" i="15"/>
  <c r="F11" i="15"/>
  <c r="C246" i="14"/>
  <c r="J245" i="14"/>
  <c r="C245" i="14"/>
  <c r="J244" i="14"/>
  <c r="C235" i="14"/>
  <c r="H227" i="14"/>
  <c r="G209" i="14"/>
  <c r="C205" i="14"/>
  <c r="C244" i="14" s="1"/>
  <c r="G201" i="14"/>
  <c r="F201" i="14"/>
  <c r="C187" i="14"/>
  <c r="G137" i="14"/>
  <c r="G155" i="14" s="1"/>
  <c r="C137" i="14"/>
  <c r="F136" i="14"/>
  <c r="C136" i="14"/>
  <c r="C135" i="14"/>
  <c r="C132" i="14"/>
  <c r="C131" i="14"/>
  <c r="C130" i="14"/>
  <c r="G126" i="14"/>
  <c r="F126" i="14"/>
  <c r="L117" i="14"/>
  <c r="K117" i="14"/>
  <c r="J117" i="14"/>
  <c r="I117" i="14"/>
  <c r="H117" i="14"/>
  <c r="C116" i="14"/>
  <c r="C226" i="14" s="1"/>
  <c r="C115" i="14"/>
  <c r="C220" i="14" s="1"/>
  <c r="C236" i="14" s="1"/>
  <c r="C114" i="14"/>
  <c r="C214" i="14" s="1"/>
  <c r="G96" i="14"/>
  <c r="F96" i="14"/>
  <c r="G86" i="14"/>
  <c r="F86" i="14"/>
  <c r="H85" i="14"/>
  <c r="I85" i="14" s="1"/>
  <c r="J85" i="14" s="1"/>
  <c r="K85" i="14" s="1"/>
  <c r="L85" i="14" s="1"/>
  <c r="G85" i="14"/>
  <c r="F85" i="14"/>
  <c r="G83" i="14"/>
  <c r="H83" i="14" s="1"/>
  <c r="I83" i="14" s="1"/>
  <c r="J83" i="14" s="1"/>
  <c r="K83" i="14" s="1"/>
  <c r="L83" i="14" s="1"/>
  <c r="F83" i="14"/>
  <c r="G81" i="14"/>
  <c r="G230" i="14" s="1"/>
  <c r="G237" i="14" s="1"/>
  <c r="F81" i="14"/>
  <c r="G80" i="14"/>
  <c r="G224" i="14" s="1"/>
  <c r="F80" i="14"/>
  <c r="G79" i="14"/>
  <c r="G218" i="14" s="1"/>
  <c r="F79" i="14"/>
  <c r="G78" i="14"/>
  <c r="F78" i="14"/>
  <c r="G76" i="14"/>
  <c r="F76" i="14"/>
  <c r="F137" i="14" s="1"/>
  <c r="G75" i="14"/>
  <c r="G136" i="14" s="1"/>
  <c r="F75" i="14"/>
  <c r="G74" i="14"/>
  <c r="F74" i="14"/>
  <c r="F135" i="14" s="1"/>
  <c r="G69" i="14"/>
  <c r="F69" i="14"/>
  <c r="G67" i="14"/>
  <c r="D187" i="14" s="1"/>
  <c r="G187" i="14" s="1"/>
  <c r="H187" i="14" s="1"/>
  <c r="F67" i="14"/>
  <c r="G63" i="14"/>
  <c r="G132" i="14" s="1"/>
  <c r="G151" i="14" s="1"/>
  <c r="F63" i="14"/>
  <c r="F132" i="14" s="1"/>
  <c r="G62" i="14"/>
  <c r="G131" i="14" s="1"/>
  <c r="F62" i="14"/>
  <c r="F131" i="14" s="1"/>
  <c r="G61" i="14"/>
  <c r="G130" i="14" s="1"/>
  <c r="G133" i="14" s="1"/>
  <c r="F61" i="14"/>
  <c r="F130" i="14" s="1"/>
  <c r="G60" i="14"/>
  <c r="F60" i="14"/>
  <c r="G56" i="14"/>
  <c r="F56" i="14" s="1"/>
  <c r="G36" i="14"/>
  <c r="G32" i="14"/>
  <c r="F32" i="14"/>
  <c r="G30" i="14"/>
  <c r="F30" i="14"/>
  <c r="L29" i="14"/>
  <c r="K29" i="14"/>
  <c r="J29" i="14"/>
  <c r="I29" i="14"/>
  <c r="H29" i="14"/>
  <c r="G29" i="14"/>
  <c r="F29" i="14"/>
  <c r="C28" i="14"/>
  <c r="C27" i="14"/>
  <c r="C26" i="14"/>
  <c r="G21" i="14"/>
  <c r="F21" i="14"/>
  <c r="G20" i="14"/>
  <c r="F187" i="14" s="1"/>
  <c r="F20" i="14"/>
  <c r="G17" i="14"/>
  <c r="G147" i="14" s="1"/>
  <c r="F17" i="14"/>
  <c r="F147" i="14" s="1"/>
  <c r="F151" i="14" s="1"/>
  <c r="G14" i="14"/>
  <c r="G146" i="14" s="1"/>
  <c r="F14" i="14"/>
  <c r="F146" i="14" s="1"/>
  <c r="H11" i="14"/>
  <c r="H185" i="14" s="1"/>
  <c r="C188" i="14" s="1"/>
  <c r="F11" i="14"/>
  <c r="C247" i="13"/>
  <c r="G237" i="13"/>
  <c r="C237" i="13"/>
  <c r="G236" i="13"/>
  <c r="G235" i="13"/>
  <c r="C226" i="13"/>
  <c r="C220" i="13"/>
  <c r="C205" i="13"/>
  <c r="C244" i="13" s="1"/>
  <c r="H201" i="13"/>
  <c r="G201" i="13"/>
  <c r="F187" i="13"/>
  <c r="C187" i="13"/>
  <c r="F137" i="13"/>
  <c r="C137" i="13"/>
  <c r="C136" i="13"/>
  <c r="G135" i="13"/>
  <c r="C135" i="13"/>
  <c r="C132" i="13"/>
  <c r="F131" i="13"/>
  <c r="C131" i="13"/>
  <c r="C130" i="13"/>
  <c r="G126" i="13"/>
  <c r="L117" i="13"/>
  <c r="K117" i="13"/>
  <c r="J117" i="13"/>
  <c r="I117" i="13"/>
  <c r="H117" i="13"/>
  <c r="C116" i="13"/>
  <c r="C115" i="13"/>
  <c r="C114" i="13"/>
  <c r="C214" i="13" s="1"/>
  <c r="C245" i="13" s="1"/>
  <c r="G96" i="13"/>
  <c r="G86" i="13"/>
  <c r="F86" i="13"/>
  <c r="G85" i="13"/>
  <c r="H85" i="13" s="1"/>
  <c r="I85" i="13" s="1"/>
  <c r="J85" i="13" s="1"/>
  <c r="K85" i="13" s="1"/>
  <c r="L85" i="13" s="1"/>
  <c r="F85" i="13"/>
  <c r="H83" i="13"/>
  <c r="I83" i="13" s="1"/>
  <c r="J83" i="13" s="1"/>
  <c r="K83" i="13" s="1"/>
  <c r="L83" i="13" s="1"/>
  <c r="G83" i="13"/>
  <c r="F83" i="13"/>
  <c r="L82" i="13"/>
  <c r="K82" i="13"/>
  <c r="J82" i="13"/>
  <c r="I82" i="13"/>
  <c r="H82" i="13"/>
  <c r="G81" i="13"/>
  <c r="F81" i="13"/>
  <c r="G80" i="13"/>
  <c r="F80" i="13"/>
  <c r="G79" i="13"/>
  <c r="F79" i="13"/>
  <c r="G78" i="13"/>
  <c r="F78" i="13"/>
  <c r="F82" i="13" s="1"/>
  <c r="G76" i="13"/>
  <c r="G137" i="13" s="1"/>
  <c r="F76" i="13"/>
  <c r="G75" i="13"/>
  <c r="G136" i="13" s="1"/>
  <c r="F75" i="13"/>
  <c r="F136" i="13" s="1"/>
  <c r="G74" i="13"/>
  <c r="F74" i="13"/>
  <c r="G69" i="13"/>
  <c r="H69" i="13" s="1"/>
  <c r="F69" i="13"/>
  <c r="G67" i="13"/>
  <c r="F67" i="13"/>
  <c r="G63" i="13"/>
  <c r="G132" i="13" s="1"/>
  <c r="F63" i="13"/>
  <c r="F132" i="13" s="1"/>
  <c r="G62" i="13"/>
  <c r="G131" i="13" s="1"/>
  <c r="F62" i="13"/>
  <c r="G61" i="13"/>
  <c r="G130" i="13" s="1"/>
  <c r="F61" i="13"/>
  <c r="G60" i="13"/>
  <c r="G168" i="13" s="1"/>
  <c r="F60" i="13"/>
  <c r="F168" i="13" s="1"/>
  <c r="H56" i="13"/>
  <c r="G56" i="13"/>
  <c r="F56" i="13" s="1"/>
  <c r="G36" i="13"/>
  <c r="G32" i="13"/>
  <c r="F32" i="13"/>
  <c r="G30" i="13"/>
  <c r="F30" i="13"/>
  <c r="L29" i="13"/>
  <c r="K29" i="13"/>
  <c r="J29" i="13"/>
  <c r="I29" i="13"/>
  <c r="H29" i="13"/>
  <c r="G29" i="13"/>
  <c r="F29" i="13"/>
  <c r="C28" i="13"/>
  <c r="C27" i="13"/>
  <c r="C26" i="13"/>
  <c r="G21" i="13"/>
  <c r="H21" i="13" s="1"/>
  <c r="H102" i="13" s="1"/>
  <c r="F21" i="13"/>
  <c r="G20" i="13"/>
  <c r="F20" i="13"/>
  <c r="G17" i="13"/>
  <c r="G147" i="13" s="1"/>
  <c r="F17" i="13"/>
  <c r="G14" i="13"/>
  <c r="G146" i="13" s="1"/>
  <c r="F14" i="13"/>
  <c r="F146" i="13" s="1"/>
  <c r="F150" i="13" s="1"/>
  <c r="G13" i="13"/>
  <c r="I11" i="13"/>
  <c r="H11" i="13"/>
  <c r="F11" i="13"/>
  <c r="C187" i="12"/>
  <c r="C137" i="12"/>
  <c r="G136" i="12"/>
  <c r="F136" i="12"/>
  <c r="C136" i="12"/>
  <c r="G135" i="12"/>
  <c r="F135" i="12"/>
  <c r="C135" i="12"/>
  <c r="C132" i="12"/>
  <c r="C131" i="12"/>
  <c r="C130" i="12"/>
  <c r="G126" i="12"/>
  <c r="F126" i="12"/>
  <c r="L117" i="12"/>
  <c r="K117" i="12"/>
  <c r="J117" i="12"/>
  <c r="I117" i="12"/>
  <c r="H117" i="12"/>
  <c r="C116" i="12"/>
  <c r="C115" i="12"/>
  <c r="C114" i="12"/>
  <c r="H96" i="12"/>
  <c r="G96" i="12"/>
  <c r="F96" i="12"/>
  <c r="G86" i="12"/>
  <c r="F86" i="12"/>
  <c r="G85" i="12"/>
  <c r="H85" i="12" s="1"/>
  <c r="I85" i="12" s="1"/>
  <c r="J85" i="12" s="1"/>
  <c r="K85" i="12" s="1"/>
  <c r="L85" i="12" s="1"/>
  <c r="F85" i="12"/>
  <c r="F173" i="12" s="1"/>
  <c r="H83" i="12"/>
  <c r="I83" i="12" s="1"/>
  <c r="J83" i="12" s="1"/>
  <c r="K83" i="12" s="1"/>
  <c r="L83" i="12" s="1"/>
  <c r="G83" i="12"/>
  <c r="F83" i="12"/>
  <c r="L82" i="12"/>
  <c r="K82" i="12"/>
  <c r="J82" i="12"/>
  <c r="I82" i="12"/>
  <c r="H82" i="12"/>
  <c r="G81" i="12"/>
  <c r="F81" i="12"/>
  <c r="G80" i="12"/>
  <c r="F80" i="12"/>
  <c r="G79" i="12"/>
  <c r="F79" i="12"/>
  <c r="G78" i="12"/>
  <c r="F78" i="12"/>
  <c r="G76" i="12"/>
  <c r="G137" i="12" s="1"/>
  <c r="F76" i="12"/>
  <c r="F137" i="12" s="1"/>
  <c r="G75" i="12"/>
  <c r="F75" i="12"/>
  <c r="G74" i="12"/>
  <c r="F74" i="12"/>
  <c r="F77" i="12" s="1"/>
  <c r="G69" i="12"/>
  <c r="F69" i="12"/>
  <c r="G67" i="12"/>
  <c r="D187" i="12" s="1"/>
  <c r="G187" i="12" s="1"/>
  <c r="H187" i="12" s="1"/>
  <c r="F67" i="12"/>
  <c r="G63" i="12"/>
  <c r="G132" i="12" s="1"/>
  <c r="F63" i="12"/>
  <c r="F132" i="12" s="1"/>
  <c r="G62" i="12"/>
  <c r="G131" i="12" s="1"/>
  <c r="F62" i="12"/>
  <c r="F131" i="12" s="1"/>
  <c r="G61" i="12"/>
  <c r="G130" i="12" s="1"/>
  <c r="F61" i="12"/>
  <c r="F130" i="12" s="1"/>
  <c r="G60" i="12"/>
  <c r="G168" i="12" s="1"/>
  <c r="F60" i="12"/>
  <c r="G56" i="12"/>
  <c r="F56" i="12"/>
  <c r="G36" i="12"/>
  <c r="G32" i="12"/>
  <c r="F32" i="12"/>
  <c r="G30" i="12"/>
  <c r="F30" i="12"/>
  <c r="L29" i="12"/>
  <c r="K29" i="12"/>
  <c r="J29" i="12"/>
  <c r="I29" i="12"/>
  <c r="H29" i="12"/>
  <c r="G29" i="12"/>
  <c r="F29" i="12"/>
  <c r="C28" i="12"/>
  <c r="C27" i="12"/>
  <c r="C26" i="12"/>
  <c r="G21" i="12"/>
  <c r="F21" i="12"/>
  <c r="G20" i="12"/>
  <c r="F187" i="12" s="1"/>
  <c r="F20" i="12"/>
  <c r="G17" i="12"/>
  <c r="F17" i="12"/>
  <c r="G14" i="12"/>
  <c r="F14" i="12"/>
  <c r="F146" i="12" s="1"/>
  <c r="G13" i="12"/>
  <c r="H11" i="12"/>
  <c r="F11" i="12"/>
  <c r="C188" i="11"/>
  <c r="C187" i="11"/>
  <c r="I185" i="11"/>
  <c r="C189" i="11" s="1"/>
  <c r="H185" i="11"/>
  <c r="G168" i="11"/>
  <c r="F137" i="11"/>
  <c r="C137" i="11"/>
  <c r="C136" i="11"/>
  <c r="C135" i="11"/>
  <c r="C132" i="11"/>
  <c r="C131" i="11"/>
  <c r="C130" i="11"/>
  <c r="I126" i="11"/>
  <c r="H126" i="11"/>
  <c r="G126" i="11"/>
  <c r="L117" i="11"/>
  <c r="K117" i="11"/>
  <c r="J117" i="11"/>
  <c r="I117" i="11"/>
  <c r="H117" i="11"/>
  <c r="C116" i="11"/>
  <c r="C115" i="11"/>
  <c r="C114" i="11"/>
  <c r="I105" i="11"/>
  <c r="H105" i="11"/>
  <c r="L103" i="11"/>
  <c r="L105" i="11" s="1"/>
  <c r="K103" i="11"/>
  <c r="K105" i="11" s="1"/>
  <c r="J103" i="11"/>
  <c r="J105" i="11" s="1"/>
  <c r="I103" i="11"/>
  <c r="H103" i="11"/>
  <c r="I96" i="11"/>
  <c r="H96" i="11"/>
  <c r="G96" i="11"/>
  <c r="G86" i="11"/>
  <c r="F86" i="11"/>
  <c r="G85" i="11"/>
  <c r="H85" i="11" s="1"/>
  <c r="I85" i="11" s="1"/>
  <c r="J85" i="11" s="1"/>
  <c r="K85" i="11" s="1"/>
  <c r="L85" i="11" s="1"/>
  <c r="F85" i="11"/>
  <c r="F173" i="11" s="1"/>
  <c r="G83" i="11"/>
  <c r="H83" i="11" s="1"/>
  <c r="I83" i="11" s="1"/>
  <c r="J83" i="11" s="1"/>
  <c r="K83" i="11" s="1"/>
  <c r="L83" i="11" s="1"/>
  <c r="F83" i="11"/>
  <c r="L82" i="11"/>
  <c r="K82" i="11"/>
  <c r="J82" i="11"/>
  <c r="I82" i="11"/>
  <c r="H82" i="11"/>
  <c r="G81" i="11"/>
  <c r="F81" i="11"/>
  <c r="G80" i="11"/>
  <c r="F80" i="11"/>
  <c r="G79" i="11"/>
  <c r="F79" i="11"/>
  <c r="G78" i="11"/>
  <c r="F78" i="11"/>
  <c r="G76" i="11"/>
  <c r="G137" i="11" s="1"/>
  <c r="F76" i="11"/>
  <c r="G75" i="11"/>
  <c r="F75" i="11"/>
  <c r="G74" i="11"/>
  <c r="G135" i="11" s="1"/>
  <c r="F74" i="11"/>
  <c r="F135" i="11" s="1"/>
  <c r="G69" i="11"/>
  <c r="F69" i="11"/>
  <c r="G67" i="11"/>
  <c r="D187" i="11" s="1"/>
  <c r="G187" i="11" s="1"/>
  <c r="H187" i="11" s="1"/>
  <c r="F67" i="11"/>
  <c r="G63" i="11"/>
  <c r="G132" i="11" s="1"/>
  <c r="F63" i="11"/>
  <c r="F132" i="11" s="1"/>
  <c r="G62" i="11"/>
  <c r="G131" i="11" s="1"/>
  <c r="F62" i="11"/>
  <c r="F131" i="11" s="1"/>
  <c r="G61" i="11"/>
  <c r="G130" i="11" s="1"/>
  <c r="F61" i="11"/>
  <c r="F130" i="11" s="1"/>
  <c r="F133" i="11" s="1"/>
  <c r="G60" i="11"/>
  <c r="F60" i="11"/>
  <c r="I56" i="11"/>
  <c r="G56" i="11"/>
  <c r="F56" i="11" s="1"/>
  <c r="G36" i="11"/>
  <c r="G32" i="11"/>
  <c r="F32" i="11"/>
  <c r="G30" i="11"/>
  <c r="F30" i="11"/>
  <c r="L29" i="11"/>
  <c r="K29" i="11"/>
  <c r="J29" i="11"/>
  <c r="I29" i="11"/>
  <c r="H29" i="11"/>
  <c r="G29" i="11"/>
  <c r="F29" i="11"/>
  <c r="C28" i="11"/>
  <c r="C27" i="11"/>
  <c r="C26" i="11"/>
  <c r="G21" i="11"/>
  <c r="F21" i="11"/>
  <c r="G20" i="11"/>
  <c r="F187" i="11" s="1"/>
  <c r="F20" i="11"/>
  <c r="G17" i="11"/>
  <c r="F17" i="11"/>
  <c r="G14" i="11"/>
  <c r="G146" i="11" s="1"/>
  <c r="F14" i="11"/>
  <c r="F146" i="11" s="1"/>
  <c r="G13" i="11"/>
  <c r="G145" i="11" s="1"/>
  <c r="G149" i="11" s="1"/>
  <c r="I11" i="11"/>
  <c r="J11" i="11" s="1"/>
  <c r="H11" i="11"/>
  <c r="H56" i="11" s="1"/>
  <c r="F11" i="11"/>
  <c r="C157" i="10"/>
  <c r="H155" i="10"/>
  <c r="C158" i="10" s="1"/>
  <c r="F117" i="10"/>
  <c r="F121" i="10" s="1"/>
  <c r="F116" i="10"/>
  <c r="F120" i="10" s="1"/>
  <c r="G115" i="10"/>
  <c r="F107" i="10"/>
  <c r="F125" i="10" s="1"/>
  <c r="C107" i="10"/>
  <c r="C106" i="10"/>
  <c r="C105" i="10"/>
  <c r="F102" i="10"/>
  <c r="C102" i="10"/>
  <c r="G101" i="10"/>
  <c r="F101" i="10"/>
  <c r="C101" i="10"/>
  <c r="G100" i="10"/>
  <c r="C100" i="10"/>
  <c r="H96" i="10"/>
  <c r="G96" i="10"/>
  <c r="F96" i="10"/>
  <c r="G86" i="10"/>
  <c r="F86" i="10"/>
  <c r="G85" i="10"/>
  <c r="H85" i="10" s="1"/>
  <c r="I85" i="10" s="1"/>
  <c r="J85" i="10" s="1"/>
  <c r="K85" i="10" s="1"/>
  <c r="L85" i="10" s="1"/>
  <c r="F85" i="10"/>
  <c r="G83" i="10"/>
  <c r="H83" i="10" s="1"/>
  <c r="I83" i="10" s="1"/>
  <c r="J83" i="10" s="1"/>
  <c r="K83" i="10" s="1"/>
  <c r="L83" i="10" s="1"/>
  <c r="F83" i="10"/>
  <c r="L82" i="10"/>
  <c r="K82" i="10"/>
  <c r="J82" i="10"/>
  <c r="I82" i="10"/>
  <c r="H82" i="10"/>
  <c r="G81" i="10"/>
  <c r="F81" i="10"/>
  <c r="G80" i="10"/>
  <c r="F80" i="10"/>
  <c r="G79" i="10"/>
  <c r="F79" i="10"/>
  <c r="G78" i="10"/>
  <c r="F78" i="10"/>
  <c r="G76" i="10"/>
  <c r="G107" i="10" s="1"/>
  <c r="F76" i="10"/>
  <c r="G75" i="10"/>
  <c r="G106" i="10" s="1"/>
  <c r="F75" i="10"/>
  <c r="F106" i="10" s="1"/>
  <c r="G74" i="10"/>
  <c r="F74" i="10"/>
  <c r="F77" i="10" s="1"/>
  <c r="G69" i="10"/>
  <c r="F69" i="10"/>
  <c r="G67" i="10"/>
  <c r="D157" i="10" s="1"/>
  <c r="G157" i="10" s="1"/>
  <c r="H157" i="10" s="1"/>
  <c r="F67" i="10"/>
  <c r="G63" i="10"/>
  <c r="G102" i="10" s="1"/>
  <c r="F63" i="10"/>
  <c r="G62" i="10"/>
  <c r="F62" i="10"/>
  <c r="G61" i="10"/>
  <c r="F61" i="10"/>
  <c r="F100" i="10" s="1"/>
  <c r="G60" i="10"/>
  <c r="G138" i="10" s="1"/>
  <c r="F60" i="10"/>
  <c r="F64" i="10" s="1"/>
  <c r="G56" i="10"/>
  <c r="F56" i="10"/>
  <c r="G36" i="10"/>
  <c r="G32" i="10"/>
  <c r="F32" i="10"/>
  <c r="G30" i="10"/>
  <c r="F30" i="10"/>
  <c r="L29" i="10"/>
  <c r="K29" i="10"/>
  <c r="J29" i="10"/>
  <c r="I29" i="10"/>
  <c r="H29" i="10"/>
  <c r="G29" i="10"/>
  <c r="F29" i="10"/>
  <c r="C28" i="10"/>
  <c r="C27" i="10"/>
  <c r="C26" i="10"/>
  <c r="G21" i="10"/>
  <c r="F21" i="10"/>
  <c r="G20" i="10"/>
  <c r="F157" i="10" s="1"/>
  <c r="F20" i="10"/>
  <c r="G17" i="10"/>
  <c r="F17" i="10"/>
  <c r="G14" i="10"/>
  <c r="F14" i="10"/>
  <c r="G13" i="10"/>
  <c r="G132" i="10" s="1"/>
  <c r="H11" i="10"/>
  <c r="H56" i="10" s="1"/>
  <c r="F11" i="10"/>
  <c r="F157" i="9"/>
  <c r="D157" i="9"/>
  <c r="G157" i="9" s="1"/>
  <c r="H157" i="9" s="1"/>
  <c r="C157" i="9"/>
  <c r="I155" i="9"/>
  <c r="C159" i="9" s="1"/>
  <c r="H155" i="9"/>
  <c r="C158" i="9" s="1"/>
  <c r="L108" i="9"/>
  <c r="K108" i="9"/>
  <c r="K109" i="9" s="1"/>
  <c r="J108" i="9"/>
  <c r="J109" i="9" s="1"/>
  <c r="I108" i="9"/>
  <c r="H108" i="9"/>
  <c r="H109" i="9" s="1"/>
  <c r="G108" i="9"/>
  <c r="F108" i="9"/>
  <c r="C107" i="9"/>
  <c r="C106" i="9"/>
  <c r="C105" i="9"/>
  <c r="L103" i="9"/>
  <c r="L109" i="9" s="1"/>
  <c r="K103" i="9"/>
  <c r="J103" i="9"/>
  <c r="I103" i="9"/>
  <c r="H103" i="9"/>
  <c r="G103" i="9"/>
  <c r="G109" i="9" s="1"/>
  <c r="F103" i="9"/>
  <c r="F109" i="9" s="1"/>
  <c r="C102" i="9"/>
  <c r="C101" i="9"/>
  <c r="C100" i="9"/>
  <c r="H96" i="9"/>
  <c r="G96" i="9"/>
  <c r="G86" i="9"/>
  <c r="F86" i="9"/>
  <c r="G85" i="9"/>
  <c r="F85" i="9"/>
  <c r="G83" i="9"/>
  <c r="H83" i="9" s="1"/>
  <c r="H84" i="9" s="1"/>
  <c r="F83" i="9"/>
  <c r="L82" i="9"/>
  <c r="K82" i="9"/>
  <c r="J82" i="9"/>
  <c r="I82" i="9"/>
  <c r="H82" i="9"/>
  <c r="G81" i="9"/>
  <c r="F81" i="9"/>
  <c r="G80" i="9"/>
  <c r="F80" i="9"/>
  <c r="G79" i="9"/>
  <c r="F79" i="9"/>
  <c r="G78" i="9"/>
  <c r="F78" i="9"/>
  <c r="L77" i="9"/>
  <c r="K77" i="9"/>
  <c r="J77" i="9"/>
  <c r="I77" i="9"/>
  <c r="H77" i="9"/>
  <c r="G76" i="9"/>
  <c r="F76" i="9"/>
  <c r="G75" i="9"/>
  <c r="F75" i="9"/>
  <c r="G74" i="9"/>
  <c r="F74" i="9"/>
  <c r="G69" i="9"/>
  <c r="F69" i="9"/>
  <c r="G67" i="9"/>
  <c r="F67" i="9"/>
  <c r="L64" i="9"/>
  <c r="K64" i="9"/>
  <c r="J64" i="9"/>
  <c r="I64" i="9"/>
  <c r="H64" i="9"/>
  <c r="G63" i="9"/>
  <c r="F63" i="9"/>
  <c r="F64" i="9" s="1"/>
  <c r="G62" i="9"/>
  <c r="F62" i="9"/>
  <c r="G61" i="9"/>
  <c r="F61" i="9"/>
  <c r="G60" i="9"/>
  <c r="F60" i="9"/>
  <c r="F138" i="9" s="1"/>
  <c r="H56" i="9"/>
  <c r="G56" i="9"/>
  <c r="F56" i="9" s="1"/>
  <c r="G36" i="9"/>
  <c r="G32" i="9"/>
  <c r="F32" i="9"/>
  <c r="G30" i="9"/>
  <c r="F30" i="9"/>
  <c r="L29" i="9"/>
  <c r="K29" i="9"/>
  <c r="J29" i="9"/>
  <c r="I29" i="9"/>
  <c r="H29" i="9"/>
  <c r="G29" i="9"/>
  <c r="F29" i="9"/>
  <c r="C28" i="9"/>
  <c r="C27" i="9"/>
  <c r="C26" i="9"/>
  <c r="G21" i="9"/>
  <c r="H21" i="9" s="1"/>
  <c r="F21" i="9"/>
  <c r="G20" i="9"/>
  <c r="F20" i="9"/>
  <c r="G17" i="9"/>
  <c r="F17" i="9"/>
  <c r="G14" i="9"/>
  <c r="F14" i="9"/>
  <c r="G13" i="9"/>
  <c r="I11" i="9"/>
  <c r="H11" i="9"/>
  <c r="F11" i="9"/>
  <c r="F96" i="9" s="1"/>
  <c r="C120" i="8"/>
  <c r="C119" i="8"/>
  <c r="H117" i="8"/>
  <c r="G86" i="8"/>
  <c r="F86" i="8"/>
  <c r="G85" i="8"/>
  <c r="H85" i="8" s="1"/>
  <c r="I85" i="8" s="1"/>
  <c r="J85" i="8" s="1"/>
  <c r="K85" i="8" s="1"/>
  <c r="L85" i="8" s="1"/>
  <c r="F85" i="8"/>
  <c r="G83" i="8"/>
  <c r="H83" i="8" s="1"/>
  <c r="H84" i="8" s="1"/>
  <c r="F83" i="8"/>
  <c r="L82" i="8"/>
  <c r="K82" i="8"/>
  <c r="J82" i="8"/>
  <c r="I82" i="8"/>
  <c r="H82" i="8"/>
  <c r="G81" i="8"/>
  <c r="F81" i="8"/>
  <c r="G80" i="8"/>
  <c r="F80" i="8"/>
  <c r="G79" i="8"/>
  <c r="F79" i="8"/>
  <c r="F82" i="8" s="1"/>
  <c r="G78" i="8"/>
  <c r="G82" i="8" s="1"/>
  <c r="F78" i="8"/>
  <c r="L77" i="8"/>
  <c r="K77" i="8"/>
  <c r="J77" i="8"/>
  <c r="I77" i="8"/>
  <c r="H77" i="8"/>
  <c r="G76" i="8"/>
  <c r="F76" i="8"/>
  <c r="G75" i="8"/>
  <c r="F75" i="8"/>
  <c r="G74" i="8"/>
  <c r="F74" i="8"/>
  <c r="G69" i="8"/>
  <c r="F69" i="8"/>
  <c r="G67" i="8"/>
  <c r="D119" i="8" s="1"/>
  <c r="G119" i="8" s="1"/>
  <c r="H119" i="8" s="1"/>
  <c r="F67" i="8"/>
  <c r="L64" i="8"/>
  <c r="K64" i="8"/>
  <c r="J64" i="8"/>
  <c r="I64" i="8"/>
  <c r="H64" i="8"/>
  <c r="G63" i="8"/>
  <c r="F63" i="8"/>
  <c r="G62" i="8"/>
  <c r="F62" i="8"/>
  <c r="G61" i="8"/>
  <c r="F61" i="8"/>
  <c r="G60" i="8"/>
  <c r="F60" i="8"/>
  <c r="G56" i="8"/>
  <c r="F56" i="8"/>
  <c r="G36" i="8"/>
  <c r="G32" i="8"/>
  <c r="F32" i="8"/>
  <c r="G30" i="8"/>
  <c r="F30" i="8"/>
  <c r="L29" i="8"/>
  <c r="K29" i="8"/>
  <c r="J29" i="8"/>
  <c r="I29" i="8"/>
  <c r="H29" i="8"/>
  <c r="G29" i="8"/>
  <c r="F29" i="8"/>
  <c r="C28" i="8"/>
  <c r="C27" i="8"/>
  <c r="C26" i="8"/>
  <c r="G21" i="8"/>
  <c r="F21" i="8"/>
  <c r="G20" i="8"/>
  <c r="F119" i="8" s="1"/>
  <c r="F20" i="8"/>
  <c r="G17" i="8"/>
  <c r="F17" i="8"/>
  <c r="G14" i="8"/>
  <c r="F14" i="8"/>
  <c r="G13" i="8"/>
  <c r="I11" i="8"/>
  <c r="H11" i="8"/>
  <c r="H56" i="8" s="1"/>
  <c r="F11" i="8"/>
  <c r="F119" i="7"/>
  <c r="C119" i="7"/>
  <c r="H87" i="7"/>
  <c r="G86" i="7"/>
  <c r="F86" i="7"/>
  <c r="G85" i="7"/>
  <c r="F85" i="7"/>
  <c r="K84" i="7"/>
  <c r="K87" i="7" s="1"/>
  <c r="G83" i="7"/>
  <c r="F83" i="7"/>
  <c r="L82" i="7"/>
  <c r="K82" i="7"/>
  <c r="J82" i="7"/>
  <c r="J84" i="7" s="1"/>
  <c r="J87" i="7" s="1"/>
  <c r="I82" i="7"/>
  <c r="H82" i="7"/>
  <c r="H84" i="7" s="1"/>
  <c r="G81" i="7"/>
  <c r="F81" i="7"/>
  <c r="G80" i="7"/>
  <c r="F80" i="7"/>
  <c r="G79" i="7"/>
  <c r="F79" i="7"/>
  <c r="G78" i="7"/>
  <c r="F78" i="7"/>
  <c r="F82" i="7" s="1"/>
  <c r="L77" i="7"/>
  <c r="L84" i="7" s="1"/>
  <c r="L87" i="7" s="1"/>
  <c r="K77" i="7"/>
  <c r="J77" i="7"/>
  <c r="I77" i="7"/>
  <c r="H77" i="7"/>
  <c r="G76" i="7"/>
  <c r="F76" i="7"/>
  <c r="G75" i="7"/>
  <c r="F75" i="7"/>
  <c r="G74" i="7"/>
  <c r="F74" i="7"/>
  <c r="F77" i="7" s="1"/>
  <c r="K70" i="7"/>
  <c r="J70" i="7"/>
  <c r="G69" i="7"/>
  <c r="F69" i="7"/>
  <c r="L67" i="7"/>
  <c r="K67" i="7"/>
  <c r="J67" i="7"/>
  <c r="I67" i="7"/>
  <c r="H67" i="7"/>
  <c r="G67" i="7"/>
  <c r="D119" i="7" s="1"/>
  <c r="G119" i="7" s="1"/>
  <c r="H119" i="7" s="1"/>
  <c r="F67" i="7"/>
  <c r="L64" i="7"/>
  <c r="L70" i="7" s="1"/>
  <c r="K64" i="7"/>
  <c r="J64" i="7"/>
  <c r="I64" i="7"/>
  <c r="I70" i="7" s="1"/>
  <c r="H64" i="7"/>
  <c r="G63" i="7"/>
  <c r="F63" i="7"/>
  <c r="G62" i="7"/>
  <c r="F62" i="7"/>
  <c r="G61" i="7"/>
  <c r="F61" i="7"/>
  <c r="G60" i="7"/>
  <c r="G100" i="7" s="1"/>
  <c r="F60" i="7"/>
  <c r="F100" i="7" s="1"/>
  <c r="G56" i="7"/>
  <c r="F56" i="7" s="1"/>
  <c r="G32" i="7"/>
  <c r="F32" i="7"/>
  <c r="G30" i="7"/>
  <c r="F30" i="7"/>
  <c r="L29" i="7"/>
  <c r="K29" i="7"/>
  <c r="J29" i="7"/>
  <c r="I29" i="7"/>
  <c r="H29" i="7"/>
  <c r="G29" i="7"/>
  <c r="F29" i="7"/>
  <c r="C28" i="7"/>
  <c r="C27" i="7"/>
  <c r="C26" i="7"/>
  <c r="G21" i="7"/>
  <c r="H21" i="7" s="1"/>
  <c r="I21" i="7" s="1"/>
  <c r="J21" i="7" s="1"/>
  <c r="K21" i="7" s="1"/>
  <c r="L21" i="7" s="1"/>
  <c r="F21" i="7"/>
  <c r="G20" i="7"/>
  <c r="F20" i="7"/>
  <c r="G17" i="7"/>
  <c r="F17" i="7"/>
  <c r="G14" i="7"/>
  <c r="F14" i="7"/>
  <c r="H11" i="7"/>
  <c r="F11" i="7"/>
  <c r="C119" i="6"/>
  <c r="H117" i="6"/>
  <c r="C120" i="6" s="1"/>
  <c r="G100" i="6"/>
  <c r="F100" i="6"/>
  <c r="G86" i="6"/>
  <c r="F86" i="6"/>
  <c r="G85" i="6"/>
  <c r="F85" i="6"/>
  <c r="F105" i="6" s="1"/>
  <c r="G83" i="6"/>
  <c r="F83" i="6"/>
  <c r="G81" i="6"/>
  <c r="F81" i="6"/>
  <c r="G80" i="6"/>
  <c r="F80" i="6"/>
  <c r="G79" i="6"/>
  <c r="F79" i="6"/>
  <c r="G78" i="6"/>
  <c r="F78" i="6"/>
  <c r="F82" i="6" s="1"/>
  <c r="G76" i="6"/>
  <c r="G77" i="6" s="1"/>
  <c r="F76" i="6"/>
  <c r="G75" i="6"/>
  <c r="F75" i="6"/>
  <c r="G74" i="6"/>
  <c r="F74" i="6"/>
  <c r="G69" i="6"/>
  <c r="F69" i="6"/>
  <c r="G67" i="6"/>
  <c r="D119" i="6" s="1"/>
  <c r="G119" i="6" s="1"/>
  <c r="H119" i="6" s="1"/>
  <c r="H126" i="6" s="1"/>
  <c r="H20" i="6" s="1"/>
  <c r="F67" i="6"/>
  <c r="G63" i="6"/>
  <c r="F63" i="6"/>
  <c r="F64" i="6" s="1"/>
  <c r="F70" i="6" s="1"/>
  <c r="G62" i="6"/>
  <c r="F62" i="6"/>
  <c r="G61" i="6"/>
  <c r="F61" i="6"/>
  <c r="G60" i="6"/>
  <c r="F60" i="6"/>
  <c r="H56" i="6"/>
  <c r="G56" i="6"/>
  <c r="F56" i="6" s="1"/>
  <c r="G32" i="6"/>
  <c r="F32" i="6"/>
  <c r="G30" i="6"/>
  <c r="F30" i="6"/>
  <c r="L29" i="6"/>
  <c r="K29" i="6"/>
  <c r="J29" i="6"/>
  <c r="I29" i="6"/>
  <c r="H29" i="6"/>
  <c r="G29" i="6"/>
  <c r="F29" i="6"/>
  <c r="C28" i="6"/>
  <c r="C27" i="6"/>
  <c r="C26" i="6"/>
  <c r="G21" i="6"/>
  <c r="H21" i="6" s="1"/>
  <c r="I21" i="6" s="1"/>
  <c r="J21" i="6" s="1"/>
  <c r="K21" i="6" s="1"/>
  <c r="L21" i="6" s="1"/>
  <c r="F21" i="6"/>
  <c r="G20" i="6"/>
  <c r="F119" i="6" s="1"/>
  <c r="F20" i="6"/>
  <c r="G17" i="6"/>
  <c r="F17" i="6"/>
  <c r="G14" i="6"/>
  <c r="F14" i="6"/>
  <c r="I11" i="6"/>
  <c r="H11" i="6"/>
  <c r="F11" i="6"/>
  <c r="L126" i="5"/>
  <c r="K126" i="5"/>
  <c r="J126" i="5"/>
  <c r="I126" i="5"/>
  <c r="H126" i="5"/>
  <c r="C119" i="5"/>
  <c r="I117" i="5"/>
  <c r="C121" i="5" s="1"/>
  <c r="G86" i="5"/>
  <c r="F86" i="5"/>
  <c r="F105" i="5" s="1"/>
  <c r="G85" i="5"/>
  <c r="G105" i="5" s="1"/>
  <c r="F85" i="5"/>
  <c r="G83" i="5"/>
  <c r="F83" i="5"/>
  <c r="G81" i="5"/>
  <c r="F81" i="5"/>
  <c r="G80" i="5"/>
  <c r="F80" i="5"/>
  <c r="G79" i="5"/>
  <c r="F79" i="5"/>
  <c r="G78" i="5"/>
  <c r="F78" i="5"/>
  <c r="F82" i="5" s="1"/>
  <c r="G76" i="5"/>
  <c r="F76" i="5"/>
  <c r="G75" i="5"/>
  <c r="F75" i="5"/>
  <c r="G74" i="5"/>
  <c r="F74" i="5"/>
  <c r="F77" i="5" s="1"/>
  <c r="G69" i="5"/>
  <c r="F69" i="5"/>
  <c r="G67" i="5"/>
  <c r="D119" i="5" s="1"/>
  <c r="G119" i="5" s="1"/>
  <c r="F67" i="5"/>
  <c r="G63" i="5"/>
  <c r="F63" i="5"/>
  <c r="G62" i="5"/>
  <c r="F62" i="5"/>
  <c r="G61" i="5"/>
  <c r="F61" i="5"/>
  <c r="G60" i="5"/>
  <c r="G100" i="5" s="1"/>
  <c r="F60" i="5"/>
  <c r="G56" i="5"/>
  <c r="F56" i="5"/>
  <c r="H33" i="5"/>
  <c r="H34" i="5" s="1"/>
  <c r="G32" i="5"/>
  <c r="F32" i="5"/>
  <c r="G30" i="5"/>
  <c r="F30" i="5"/>
  <c r="L29" i="5"/>
  <c r="K29" i="5"/>
  <c r="J29" i="5"/>
  <c r="I29" i="5"/>
  <c r="H29" i="5"/>
  <c r="G29" i="5"/>
  <c r="F29" i="5"/>
  <c r="C28" i="5"/>
  <c r="C27" i="5"/>
  <c r="C26" i="5"/>
  <c r="I22" i="5"/>
  <c r="I31" i="5" s="1"/>
  <c r="I33" i="5" s="1"/>
  <c r="I34" i="5" s="1"/>
  <c r="H22" i="5"/>
  <c r="H31" i="5" s="1"/>
  <c r="G21" i="5"/>
  <c r="F21" i="5"/>
  <c r="G20" i="5"/>
  <c r="F119" i="5" s="1"/>
  <c r="F20" i="5"/>
  <c r="I19" i="5"/>
  <c r="J18" i="5"/>
  <c r="H18" i="5"/>
  <c r="H19" i="5" s="1"/>
  <c r="G17" i="5"/>
  <c r="F17" i="5"/>
  <c r="L16" i="5"/>
  <c r="K16" i="5"/>
  <c r="J16" i="5"/>
  <c r="I16" i="5"/>
  <c r="L15" i="5"/>
  <c r="L18" i="5" s="1"/>
  <c r="K15" i="5"/>
  <c r="K18" i="5" s="1"/>
  <c r="K19" i="5" s="1"/>
  <c r="J15" i="5"/>
  <c r="I15" i="5"/>
  <c r="I18" i="5" s="1"/>
  <c r="H15" i="5"/>
  <c r="H16" i="5" s="1"/>
  <c r="G14" i="5"/>
  <c r="F14" i="5"/>
  <c r="G13" i="5"/>
  <c r="G15" i="5" s="1"/>
  <c r="G16" i="5" s="1"/>
  <c r="I11" i="5"/>
  <c r="H11" i="5"/>
  <c r="F11" i="5"/>
  <c r="F87" i="4"/>
  <c r="G73" i="4"/>
  <c r="F73" i="4"/>
  <c r="G72" i="4"/>
  <c r="G92" i="4" s="1"/>
  <c r="F72" i="4"/>
  <c r="F92" i="4" s="1"/>
  <c r="G70" i="4"/>
  <c r="F70" i="4"/>
  <c r="G68" i="4"/>
  <c r="F68" i="4"/>
  <c r="G67" i="4"/>
  <c r="F67" i="4"/>
  <c r="G66" i="4"/>
  <c r="F66" i="4"/>
  <c r="G65" i="4"/>
  <c r="F65" i="4"/>
  <c r="F69" i="4" s="1"/>
  <c r="G63" i="4"/>
  <c r="F63" i="4"/>
  <c r="G62" i="4"/>
  <c r="F62" i="4"/>
  <c r="G61" i="4"/>
  <c r="G64" i="4" s="1"/>
  <c r="F61" i="4"/>
  <c r="G56" i="4"/>
  <c r="F56" i="4"/>
  <c r="G54" i="4"/>
  <c r="F54" i="4"/>
  <c r="G50" i="4"/>
  <c r="F50" i="4"/>
  <c r="G49" i="4"/>
  <c r="F49" i="4"/>
  <c r="G48" i="4"/>
  <c r="F48" i="4"/>
  <c r="G47" i="4"/>
  <c r="G87" i="4" s="1"/>
  <c r="F47" i="4"/>
  <c r="G43" i="4"/>
  <c r="F43" i="4"/>
  <c r="G32" i="4"/>
  <c r="F32" i="4"/>
  <c r="G30" i="4"/>
  <c r="F30" i="4"/>
  <c r="G29" i="4"/>
  <c r="F29" i="4"/>
  <c r="C28" i="4"/>
  <c r="C27" i="4"/>
  <c r="C26" i="4"/>
  <c r="G21" i="4"/>
  <c r="F21" i="4"/>
  <c r="G20" i="4"/>
  <c r="F20" i="4"/>
  <c r="G17" i="4"/>
  <c r="F17" i="4"/>
  <c r="G14" i="4"/>
  <c r="F14" i="4"/>
  <c r="G13" i="4"/>
  <c r="G81" i="4" s="1"/>
  <c r="H11" i="4"/>
  <c r="F11" i="4"/>
  <c r="G69" i="3"/>
  <c r="G71" i="3" s="1"/>
  <c r="G74" i="3" s="1"/>
  <c r="F69" i="3"/>
  <c r="G64" i="3"/>
  <c r="F64" i="3"/>
  <c r="F71" i="3" s="1"/>
  <c r="F74" i="3" s="1"/>
  <c r="G51" i="3"/>
  <c r="G57" i="3" s="1"/>
  <c r="F51" i="3"/>
  <c r="F57" i="3" s="1"/>
  <c r="H43" i="3"/>
  <c r="G43" i="3"/>
  <c r="F43" i="3"/>
  <c r="C28" i="3"/>
  <c r="C27" i="3"/>
  <c r="C26" i="3"/>
  <c r="G18" i="3"/>
  <c r="G19" i="3" s="1"/>
  <c r="F18" i="3"/>
  <c r="G16" i="3"/>
  <c r="F16" i="3"/>
  <c r="G15" i="3"/>
  <c r="F15" i="3"/>
  <c r="H11" i="3"/>
  <c r="I11" i="3" s="1"/>
  <c r="F11" i="3"/>
  <c r="E79" i="2"/>
  <c r="E73" i="2"/>
  <c r="D73" i="2"/>
  <c r="E61" i="2"/>
  <c r="D61" i="2"/>
  <c r="E56" i="2"/>
  <c r="D56" i="2"/>
  <c r="E51" i="2"/>
  <c r="D51" i="2"/>
  <c r="D45" i="2"/>
  <c r="E45" i="2" s="1"/>
  <c r="E30" i="2"/>
  <c r="D30" i="2"/>
  <c r="E19" i="2"/>
  <c r="E13" i="2"/>
  <c r="D13" i="2"/>
  <c r="H85" i="9" l="1"/>
  <c r="I85" i="9" s="1"/>
  <c r="J85" i="9" s="1"/>
  <c r="K85" i="9" s="1"/>
  <c r="L85" i="9" s="1"/>
  <c r="G143" i="9"/>
  <c r="G43" i="11"/>
  <c r="G168" i="17"/>
  <c r="H203" i="17"/>
  <c r="H205" i="17" s="1"/>
  <c r="F82" i="14"/>
  <c r="H230" i="14"/>
  <c r="H81" i="14" s="1"/>
  <c r="G235" i="16"/>
  <c r="G94" i="5"/>
  <c r="F153" i="12"/>
  <c r="F138" i="12"/>
  <c r="G135" i="14"/>
  <c r="G153" i="14" s="1"/>
  <c r="G77" i="14"/>
  <c r="H228" i="14"/>
  <c r="F141" i="10"/>
  <c r="G168" i="16"/>
  <c r="F150" i="14"/>
  <c r="F155" i="14"/>
  <c r="H155" i="14" s="1"/>
  <c r="F154" i="14"/>
  <c r="H154" i="14" s="1"/>
  <c r="I154" i="14" s="1"/>
  <c r="G82" i="7"/>
  <c r="F168" i="12"/>
  <c r="F64" i="12"/>
  <c r="F169" i="12" s="1"/>
  <c r="G155" i="13"/>
  <c r="H21" i="14"/>
  <c r="H102" i="14" s="1"/>
  <c r="H151" i="14"/>
  <c r="G105" i="6"/>
  <c r="G82" i="9"/>
  <c r="G151" i="13"/>
  <c r="G82" i="13"/>
  <c r="F82" i="15"/>
  <c r="G77" i="16"/>
  <c r="G136" i="16"/>
  <c r="G138" i="16" s="1"/>
  <c r="G77" i="9"/>
  <c r="G84" i="9" s="1"/>
  <c r="G87" i="9" s="1"/>
  <c r="F82" i="9"/>
  <c r="F150" i="16"/>
  <c r="F138" i="10"/>
  <c r="G64" i="6"/>
  <c r="G44" i="8"/>
  <c r="G44" i="9"/>
  <c r="F105" i="10"/>
  <c r="F108" i="10" s="1"/>
  <c r="G143" i="10"/>
  <c r="F173" i="13"/>
  <c r="F150" i="17"/>
  <c r="G64" i="7"/>
  <c r="G70" i="7" s="1"/>
  <c r="F70" i="10"/>
  <c r="F140" i="10" s="1"/>
  <c r="F77" i="14"/>
  <c r="F171" i="14" s="1"/>
  <c r="G155" i="17"/>
  <c r="G69" i="4"/>
  <c r="G82" i="6"/>
  <c r="G154" i="14"/>
  <c r="F82" i="16"/>
  <c r="G43" i="8"/>
  <c r="G43" i="9"/>
  <c r="F103" i="10"/>
  <c r="F109" i="10" s="1"/>
  <c r="G44" i="11"/>
  <c r="G151" i="17"/>
  <c r="G82" i="5"/>
  <c r="G84" i="5" s="1"/>
  <c r="G87" i="5" s="1"/>
  <c r="G64" i="9"/>
  <c r="G139" i="9" s="1"/>
  <c r="G77" i="13"/>
  <c r="G84" i="13" s="1"/>
  <c r="G87" i="13" s="1"/>
  <c r="G89" i="13" s="1"/>
  <c r="F150" i="11"/>
  <c r="G154" i="13"/>
  <c r="F173" i="14"/>
  <c r="G133" i="15"/>
  <c r="G77" i="5"/>
  <c r="F77" i="6"/>
  <c r="F64" i="13"/>
  <c r="F70" i="13" s="1"/>
  <c r="F51" i="4"/>
  <c r="F57" i="4" s="1"/>
  <c r="F89" i="4" s="1"/>
  <c r="F64" i="4"/>
  <c r="F90" i="4" s="1"/>
  <c r="H21" i="10"/>
  <c r="F70" i="12"/>
  <c r="F170" i="12" s="1"/>
  <c r="G150" i="13"/>
  <c r="H150" i="13" s="1"/>
  <c r="I150" i="13" s="1"/>
  <c r="J150" i="13" s="1"/>
  <c r="K150" i="13" s="1"/>
  <c r="L150" i="13" s="1"/>
  <c r="G82" i="14"/>
  <c r="F150" i="15"/>
  <c r="H238" i="15"/>
  <c r="F102" i="6"/>
  <c r="G163" i="12"/>
  <c r="I119" i="7"/>
  <c r="I126" i="7" s="1"/>
  <c r="I20" i="7" s="1"/>
  <c r="H126" i="7"/>
  <c r="H20" i="7" s="1"/>
  <c r="J119" i="7"/>
  <c r="J126" i="7" s="1"/>
  <c r="J20" i="7" s="1"/>
  <c r="G102" i="7"/>
  <c r="F44" i="8"/>
  <c r="H44" i="8" s="1"/>
  <c r="G150" i="11"/>
  <c r="H150" i="11" s="1"/>
  <c r="I150" i="11" s="1"/>
  <c r="J150" i="11" s="1"/>
  <c r="K150" i="11" s="1"/>
  <c r="L150" i="11" s="1"/>
  <c r="G133" i="11"/>
  <c r="I187" i="12"/>
  <c r="F22" i="3"/>
  <c r="F31" i="3" s="1"/>
  <c r="F33" i="3" s="1"/>
  <c r="F34" i="3" s="1"/>
  <c r="F19" i="3"/>
  <c r="I56" i="5"/>
  <c r="J11" i="5"/>
  <c r="I56" i="8"/>
  <c r="J11" i="8"/>
  <c r="I117" i="8"/>
  <c r="C121" i="8" s="1"/>
  <c r="G117" i="10"/>
  <c r="G44" i="10"/>
  <c r="H69" i="11"/>
  <c r="I155" i="14"/>
  <c r="I187" i="15"/>
  <c r="J187" i="15" s="1"/>
  <c r="H239" i="15"/>
  <c r="H241" i="15" s="1"/>
  <c r="G154" i="16"/>
  <c r="F64" i="8"/>
  <c r="F100" i="8"/>
  <c r="G77" i="8"/>
  <c r="I83" i="9"/>
  <c r="I157" i="9"/>
  <c r="G64" i="10"/>
  <c r="F82" i="11"/>
  <c r="I187" i="11"/>
  <c r="J187" i="11"/>
  <c r="I48" i="15"/>
  <c r="J11" i="3"/>
  <c r="I43" i="3"/>
  <c r="I11" i="4"/>
  <c r="H43" i="4"/>
  <c r="J19" i="5"/>
  <c r="J22" i="5"/>
  <c r="J31" i="5" s="1"/>
  <c r="J33" i="5" s="1"/>
  <c r="J34" i="5" s="1"/>
  <c r="I117" i="6"/>
  <c r="C121" i="6" s="1"/>
  <c r="I56" i="6"/>
  <c r="J11" i="6"/>
  <c r="F70" i="9"/>
  <c r="F139" i="9"/>
  <c r="F44" i="11"/>
  <c r="H44" i="11" s="1"/>
  <c r="G48" i="13"/>
  <c r="H48" i="13" s="1"/>
  <c r="G15" i="13"/>
  <c r="G163" i="13" s="1"/>
  <c r="G145" i="13"/>
  <c r="G149" i="13" s="1"/>
  <c r="D187" i="13"/>
  <c r="G187" i="13" s="1"/>
  <c r="H187" i="13" s="1"/>
  <c r="H221" i="14"/>
  <c r="H222" i="14" s="1"/>
  <c r="G236" i="14"/>
  <c r="F13" i="15"/>
  <c r="G41" i="15" s="1"/>
  <c r="H41" i="15" s="1"/>
  <c r="F13" i="14"/>
  <c r="F162" i="14" s="1"/>
  <c r="F13" i="17"/>
  <c r="F132" i="10"/>
  <c r="F13" i="13"/>
  <c r="F44" i="13" s="1"/>
  <c r="F13" i="11"/>
  <c r="F13" i="6"/>
  <c r="F15" i="6" s="1"/>
  <c r="F13" i="5"/>
  <c r="F15" i="5" s="1"/>
  <c r="F13" i="10"/>
  <c r="F13" i="4"/>
  <c r="F15" i="4" s="1"/>
  <c r="D19" i="2"/>
  <c r="F13" i="7"/>
  <c r="F15" i="7" s="1"/>
  <c r="F13" i="16"/>
  <c r="F162" i="16" s="1"/>
  <c r="F94" i="7"/>
  <c r="F94" i="8"/>
  <c r="H69" i="9"/>
  <c r="G150" i="12"/>
  <c r="G146" i="15"/>
  <c r="G150" i="15" s="1"/>
  <c r="H150" i="15" s="1"/>
  <c r="I150" i="15" s="1"/>
  <c r="J150" i="15" s="1"/>
  <c r="K150" i="15" s="1"/>
  <c r="L150" i="15" s="1"/>
  <c r="G43" i="15"/>
  <c r="G133" i="10"/>
  <c r="G95" i="5"/>
  <c r="E34" i="2"/>
  <c r="E21" i="2"/>
  <c r="G43" i="7"/>
  <c r="H21" i="8"/>
  <c r="H69" i="8"/>
  <c r="I157" i="10"/>
  <c r="J157" i="10" s="1"/>
  <c r="J126" i="11"/>
  <c r="J96" i="11"/>
  <c r="K11" i="11"/>
  <c r="J185" i="11"/>
  <c r="C190" i="11" s="1"/>
  <c r="J56" i="11"/>
  <c r="G43" i="13"/>
  <c r="F84" i="7"/>
  <c r="F87" i="7" s="1"/>
  <c r="F135" i="13"/>
  <c r="F77" i="13"/>
  <c r="F84" i="13" s="1"/>
  <c r="F87" i="13" s="1"/>
  <c r="F89" i="13" s="1"/>
  <c r="F81" i="4"/>
  <c r="F64" i="5"/>
  <c r="F100" i="5"/>
  <c r="F84" i="5"/>
  <c r="F87" i="5" s="1"/>
  <c r="F103" i="7"/>
  <c r="F13" i="8"/>
  <c r="F15" i="8" s="1"/>
  <c r="G100" i="8"/>
  <c r="G64" i="8"/>
  <c r="F84" i="10"/>
  <c r="F87" i="10" s="1"/>
  <c r="F13" i="12"/>
  <c r="G64" i="12"/>
  <c r="G70" i="12" s="1"/>
  <c r="G170" i="12" s="1"/>
  <c r="C236" i="13"/>
  <c r="C246" i="13"/>
  <c r="H206" i="14"/>
  <c r="H209" i="14" s="1"/>
  <c r="G212" i="14"/>
  <c r="G41" i="8"/>
  <c r="H41" i="8" s="1"/>
  <c r="G15" i="8"/>
  <c r="G94" i="8"/>
  <c r="G48" i="8"/>
  <c r="H48" i="8" s="1"/>
  <c r="I83" i="8"/>
  <c r="J83" i="8" s="1"/>
  <c r="I119" i="8"/>
  <c r="J11" i="9"/>
  <c r="I56" i="9"/>
  <c r="I96" i="9"/>
  <c r="G121" i="10"/>
  <c r="H121" i="10" s="1"/>
  <c r="G64" i="11"/>
  <c r="F153" i="11"/>
  <c r="F147" i="11"/>
  <c r="G15" i="12"/>
  <c r="G145" i="12"/>
  <c r="G149" i="12" s="1"/>
  <c r="G70" i="15"/>
  <c r="G169" i="15"/>
  <c r="C260" i="15"/>
  <c r="C270" i="15"/>
  <c r="C212" i="15"/>
  <c r="C222" i="15" s="1"/>
  <c r="F96" i="17"/>
  <c r="F201" i="17"/>
  <c r="F126" i="17"/>
  <c r="D79" i="2"/>
  <c r="G71" i="4"/>
  <c r="G74" i="4" s="1"/>
  <c r="F84" i="6"/>
  <c r="F87" i="6" s="1"/>
  <c r="F108" i="6" s="1"/>
  <c r="G119" i="10"/>
  <c r="G103" i="10"/>
  <c r="F123" i="10"/>
  <c r="G15" i="11"/>
  <c r="G163" i="11" s="1"/>
  <c r="H21" i="11"/>
  <c r="G153" i="11"/>
  <c r="G147" i="11"/>
  <c r="G151" i="11" s="1"/>
  <c r="G138" i="12"/>
  <c r="C210" i="16"/>
  <c r="C220" i="16" s="1"/>
  <c r="C258" i="16"/>
  <c r="C268" i="16"/>
  <c r="G18" i="5"/>
  <c r="F13" i="9"/>
  <c r="F43" i="9" s="1"/>
  <c r="H43" i="9" s="1"/>
  <c r="G138" i="9"/>
  <c r="G105" i="10"/>
  <c r="G77" i="10"/>
  <c r="F64" i="11"/>
  <c r="F136" i="11"/>
  <c r="F154" i="11" s="1"/>
  <c r="F77" i="11"/>
  <c r="F84" i="11" s="1"/>
  <c r="F87" i="11" s="1"/>
  <c r="I185" i="13"/>
  <c r="C189" i="13" s="1"/>
  <c r="I126" i="13"/>
  <c r="I56" i="13"/>
  <c r="J11" i="13"/>
  <c r="I96" i="13"/>
  <c r="I201" i="13"/>
  <c r="G133" i="13"/>
  <c r="H85" i="16"/>
  <c r="I85" i="16" s="1"/>
  <c r="J85" i="16" s="1"/>
  <c r="K85" i="16" s="1"/>
  <c r="L85" i="16" s="1"/>
  <c r="G173" i="16"/>
  <c r="F171" i="16"/>
  <c r="F171" i="12"/>
  <c r="F103" i="6"/>
  <c r="F103" i="5"/>
  <c r="D69" i="2"/>
  <c r="H56" i="7"/>
  <c r="H117" i="7"/>
  <c r="C120" i="7" s="1"/>
  <c r="I11" i="7"/>
  <c r="G132" i="9"/>
  <c r="G15" i="9"/>
  <c r="G133" i="9" s="1"/>
  <c r="G48" i="9"/>
  <c r="H48" i="9" s="1"/>
  <c r="G141" i="9"/>
  <c r="G43" i="10"/>
  <c r="G116" i="10"/>
  <c r="G120" i="10" s="1"/>
  <c r="H120" i="10" s="1"/>
  <c r="I120" i="10" s="1"/>
  <c r="J120" i="10" s="1"/>
  <c r="K120" i="10" s="1"/>
  <c r="L120" i="10" s="1"/>
  <c r="G136" i="11"/>
  <c r="G77" i="11"/>
  <c r="H102" i="15"/>
  <c r="H69" i="15"/>
  <c r="C259" i="16"/>
  <c r="C269" i="16"/>
  <c r="C211" i="16"/>
  <c r="C221" i="16" s="1"/>
  <c r="G77" i="17"/>
  <c r="G135" i="17"/>
  <c r="F147" i="16"/>
  <c r="F154" i="16" s="1"/>
  <c r="F151" i="16"/>
  <c r="H151" i="16" s="1"/>
  <c r="F170" i="17"/>
  <c r="G77" i="7"/>
  <c r="I109" i="9"/>
  <c r="F124" i="10"/>
  <c r="F82" i="10"/>
  <c r="F126" i="11"/>
  <c r="F96" i="11"/>
  <c r="G162" i="11"/>
  <c r="F147" i="12"/>
  <c r="F151" i="12" s="1"/>
  <c r="F44" i="12"/>
  <c r="H44" i="12" s="1"/>
  <c r="G82" i="12"/>
  <c r="F168" i="14"/>
  <c r="F64" i="14"/>
  <c r="I151" i="14"/>
  <c r="G145" i="15"/>
  <c r="H244" i="15"/>
  <c r="G259" i="15"/>
  <c r="G147" i="16"/>
  <c r="G151" i="16" s="1"/>
  <c r="H250" i="16"/>
  <c r="G260" i="16"/>
  <c r="F133" i="16"/>
  <c r="C270" i="17"/>
  <c r="C281" i="17" s="1"/>
  <c r="C290" i="17" s="1"/>
  <c r="F154" i="17"/>
  <c r="C269" i="15"/>
  <c r="C211" i="15"/>
  <c r="C221" i="15" s="1"/>
  <c r="C259" i="15"/>
  <c r="K22" i="5"/>
  <c r="K31" i="5" s="1"/>
  <c r="K33" i="5" s="1"/>
  <c r="K34" i="5" s="1"/>
  <c r="G44" i="6"/>
  <c r="G170" i="13"/>
  <c r="G170" i="17"/>
  <c r="G22" i="3"/>
  <c r="G31" i="3" s="1"/>
  <c r="G33" i="3" s="1"/>
  <c r="G34" i="3" s="1"/>
  <c r="G51" i="4"/>
  <c r="H117" i="5"/>
  <c r="C120" i="5" s="1"/>
  <c r="H56" i="5"/>
  <c r="L19" i="5"/>
  <c r="L22" i="5"/>
  <c r="L31" i="5" s="1"/>
  <c r="L33" i="5" s="1"/>
  <c r="L34" i="5" s="1"/>
  <c r="F43" i="8"/>
  <c r="H43" i="8" s="1"/>
  <c r="I11" i="10"/>
  <c r="G82" i="10"/>
  <c r="G48" i="11"/>
  <c r="H48" i="11" s="1"/>
  <c r="G155" i="11"/>
  <c r="G82" i="11"/>
  <c r="G146" i="12"/>
  <c r="G153" i="12" s="1"/>
  <c r="G43" i="12"/>
  <c r="G44" i="12"/>
  <c r="G147" i="12"/>
  <c r="G154" i="12" s="1"/>
  <c r="I21" i="13"/>
  <c r="I69" i="13" s="1"/>
  <c r="F130" i="13"/>
  <c r="F170" i="13"/>
  <c r="G168" i="14"/>
  <c r="G64" i="14"/>
  <c r="H215" i="14"/>
  <c r="H216" i="14" s="1"/>
  <c r="G235" i="14"/>
  <c r="F133" i="14"/>
  <c r="I227" i="14"/>
  <c r="G168" i="15"/>
  <c r="G150" i="16"/>
  <c r="G171" i="14"/>
  <c r="G171" i="16"/>
  <c r="G171" i="11"/>
  <c r="G90" i="4"/>
  <c r="G103" i="6"/>
  <c r="G171" i="17"/>
  <c r="E69" i="2"/>
  <c r="G84" i="6"/>
  <c r="G87" i="6" s="1"/>
  <c r="H70" i="7"/>
  <c r="G141" i="10"/>
  <c r="F168" i="11"/>
  <c r="G48" i="12"/>
  <c r="H48" i="12" s="1"/>
  <c r="G153" i="13"/>
  <c r="G138" i="13"/>
  <c r="H251" i="15"/>
  <c r="G260" i="15"/>
  <c r="H229" i="15"/>
  <c r="H232" i="15" s="1"/>
  <c r="G235" i="15"/>
  <c r="H250" i="15"/>
  <c r="I119" i="6"/>
  <c r="I84" i="7"/>
  <c r="I87" i="7" s="1"/>
  <c r="G15" i="10"/>
  <c r="G41" i="10"/>
  <c r="H41" i="10" s="1"/>
  <c r="G48" i="10"/>
  <c r="H48" i="10" s="1"/>
  <c r="H201" i="14"/>
  <c r="H96" i="14"/>
  <c r="H56" i="14"/>
  <c r="H126" i="14"/>
  <c r="C237" i="14"/>
  <c r="C247" i="14"/>
  <c r="H244" i="16"/>
  <c r="F155" i="17"/>
  <c r="J119" i="6"/>
  <c r="J126" i="6" s="1"/>
  <c r="J20" i="6" s="1"/>
  <c r="H126" i="12"/>
  <c r="H185" i="12"/>
  <c r="C188" i="12" s="1"/>
  <c r="H56" i="12"/>
  <c r="H21" i="12"/>
  <c r="F201" i="13"/>
  <c r="F126" i="13"/>
  <c r="F96" i="13"/>
  <c r="I11" i="14"/>
  <c r="G149" i="15"/>
  <c r="F135" i="16"/>
  <c r="F77" i="16"/>
  <c r="G173" i="12"/>
  <c r="G173" i="14"/>
  <c r="G105" i="8"/>
  <c r="G173" i="15"/>
  <c r="G173" i="17"/>
  <c r="G105" i="7"/>
  <c r="G173" i="13"/>
  <c r="G173" i="11"/>
  <c r="G15" i="4"/>
  <c r="G82" i="4" s="1"/>
  <c r="G103" i="5"/>
  <c r="F64" i="7"/>
  <c r="F70" i="7" s="1"/>
  <c r="F77" i="8"/>
  <c r="F77" i="9"/>
  <c r="I11" i="12"/>
  <c r="H96" i="13"/>
  <c r="H126" i="13"/>
  <c r="H185" i="13"/>
  <c r="C188" i="13" s="1"/>
  <c r="G150" i="14"/>
  <c r="H150" i="14" s="1"/>
  <c r="I150" i="14" s="1"/>
  <c r="J150" i="14" s="1"/>
  <c r="K150" i="14" s="1"/>
  <c r="L150" i="14" s="1"/>
  <c r="G15" i="15"/>
  <c r="G163" i="15" s="1"/>
  <c r="H102" i="17"/>
  <c r="G162" i="15"/>
  <c r="G162" i="12"/>
  <c r="G13" i="17"/>
  <c r="G162" i="17" s="1"/>
  <c r="G13" i="7"/>
  <c r="G13" i="6"/>
  <c r="G64" i="5"/>
  <c r="F101" i="6"/>
  <c r="F139" i="10"/>
  <c r="F82" i="12"/>
  <c r="F84" i="12" s="1"/>
  <c r="F87" i="12" s="1"/>
  <c r="G162" i="13"/>
  <c r="I228" i="14"/>
  <c r="F130" i="15"/>
  <c r="F64" i="15"/>
  <c r="F70" i="15" s="1"/>
  <c r="G13" i="16"/>
  <c r="G43" i="16" s="1"/>
  <c r="F133" i="17"/>
  <c r="F173" i="17"/>
  <c r="F173" i="15"/>
  <c r="F143" i="9"/>
  <c r="F105" i="7"/>
  <c r="F173" i="16"/>
  <c r="F147" i="13"/>
  <c r="F151" i="13" s="1"/>
  <c r="H151" i="13" s="1"/>
  <c r="C235" i="13"/>
  <c r="G13" i="14"/>
  <c r="G84" i="16"/>
  <c r="G87" i="16" s="1"/>
  <c r="G146" i="17"/>
  <c r="G150" i="17" s="1"/>
  <c r="H150" i="17" s="1"/>
  <c r="I150" i="17" s="1"/>
  <c r="J150" i="17" s="1"/>
  <c r="K150" i="17" s="1"/>
  <c r="L150" i="17" s="1"/>
  <c r="G64" i="17"/>
  <c r="G70" i="17" s="1"/>
  <c r="F64" i="17"/>
  <c r="F70" i="17" s="1"/>
  <c r="F153" i="17"/>
  <c r="F138" i="17"/>
  <c r="G154" i="17"/>
  <c r="C211" i="17"/>
  <c r="C221" i="17" s="1"/>
  <c r="C259" i="17"/>
  <c r="C269" i="17"/>
  <c r="C280" i="17" s="1"/>
  <c r="C289" i="17" s="1"/>
  <c r="F169" i="17"/>
  <c r="F169" i="13"/>
  <c r="D78" i="2"/>
  <c r="F101" i="7"/>
  <c r="G133" i="12"/>
  <c r="I187" i="14"/>
  <c r="F153" i="14"/>
  <c r="F138" i="14"/>
  <c r="G147" i="15"/>
  <c r="G155" i="15" s="1"/>
  <c r="G44" i="15"/>
  <c r="F77" i="15"/>
  <c r="F84" i="15" s="1"/>
  <c r="F87" i="15" s="1"/>
  <c r="F135" i="15"/>
  <c r="F155" i="15"/>
  <c r="H155" i="15" s="1"/>
  <c r="C270" i="16"/>
  <c r="C212" i="16"/>
  <c r="C222" i="16" s="1"/>
  <c r="G133" i="16"/>
  <c r="I187" i="17"/>
  <c r="J187" i="17"/>
  <c r="G169" i="17"/>
  <c r="E78" i="2"/>
  <c r="F105" i="8"/>
  <c r="F143" i="10"/>
  <c r="F150" i="12"/>
  <c r="H150" i="12" s="1"/>
  <c r="I150" i="12" s="1"/>
  <c r="J150" i="12" s="1"/>
  <c r="K150" i="12" s="1"/>
  <c r="L150" i="12" s="1"/>
  <c r="G77" i="12"/>
  <c r="G84" i="12" s="1"/>
  <c r="G87" i="12" s="1"/>
  <c r="G89" i="12" s="1"/>
  <c r="G77" i="15"/>
  <c r="G135" i="15"/>
  <c r="H126" i="15"/>
  <c r="I11" i="15"/>
  <c r="G82" i="15"/>
  <c r="H185" i="15"/>
  <c r="C188" i="15" s="1"/>
  <c r="H238" i="17"/>
  <c r="G258" i="17"/>
  <c r="H250" i="17"/>
  <c r="F133" i="12"/>
  <c r="F147" i="15"/>
  <c r="F154" i="15" s="1"/>
  <c r="J185" i="16"/>
  <c r="C190" i="16" s="1"/>
  <c r="J96" i="16"/>
  <c r="K11" i="16"/>
  <c r="J201" i="16"/>
  <c r="C210" i="17"/>
  <c r="C220" i="17" s="1"/>
  <c r="C258" i="17"/>
  <c r="C268" i="17"/>
  <c r="C279" i="17" s="1"/>
  <c r="C288" i="17" s="1"/>
  <c r="G44" i="13"/>
  <c r="I185" i="16"/>
  <c r="C189" i="16" s="1"/>
  <c r="I56" i="16"/>
  <c r="G258" i="16"/>
  <c r="G82" i="16"/>
  <c r="J187" i="16"/>
  <c r="I201" i="16"/>
  <c r="H239" i="16"/>
  <c r="H210" i="16" s="1"/>
  <c r="F43" i="13"/>
  <c r="G64" i="13"/>
  <c r="G70" i="13" s="1"/>
  <c r="G64" i="16"/>
  <c r="H21" i="16"/>
  <c r="H245" i="17"/>
  <c r="H211" i="17" s="1"/>
  <c r="F168" i="16"/>
  <c r="F64" i="16"/>
  <c r="H69" i="17"/>
  <c r="I21" i="17" s="1"/>
  <c r="F151" i="17"/>
  <c r="H56" i="17"/>
  <c r="H201" i="17"/>
  <c r="H126" i="17"/>
  <c r="I11" i="17"/>
  <c r="H185" i="17"/>
  <c r="C188" i="17" s="1"/>
  <c r="F77" i="17"/>
  <c r="F84" i="17" s="1"/>
  <c r="F87" i="17" s="1"/>
  <c r="F89" i="17" s="1"/>
  <c r="G133" i="17"/>
  <c r="G82" i="17"/>
  <c r="G232" i="17"/>
  <c r="K187" i="15" l="1"/>
  <c r="L187" i="15"/>
  <c r="G48" i="16"/>
  <c r="H48" i="16" s="1"/>
  <c r="F71" i="4"/>
  <c r="F74" i="4" s="1"/>
  <c r="H43" i="13"/>
  <c r="I43" i="13" s="1"/>
  <c r="F89" i="12"/>
  <c r="F171" i="13"/>
  <c r="F89" i="10"/>
  <c r="F95" i="4"/>
  <c r="G154" i="15"/>
  <c r="H154" i="15" s="1"/>
  <c r="I154" i="15" s="1"/>
  <c r="G169" i="13"/>
  <c r="H150" i="16"/>
  <c r="I150" i="16" s="1"/>
  <c r="J150" i="16" s="1"/>
  <c r="K150" i="16" s="1"/>
  <c r="L150" i="16" s="1"/>
  <c r="F155" i="16"/>
  <c r="F155" i="13"/>
  <c r="H155" i="13" s="1"/>
  <c r="H69" i="10"/>
  <c r="I21" i="10" s="1"/>
  <c r="F44" i="16"/>
  <c r="H44" i="16" s="1"/>
  <c r="G70" i="9"/>
  <c r="G89" i="9" s="1"/>
  <c r="G84" i="7"/>
  <c r="G87" i="7" s="1"/>
  <c r="G108" i="7" s="1"/>
  <c r="F176" i="12"/>
  <c r="F84" i="14"/>
  <c r="F87" i="14" s="1"/>
  <c r="F44" i="14"/>
  <c r="F89" i="15"/>
  <c r="H69" i="14"/>
  <c r="G171" i="13"/>
  <c r="G101" i="7"/>
  <c r="G44" i="16"/>
  <c r="F43" i="7"/>
  <c r="H43" i="7" s="1"/>
  <c r="I43" i="7" s="1"/>
  <c r="I84" i="8"/>
  <c r="F44" i="7"/>
  <c r="F84" i="9"/>
  <c r="F87" i="9" s="1"/>
  <c r="F146" i="9" s="1"/>
  <c r="G138" i="14"/>
  <c r="G139" i="14" s="1"/>
  <c r="G141" i="14" s="1"/>
  <c r="F84" i="16"/>
  <c r="F87" i="16" s="1"/>
  <c r="F89" i="16" s="1"/>
  <c r="H155" i="17"/>
  <c r="H153" i="12"/>
  <c r="I153" i="12" s="1"/>
  <c r="J153" i="12" s="1"/>
  <c r="K153" i="12" s="1"/>
  <c r="L153" i="12" s="1"/>
  <c r="F88" i="4"/>
  <c r="F169" i="15"/>
  <c r="H154" i="16"/>
  <c r="I154" i="16" s="1"/>
  <c r="H151" i="17"/>
  <c r="G155" i="16"/>
  <c r="H155" i="16" s="1"/>
  <c r="F139" i="12"/>
  <c r="G151" i="15"/>
  <c r="F141" i="9"/>
  <c r="H44" i="13"/>
  <c r="I44" i="13" s="1"/>
  <c r="G101" i="6"/>
  <c r="G70" i="6"/>
  <c r="G102" i="6" s="1"/>
  <c r="G84" i="14"/>
  <c r="G87" i="14" s="1"/>
  <c r="I238" i="15"/>
  <c r="H79" i="15"/>
  <c r="I102" i="17"/>
  <c r="I41" i="15"/>
  <c r="H13" i="15"/>
  <c r="L187" i="17"/>
  <c r="I121" i="10"/>
  <c r="I155" i="15"/>
  <c r="H13" i="10"/>
  <c r="I41" i="10"/>
  <c r="F169" i="11"/>
  <c r="F70" i="11"/>
  <c r="H36" i="10"/>
  <c r="I48" i="10"/>
  <c r="I151" i="17"/>
  <c r="H78" i="15"/>
  <c r="H235" i="15"/>
  <c r="I229" i="15"/>
  <c r="I232" i="15" s="1"/>
  <c r="I96" i="17"/>
  <c r="J11" i="17"/>
  <c r="I56" i="17"/>
  <c r="I201" i="17"/>
  <c r="I185" i="17"/>
  <c r="C189" i="17" s="1"/>
  <c r="I126" i="17"/>
  <c r="I230" i="14"/>
  <c r="G18" i="9"/>
  <c r="G16" i="9"/>
  <c r="F171" i="15"/>
  <c r="G145" i="14"/>
  <c r="G149" i="14" s="1"/>
  <c r="G41" i="14"/>
  <c r="H41" i="14" s="1"/>
  <c r="G44" i="14"/>
  <c r="G15" i="14"/>
  <c r="G48" i="14"/>
  <c r="H48" i="14" s="1"/>
  <c r="I126" i="6"/>
  <c r="I20" i="6" s="1"/>
  <c r="H102" i="12"/>
  <c r="F139" i="14"/>
  <c r="J21" i="13"/>
  <c r="J69" i="13" s="1"/>
  <c r="I102" i="13"/>
  <c r="I43" i="8"/>
  <c r="J151" i="14"/>
  <c r="I117" i="7"/>
  <c r="C121" i="7" s="1"/>
  <c r="I56" i="7"/>
  <c r="J11" i="7"/>
  <c r="G139" i="13"/>
  <c r="G16" i="12"/>
  <c r="G18" i="12"/>
  <c r="F43" i="16"/>
  <c r="H43" i="16" s="1"/>
  <c r="F145" i="16"/>
  <c r="F149" i="16" s="1"/>
  <c r="F15" i="16"/>
  <c r="K201" i="16"/>
  <c r="L11" i="16"/>
  <c r="K185" i="16"/>
  <c r="C191" i="16" s="1"/>
  <c r="K126" i="16"/>
  <c r="K56" i="16"/>
  <c r="K96" i="16"/>
  <c r="G18" i="8"/>
  <c r="G16" i="8"/>
  <c r="F145" i="12"/>
  <c r="F149" i="12" s="1"/>
  <c r="H149" i="12" s="1"/>
  <c r="I149" i="12" s="1"/>
  <c r="J149" i="12" s="1"/>
  <c r="K149" i="12" s="1"/>
  <c r="L149" i="12" s="1"/>
  <c r="F43" i="12"/>
  <c r="H43" i="12" s="1"/>
  <c r="F15" i="12"/>
  <c r="F163" i="12" s="1"/>
  <c r="G95" i="8"/>
  <c r="F16" i="5"/>
  <c r="F18" i="5"/>
  <c r="F70" i="8"/>
  <c r="F101" i="8"/>
  <c r="G169" i="14"/>
  <c r="G70" i="14"/>
  <c r="F172" i="15"/>
  <c r="F104" i="6"/>
  <c r="F172" i="12"/>
  <c r="F104" i="5"/>
  <c r="F142" i="10"/>
  <c r="F172" i="13"/>
  <c r="F104" i="7"/>
  <c r="F172" i="17"/>
  <c r="D76" i="2"/>
  <c r="D81" i="2" s="1"/>
  <c r="F172" i="11"/>
  <c r="I69" i="9"/>
  <c r="I69" i="17"/>
  <c r="J21" i="17" s="1"/>
  <c r="F138" i="15"/>
  <c r="F153" i="15"/>
  <c r="I155" i="17"/>
  <c r="I48" i="11"/>
  <c r="I151" i="16"/>
  <c r="J11" i="4"/>
  <c r="I43" i="4"/>
  <c r="F169" i="16"/>
  <c r="F70" i="16"/>
  <c r="H102" i="16"/>
  <c r="I48" i="16"/>
  <c r="I69" i="15"/>
  <c r="I155" i="13"/>
  <c r="I69" i="14"/>
  <c r="F162" i="12"/>
  <c r="F15" i="11"/>
  <c r="F145" i="11"/>
  <c r="F149" i="11" s="1"/>
  <c r="H149" i="11" s="1"/>
  <c r="I149" i="11" s="1"/>
  <c r="J149" i="11" s="1"/>
  <c r="K149" i="11" s="1"/>
  <c r="L149" i="11" s="1"/>
  <c r="F43" i="11"/>
  <c r="H43" i="11" s="1"/>
  <c r="K119" i="7"/>
  <c r="K126" i="7" s="1"/>
  <c r="K20" i="7" s="1"/>
  <c r="F44" i="15"/>
  <c r="H44" i="15" s="1"/>
  <c r="I96" i="12"/>
  <c r="I126" i="12"/>
  <c r="J11" i="12"/>
  <c r="I56" i="12"/>
  <c r="I185" i="12"/>
  <c r="C189" i="12" s="1"/>
  <c r="I56" i="10"/>
  <c r="J11" i="10"/>
  <c r="I96" i="10"/>
  <c r="I155" i="10"/>
  <c r="C159" i="10" s="1"/>
  <c r="I44" i="16"/>
  <c r="G84" i="10"/>
  <c r="G87" i="10" s="1"/>
  <c r="F154" i="12"/>
  <c r="H154" i="12" s="1"/>
  <c r="K11" i="9"/>
  <c r="J96" i="9"/>
  <c r="J56" i="9"/>
  <c r="J155" i="9"/>
  <c r="C160" i="9" s="1"/>
  <c r="I206" i="14"/>
  <c r="I209" i="14" s="1"/>
  <c r="H78" i="14"/>
  <c r="H212" i="14"/>
  <c r="F162" i="11"/>
  <c r="H224" i="14"/>
  <c r="K11" i="3"/>
  <c r="J43" i="3"/>
  <c r="G125" i="10"/>
  <c r="H125" i="10" s="1"/>
  <c r="G124" i="10"/>
  <c r="H124" i="10" s="1"/>
  <c r="F149" i="13"/>
  <c r="H149" i="13" s="1"/>
  <c r="I149" i="13" s="1"/>
  <c r="J149" i="13" s="1"/>
  <c r="K149" i="13" s="1"/>
  <c r="L149" i="13" s="1"/>
  <c r="F133" i="13"/>
  <c r="I43" i="9"/>
  <c r="F44" i="6"/>
  <c r="H44" i="6" s="1"/>
  <c r="I21" i="15"/>
  <c r="G108" i="10"/>
  <c r="G123" i="10"/>
  <c r="H123" i="10" s="1"/>
  <c r="I123" i="10" s="1"/>
  <c r="J123" i="10" s="1"/>
  <c r="K123" i="10" s="1"/>
  <c r="L123" i="10" s="1"/>
  <c r="I21" i="14"/>
  <c r="I21" i="8"/>
  <c r="I69" i="8" s="1"/>
  <c r="F15" i="13"/>
  <c r="F163" i="13" s="1"/>
  <c r="F145" i="13"/>
  <c r="G139" i="10"/>
  <c r="G70" i="10"/>
  <c r="G169" i="16"/>
  <c r="G70" i="16"/>
  <c r="H153" i="14"/>
  <c r="I153" i="14" s="1"/>
  <c r="J153" i="14" s="1"/>
  <c r="K153" i="14" s="1"/>
  <c r="L153" i="14" s="1"/>
  <c r="I151" i="13"/>
  <c r="F171" i="11"/>
  <c r="F15" i="9"/>
  <c r="F44" i="9"/>
  <c r="H44" i="9" s="1"/>
  <c r="G41" i="9"/>
  <c r="H41" i="9" s="1"/>
  <c r="G41" i="12"/>
  <c r="H41" i="12" s="1"/>
  <c r="G43" i="14"/>
  <c r="G70" i="8"/>
  <c r="G101" i="8"/>
  <c r="F153" i="13"/>
  <c r="H153" i="13" s="1"/>
  <c r="I153" i="13" s="1"/>
  <c r="J153" i="13" s="1"/>
  <c r="K153" i="13" s="1"/>
  <c r="L153" i="13" s="1"/>
  <c r="F138" i="13"/>
  <c r="K96" i="11"/>
  <c r="K185" i="11"/>
  <c r="C191" i="11" s="1"/>
  <c r="L11" i="11"/>
  <c r="K126" i="11"/>
  <c r="K56" i="11"/>
  <c r="F43" i="6"/>
  <c r="G153" i="15"/>
  <c r="G138" i="15"/>
  <c r="G139" i="15" s="1"/>
  <c r="K187" i="14"/>
  <c r="F108" i="7"/>
  <c r="F102" i="7"/>
  <c r="I21" i="11"/>
  <c r="F151" i="11"/>
  <c r="H151" i="11" s="1"/>
  <c r="F155" i="11"/>
  <c r="H155" i="11" s="1"/>
  <c r="F132" i="9"/>
  <c r="J56" i="6"/>
  <c r="J117" i="6"/>
  <c r="C122" i="6" s="1"/>
  <c r="K11" i="6"/>
  <c r="J157" i="9"/>
  <c r="K157" i="9" s="1"/>
  <c r="I44" i="8"/>
  <c r="G139" i="17"/>
  <c r="G84" i="15"/>
  <c r="G87" i="15" s="1"/>
  <c r="G89" i="15" s="1"/>
  <c r="K187" i="16"/>
  <c r="L187" i="16" s="1"/>
  <c r="J187" i="14"/>
  <c r="G44" i="7"/>
  <c r="G15" i="7"/>
  <c r="G94" i="7"/>
  <c r="G41" i="7"/>
  <c r="H41" i="7" s="1"/>
  <c r="G171" i="15"/>
  <c r="K119" i="6"/>
  <c r="K126" i="6" s="1"/>
  <c r="K20" i="6" s="1"/>
  <c r="I48" i="12"/>
  <c r="G170" i="15"/>
  <c r="H154" i="17"/>
  <c r="H245" i="15"/>
  <c r="H247" i="15" s="1"/>
  <c r="F151" i="15"/>
  <c r="G154" i="11"/>
  <c r="H154" i="11" s="1"/>
  <c r="G138" i="11"/>
  <c r="J185" i="13"/>
  <c r="C190" i="13" s="1"/>
  <c r="K11" i="13"/>
  <c r="J96" i="13"/>
  <c r="J56" i="13"/>
  <c r="J201" i="13"/>
  <c r="J126" i="13"/>
  <c r="G16" i="11"/>
  <c r="G18" i="11"/>
  <c r="F138" i="11"/>
  <c r="F139" i="11" s="1"/>
  <c r="J84" i="8"/>
  <c r="K83" i="8"/>
  <c r="F16" i="8"/>
  <c r="F18" i="8"/>
  <c r="E39" i="2"/>
  <c r="E36" i="2"/>
  <c r="F163" i="17"/>
  <c r="F163" i="16"/>
  <c r="F95" i="6"/>
  <c r="F82" i="4"/>
  <c r="F95" i="7"/>
  <c r="F163" i="11"/>
  <c r="D34" i="2"/>
  <c r="F95" i="8"/>
  <c r="F95" i="5"/>
  <c r="F133" i="9"/>
  <c r="D21" i="2"/>
  <c r="F162" i="13"/>
  <c r="F176" i="13"/>
  <c r="J83" i="9"/>
  <c r="I84" i="9"/>
  <c r="J155" i="14"/>
  <c r="K11" i="8"/>
  <c r="J56" i="8"/>
  <c r="J117" i="8"/>
  <c r="C122" i="8" s="1"/>
  <c r="J187" i="12"/>
  <c r="K187" i="12" s="1"/>
  <c r="I21" i="9"/>
  <c r="H239" i="17"/>
  <c r="H210" i="17" s="1"/>
  <c r="G169" i="12"/>
  <c r="G139" i="16"/>
  <c r="F176" i="17"/>
  <c r="G145" i="16"/>
  <c r="G149" i="16" s="1"/>
  <c r="G15" i="16"/>
  <c r="G162" i="16"/>
  <c r="G41" i="16"/>
  <c r="H41" i="16" s="1"/>
  <c r="G18" i="15"/>
  <c r="G16" i="15"/>
  <c r="H245" i="16"/>
  <c r="H211" i="16" s="1"/>
  <c r="H218" i="14"/>
  <c r="F155" i="12"/>
  <c r="F140" i="9"/>
  <c r="G153" i="17"/>
  <c r="H153" i="17" s="1"/>
  <c r="I153" i="17" s="1"/>
  <c r="J153" i="17" s="1"/>
  <c r="K153" i="17" s="1"/>
  <c r="L153" i="17" s="1"/>
  <c r="G138" i="17"/>
  <c r="G103" i="7"/>
  <c r="F171" i="17"/>
  <c r="H153" i="11"/>
  <c r="I153" i="11" s="1"/>
  <c r="J153" i="11" s="1"/>
  <c r="K153" i="11" s="1"/>
  <c r="L153" i="11" s="1"/>
  <c r="I48" i="8"/>
  <c r="F154" i="13"/>
  <c r="H154" i="13" s="1"/>
  <c r="F18" i="4"/>
  <c r="F16" i="4"/>
  <c r="F145" i="14"/>
  <c r="F149" i="14" s="1"/>
  <c r="F15" i="14"/>
  <c r="F163" i="14" s="1"/>
  <c r="F43" i="14"/>
  <c r="H43" i="14" s="1"/>
  <c r="G41" i="13"/>
  <c r="H41" i="13" s="1"/>
  <c r="G84" i="8"/>
  <c r="G87" i="8" s="1"/>
  <c r="G103" i="8"/>
  <c r="F133" i="15"/>
  <c r="G145" i="17"/>
  <c r="G149" i="17" s="1"/>
  <c r="G48" i="17"/>
  <c r="H48" i="17" s="1"/>
  <c r="G41" i="17"/>
  <c r="H41" i="17" s="1"/>
  <c r="G15" i="17"/>
  <c r="G44" i="17"/>
  <c r="G18" i="4"/>
  <c r="G16" i="4"/>
  <c r="F138" i="16"/>
  <c r="F139" i="16" s="1"/>
  <c r="F153" i="16"/>
  <c r="H153" i="16" s="1"/>
  <c r="I153" i="16" s="1"/>
  <c r="J153" i="16" s="1"/>
  <c r="K153" i="16" s="1"/>
  <c r="L153" i="16" s="1"/>
  <c r="I44" i="12"/>
  <c r="G18" i="13"/>
  <c r="G16" i="13"/>
  <c r="G43" i="17"/>
  <c r="F89" i="11"/>
  <c r="H13" i="8"/>
  <c r="H36" i="8" s="1"/>
  <c r="I41" i="8"/>
  <c r="F16" i="6"/>
  <c r="F18" i="6"/>
  <c r="F145" i="15"/>
  <c r="F149" i="15" s="1"/>
  <c r="H149" i="15" s="1"/>
  <c r="I149" i="15" s="1"/>
  <c r="J149" i="15" s="1"/>
  <c r="K149" i="15" s="1"/>
  <c r="L149" i="15" s="1"/>
  <c r="F43" i="15"/>
  <c r="H43" i="15" s="1"/>
  <c r="F15" i="15"/>
  <c r="I48" i="13"/>
  <c r="J11" i="14"/>
  <c r="I185" i="14"/>
  <c r="C189" i="14" s="1"/>
  <c r="I201" i="14"/>
  <c r="I56" i="14"/>
  <c r="I96" i="14"/>
  <c r="I126" i="14"/>
  <c r="G16" i="10"/>
  <c r="G18" i="10"/>
  <c r="H251" i="16"/>
  <c r="H212" i="16" s="1"/>
  <c r="I48" i="9"/>
  <c r="F70" i="5"/>
  <c r="F101" i="5"/>
  <c r="F94" i="5"/>
  <c r="I44" i="11"/>
  <c r="K187" i="11"/>
  <c r="L187" i="11" s="1"/>
  <c r="G139" i="11"/>
  <c r="G171" i="12"/>
  <c r="G172" i="16"/>
  <c r="G172" i="14"/>
  <c r="G104" i="6"/>
  <c r="G172" i="12"/>
  <c r="G104" i="5"/>
  <c r="G172" i="13"/>
  <c r="G142" i="9"/>
  <c r="E76" i="2"/>
  <c r="E81" i="2" s="1"/>
  <c r="G172" i="11"/>
  <c r="G91" i="4"/>
  <c r="L119" i="7"/>
  <c r="L126" i="7" s="1"/>
  <c r="L20" i="7" s="1"/>
  <c r="H69" i="16"/>
  <c r="I21" i="16" s="1"/>
  <c r="K187" i="17"/>
  <c r="G70" i="5"/>
  <c r="G101" i="5"/>
  <c r="F84" i="8"/>
  <c r="F87" i="8" s="1"/>
  <c r="F89" i="8" s="1"/>
  <c r="F103" i="8"/>
  <c r="F16" i="7"/>
  <c r="F18" i="7"/>
  <c r="F15" i="17"/>
  <c r="F145" i="17"/>
  <c r="F149" i="17" s="1"/>
  <c r="H149" i="17" s="1"/>
  <c r="I149" i="17" s="1"/>
  <c r="J149" i="17" s="1"/>
  <c r="K149" i="17" s="1"/>
  <c r="L149" i="17" s="1"/>
  <c r="F43" i="17"/>
  <c r="F44" i="17"/>
  <c r="J48" i="15"/>
  <c r="G235" i="17"/>
  <c r="H229" i="17"/>
  <c r="I201" i="15"/>
  <c r="I185" i="15"/>
  <c r="C189" i="15" s="1"/>
  <c r="I96" i="15"/>
  <c r="I56" i="15"/>
  <c r="I126" i="15"/>
  <c r="J11" i="15"/>
  <c r="F139" i="17"/>
  <c r="G41" i="6"/>
  <c r="H41" i="6" s="1"/>
  <c r="G15" i="6"/>
  <c r="G43" i="6"/>
  <c r="G94" i="6"/>
  <c r="G155" i="12"/>
  <c r="G151" i="12"/>
  <c r="H151" i="12" s="1"/>
  <c r="F70" i="14"/>
  <c r="F169" i="14"/>
  <c r="G84" i="11"/>
  <c r="G87" i="11" s="1"/>
  <c r="G19" i="5"/>
  <c r="G22" i="5"/>
  <c r="G31" i="5" s="1"/>
  <c r="G33" i="5" s="1"/>
  <c r="G34" i="5" s="1"/>
  <c r="J119" i="8"/>
  <c r="J154" i="14"/>
  <c r="F162" i="17"/>
  <c r="I187" i="13"/>
  <c r="J187" i="13" s="1"/>
  <c r="H69" i="12"/>
  <c r="I21" i="12" s="1"/>
  <c r="G176" i="13"/>
  <c r="H251" i="17"/>
  <c r="G139" i="12"/>
  <c r="F170" i="15"/>
  <c r="F176" i="15"/>
  <c r="G162" i="14"/>
  <c r="G41" i="11"/>
  <c r="H41" i="11" s="1"/>
  <c r="H253" i="15"/>
  <c r="G88" i="4"/>
  <c r="G57" i="4"/>
  <c r="G84" i="17"/>
  <c r="G87" i="17" s="1"/>
  <c r="G89" i="17" s="1"/>
  <c r="G109" i="10"/>
  <c r="G111" i="10" s="1"/>
  <c r="G70" i="11"/>
  <c r="G169" i="11"/>
  <c r="G176" i="12"/>
  <c r="F94" i="6"/>
  <c r="K157" i="10"/>
  <c r="F146" i="10"/>
  <c r="F44" i="10"/>
  <c r="H44" i="10" s="1"/>
  <c r="F43" i="10"/>
  <c r="H43" i="10" s="1"/>
  <c r="F15" i="10"/>
  <c r="F115" i="10"/>
  <c r="F119" i="10" s="1"/>
  <c r="H119" i="10" s="1"/>
  <c r="I119" i="10" s="1"/>
  <c r="J119" i="10" s="1"/>
  <c r="K119" i="10" s="1"/>
  <c r="L119" i="10" s="1"/>
  <c r="F162" i="15"/>
  <c r="J117" i="5"/>
  <c r="C122" i="5" s="1"/>
  <c r="K11" i="5"/>
  <c r="J56" i="5"/>
  <c r="F172" i="16" l="1"/>
  <c r="H155" i="12"/>
  <c r="F172" i="14"/>
  <c r="F89" i="9"/>
  <c r="H213" i="16"/>
  <c r="F91" i="4"/>
  <c r="F139" i="15"/>
  <c r="H44" i="7"/>
  <c r="H44" i="17"/>
  <c r="I44" i="17" s="1"/>
  <c r="G176" i="17"/>
  <c r="G104" i="7"/>
  <c r="H151" i="15"/>
  <c r="F142" i="9"/>
  <c r="H44" i="14"/>
  <c r="G108" i="6"/>
  <c r="H149" i="14"/>
  <c r="I149" i="14" s="1"/>
  <c r="J149" i="14" s="1"/>
  <c r="K149" i="14" s="1"/>
  <c r="L149" i="14" s="1"/>
  <c r="G146" i="9"/>
  <c r="G140" i="9"/>
  <c r="G141" i="12"/>
  <c r="F89" i="14"/>
  <c r="G89" i="8"/>
  <c r="I69" i="10"/>
  <c r="J21" i="10" s="1"/>
  <c r="I151" i="12"/>
  <c r="I102" i="12"/>
  <c r="H80" i="15"/>
  <c r="I244" i="15"/>
  <c r="I154" i="11"/>
  <c r="J102" i="17"/>
  <c r="I44" i="14"/>
  <c r="I102" i="16"/>
  <c r="I44" i="7"/>
  <c r="I154" i="13"/>
  <c r="J155" i="15"/>
  <c r="H65" i="8"/>
  <c r="D120" i="8"/>
  <c r="G120" i="8" s="1"/>
  <c r="H120" i="8" s="1"/>
  <c r="G16" i="16"/>
  <c r="G18" i="16"/>
  <c r="G164" i="16" s="1"/>
  <c r="G163" i="16"/>
  <c r="H132" i="15"/>
  <c r="H63" i="15" s="1"/>
  <c r="I151" i="15"/>
  <c r="I155" i="11"/>
  <c r="J151" i="13"/>
  <c r="G89" i="10"/>
  <c r="J151" i="17"/>
  <c r="K56" i="8"/>
  <c r="K117" i="8"/>
  <c r="C123" i="8" s="1"/>
  <c r="L11" i="8"/>
  <c r="I36" i="10"/>
  <c r="D159" i="10" s="1"/>
  <c r="G159" i="10" s="1"/>
  <c r="I159" i="10" s="1"/>
  <c r="J48" i="10"/>
  <c r="G172" i="17"/>
  <c r="J126" i="14"/>
  <c r="J56" i="14"/>
  <c r="J201" i="14"/>
  <c r="J96" i="14"/>
  <c r="K11" i="14"/>
  <c r="J185" i="14"/>
  <c r="C190" i="14" s="1"/>
  <c r="H13" i="7"/>
  <c r="H17" i="7" s="1"/>
  <c r="I41" i="7"/>
  <c r="G176" i="16"/>
  <c r="G170" i="16"/>
  <c r="L96" i="16"/>
  <c r="L201" i="16"/>
  <c r="L126" i="16"/>
  <c r="L56" i="16"/>
  <c r="L185" i="16"/>
  <c r="C192" i="16" s="1"/>
  <c r="D158" i="10"/>
  <c r="G158" i="10" s="1"/>
  <c r="H158" i="10" s="1"/>
  <c r="H65" i="10"/>
  <c r="F16" i="10"/>
  <c r="F18" i="10"/>
  <c r="H212" i="17"/>
  <c r="H213" i="17" s="1"/>
  <c r="K48" i="15"/>
  <c r="J21" i="8"/>
  <c r="J155" i="13"/>
  <c r="I155" i="16"/>
  <c r="L119" i="6"/>
  <c r="L126" i="6" s="1"/>
  <c r="L20" i="6" s="1"/>
  <c r="F176" i="11"/>
  <c r="F170" i="11"/>
  <c r="H145" i="15"/>
  <c r="H130" i="15" s="1"/>
  <c r="H36" i="15"/>
  <c r="J43" i="9"/>
  <c r="J43" i="7"/>
  <c r="J48" i="8"/>
  <c r="D39" i="2"/>
  <c r="D36" i="2"/>
  <c r="F84" i="4"/>
  <c r="G19" i="11"/>
  <c r="G22" i="11"/>
  <c r="G31" i="11" s="1"/>
  <c r="H15" i="8"/>
  <c r="G141" i="16"/>
  <c r="H17" i="8"/>
  <c r="F16" i="13"/>
  <c r="F18" i="13"/>
  <c r="J69" i="8"/>
  <c r="F22" i="5"/>
  <c r="F31" i="5" s="1"/>
  <c r="F33" i="5" s="1"/>
  <c r="F34" i="5" s="1"/>
  <c r="F19" i="5"/>
  <c r="J117" i="7"/>
  <c r="C122" i="7" s="1"/>
  <c r="K11" i="7"/>
  <c r="J56" i="7"/>
  <c r="J44" i="13"/>
  <c r="I69" i="12"/>
  <c r="J21" i="12" s="1"/>
  <c r="H13" i="13"/>
  <c r="I41" i="13"/>
  <c r="K155" i="14"/>
  <c r="J44" i="8"/>
  <c r="G108" i="8"/>
  <c r="G102" i="8"/>
  <c r="I43" i="10"/>
  <c r="H14" i="10"/>
  <c r="H116" i="10" s="1"/>
  <c r="G95" i="4"/>
  <c r="G89" i="4"/>
  <c r="G89" i="11"/>
  <c r="J48" i="13"/>
  <c r="G19" i="4"/>
  <c r="G22" i="4"/>
  <c r="G31" i="4" s="1"/>
  <c r="G33" i="4" s="1"/>
  <c r="I43" i="14"/>
  <c r="G22" i="15"/>
  <c r="G31" i="15" s="1"/>
  <c r="G19" i="15"/>
  <c r="G18" i="7"/>
  <c r="G16" i="7"/>
  <c r="G95" i="7"/>
  <c r="I102" i="14"/>
  <c r="J21" i="14"/>
  <c r="J69" i="14" s="1"/>
  <c r="I125" i="10"/>
  <c r="F176" i="16"/>
  <c r="F170" i="16"/>
  <c r="J48" i="11"/>
  <c r="F104" i="8"/>
  <c r="J41" i="15"/>
  <c r="I13" i="15"/>
  <c r="K154" i="14"/>
  <c r="G146" i="10"/>
  <c r="G140" i="10"/>
  <c r="I154" i="12"/>
  <c r="L11" i="5"/>
  <c r="K56" i="5"/>
  <c r="K117" i="5"/>
  <c r="C123" i="5" s="1"/>
  <c r="J43" i="13"/>
  <c r="G19" i="12"/>
  <c r="G22" i="12"/>
  <c r="G31" i="12" s="1"/>
  <c r="H13" i="6"/>
  <c r="I41" i="6"/>
  <c r="I44" i="15"/>
  <c r="H17" i="15"/>
  <c r="H147" i="15" s="1"/>
  <c r="J102" i="13"/>
  <c r="K21" i="13"/>
  <c r="K69" i="13" s="1"/>
  <c r="K119" i="8"/>
  <c r="L119" i="8"/>
  <c r="J41" i="8"/>
  <c r="I13" i="8"/>
  <c r="I17" i="8" s="1"/>
  <c r="J21" i="11"/>
  <c r="J44" i="16"/>
  <c r="J48" i="16"/>
  <c r="G108" i="5"/>
  <c r="G102" i="5"/>
  <c r="F18" i="15"/>
  <c r="F16" i="15"/>
  <c r="I41" i="12"/>
  <c r="H13" i="12"/>
  <c r="H14" i="12" s="1"/>
  <c r="H146" i="12" s="1"/>
  <c r="J155" i="10"/>
  <c r="C160" i="10" s="1"/>
  <c r="J56" i="10"/>
  <c r="K11" i="10"/>
  <c r="J96" i="10"/>
  <c r="F18" i="12"/>
  <c r="F16" i="12"/>
  <c r="I48" i="14"/>
  <c r="I69" i="11"/>
  <c r="G16" i="17"/>
  <c r="G18" i="17"/>
  <c r="G164" i="17" s="1"/>
  <c r="G163" i="17"/>
  <c r="G97" i="5"/>
  <c r="I154" i="17"/>
  <c r="L157" i="9"/>
  <c r="I43" i="11"/>
  <c r="G19" i="9"/>
  <c r="G22" i="9"/>
  <c r="G31" i="9" s="1"/>
  <c r="G142" i="10"/>
  <c r="G22" i="10"/>
  <c r="G31" i="10" s="1"/>
  <c r="G19" i="10"/>
  <c r="G19" i="13"/>
  <c r="G22" i="13"/>
  <c r="G31" i="13" s="1"/>
  <c r="H13" i="17"/>
  <c r="I41" i="17"/>
  <c r="K201" i="13"/>
  <c r="K56" i="13"/>
  <c r="K126" i="13"/>
  <c r="K185" i="13"/>
  <c r="C191" i="13" s="1"/>
  <c r="L11" i="13"/>
  <c r="K96" i="13"/>
  <c r="I44" i="9"/>
  <c r="J21" i="15"/>
  <c r="I102" i="15"/>
  <c r="K43" i="3"/>
  <c r="L11" i="3"/>
  <c r="L43" i="3" s="1"/>
  <c r="J155" i="17"/>
  <c r="F16" i="16"/>
  <c r="F18" i="16"/>
  <c r="K151" i="14"/>
  <c r="I13" i="10"/>
  <c r="J41" i="10"/>
  <c r="F18" i="17"/>
  <c r="F16" i="17"/>
  <c r="F19" i="6"/>
  <c r="F22" i="6"/>
  <c r="F31" i="6" s="1"/>
  <c r="H36" i="17"/>
  <c r="I48" i="17"/>
  <c r="F19" i="4"/>
  <c r="F22" i="4"/>
  <c r="F31" i="4" s="1"/>
  <c r="F33" i="4" s="1"/>
  <c r="F34" i="4" s="1"/>
  <c r="F163" i="15"/>
  <c r="G164" i="15"/>
  <c r="G134" i="9"/>
  <c r="G96" i="7"/>
  <c r="G164" i="12"/>
  <c r="G164" i="11"/>
  <c r="G96" i="8"/>
  <c r="G96" i="5"/>
  <c r="G83" i="4"/>
  <c r="E40" i="2"/>
  <c r="G164" i="13"/>
  <c r="G134" i="10"/>
  <c r="F22" i="8"/>
  <c r="F31" i="8" s="1"/>
  <c r="F19" i="8"/>
  <c r="J48" i="12"/>
  <c r="L187" i="14"/>
  <c r="F16" i="9"/>
  <c r="F18" i="9"/>
  <c r="H17" i="6"/>
  <c r="I44" i="6"/>
  <c r="I221" i="14"/>
  <c r="H80" i="14"/>
  <c r="F16" i="11"/>
  <c r="F18" i="11"/>
  <c r="K11" i="4"/>
  <c r="J43" i="4"/>
  <c r="G89" i="16"/>
  <c r="G176" i="14"/>
  <c r="G89" i="14"/>
  <c r="G170" i="14"/>
  <c r="H149" i="16"/>
  <c r="I149" i="16" s="1"/>
  <c r="J149" i="16" s="1"/>
  <c r="K149" i="16" s="1"/>
  <c r="L149" i="16" s="1"/>
  <c r="I41" i="14"/>
  <c r="H13" i="14"/>
  <c r="J227" i="14"/>
  <c r="I81" i="14"/>
  <c r="J229" i="15"/>
  <c r="J232" i="15" s="1"/>
  <c r="I235" i="15"/>
  <c r="I78" i="15"/>
  <c r="H115" i="10"/>
  <c r="H100" i="10" s="1"/>
  <c r="H15" i="10"/>
  <c r="L157" i="10"/>
  <c r="I239" i="15"/>
  <c r="I241" i="15" s="1"/>
  <c r="I155" i="12"/>
  <c r="L83" i="8"/>
  <c r="L84" i="8" s="1"/>
  <c r="K84" i="8"/>
  <c r="G176" i="15"/>
  <c r="J43" i="8"/>
  <c r="G176" i="11"/>
  <c r="G170" i="11"/>
  <c r="G18" i="6"/>
  <c r="G96" i="6" s="1"/>
  <c r="G16" i="6"/>
  <c r="G95" i="6"/>
  <c r="G172" i="15"/>
  <c r="J44" i="12"/>
  <c r="G141" i="15"/>
  <c r="J69" i="17"/>
  <c r="J121" i="10"/>
  <c r="F108" i="5"/>
  <c r="F102" i="5"/>
  <c r="H79" i="14"/>
  <c r="I215" i="14"/>
  <c r="I151" i="11"/>
  <c r="F139" i="13"/>
  <c r="G141" i="13" s="1"/>
  <c r="J154" i="16"/>
  <c r="G141" i="17"/>
  <c r="J151" i="16"/>
  <c r="F108" i="8"/>
  <c r="F102" i="8"/>
  <c r="J185" i="15"/>
  <c r="C190" i="15" s="1"/>
  <c r="J96" i="15"/>
  <c r="J56" i="15"/>
  <c r="J201" i="15"/>
  <c r="K11" i="15"/>
  <c r="J126" i="15"/>
  <c r="I44" i="10"/>
  <c r="H17" i="10"/>
  <c r="H117" i="10" s="1"/>
  <c r="H102" i="10" s="1"/>
  <c r="H63" i="10" s="1"/>
  <c r="I69" i="16"/>
  <c r="J21" i="16" s="1"/>
  <c r="J48" i="9"/>
  <c r="F16" i="14"/>
  <c r="F18" i="14"/>
  <c r="J84" i="9"/>
  <c r="K83" i="9"/>
  <c r="J206" i="14"/>
  <c r="J209" i="14" s="1"/>
  <c r="I78" i="14"/>
  <c r="I212" i="14"/>
  <c r="I124" i="10"/>
  <c r="J185" i="17"/>
  <c r="C190" i="17" s="1"/>
  <c r="J126" i="17"/>
  <c r="J56" i="17"/>
  <c r="J201" i="17"/>
  <c r="J96" i="17"/>
  <c r="K11" i="17"/>
  <c r="H81" i="15"/>
  <c r="H82" i="15" s="1"/>
  <c r="I250" i="15"/>
  <c r="F176" i="14"/>
  <c r="F170" i="14"/>
  <c r="H43" i="17"/>
  <c r="G104" i="8"/>
  <c r="G141" i="11"/>
  <c r="I43" i="15"/>
  <c r="H14" i="15"/>
  <c r="H146" i="15" s="1"/>
  <c r="H43" i="6"/>
  <c r="H13" i="9"/>
  <c r="H17" i="9" s="1"/>
  <c r="I41" i="9"/>
  <c r="I43" i="12"/>
  <c r="G18" i="14"/>
  <c r="G16" i="14"/>
  <c r="G163" i="14"/>
  <c r="J154" i="15"/>
  <c r="H13" i="11"/>
  <c r="H14" i="11" s="1"/>
  <c r="H146" i="11" s="1"/>
  <c r="I41" i="11"/>
  <c r="K187" i="13"/>
  <c r="K56" i="6"/>
  <c r="L11" i="6"/>
  <c r="K117" i="6"/>
  <c r="C123" i="6" s="1"/>
  <c r="L187" i="12"/>
  <c r="F19" i="7"/>
  <c r="F22" i="7"/>
  <c r="F31" i="7" s="1"/>
  <c r="J44" i="11"/>
  <c r="H13" i="16"/>
  <c r="H14" i="16" s="1"/>
  <c r="H146" i="16" s="1"/>
  <c r="I41" i="16"/>
  <c r="J21" i="9"/>
  <c r="F133" i="10"/>
  <c r="L56" i="11"/>
  <c r="L185" i="11"/>
  <c r="C192" i="11" s="1"/>
  <c r="L96" i="11"/>
  <c r="L126" i="11"/>
  <c r="K96" i="9"/>
  <c r="L11" i="9"/>
  <c r="K155" i="9"/>
  <c r="C161" i="9" s="1"/>
  <c r="K56" i="9"/>
  <c r="J126" i="12"/>
  <c r="K11" i="12"/>
  <c r="J96" i="12"/>
  <c r="J56" i="12"/>
  <c r="J185" i="12"/>
  <c r="C190" i="12" s="1"/>
  <c r="H153" i="15"/>
  <c r="I153" i="15" s="1"/>
  <c r="J153" i="15" s="1"/>
  <c r="K153" i="15" s="1"/>
  <c r="L153" i="15" s="1"/>
  <c r="G22" i="8"/>
  <c r="G31" i="8" s="1"/>
  <c r="G19" i="8"/>
  <c r="I43" i="16"/>
  <c r="H14" i="8"/>
  <c r="J69" i="10" l="1"/>
  <c r="K21" i="10" s="1"/>
  <c r="H82" i="14"/>
  <c r="I36" i="8"/>
  <c r="D121" i="8" s="1"/>
  <c r="G121" i="8" s="1"/>
  <c r="I121" i="8" s="1"/>
  <c r="I14" i="8"/>
  <c r="I15" i="8" s="1"/>
  <c r="J238" i="15"/>
  <c r="I79" i="15"/>
  <c r="J102" i="12"/>
  <c r="J43" i="16"/>
  <c r="G19" i="14"/>
  <c r="G22" i="14"/>
  <c r="G31" i="14" s="1"/>
  <c r="J102" i="15"/>
  <c r="L96" i="9"/>
  <c r="L155" i="9"/>
  <c r="C162" i="9" s="1"/>
  <c r="L56" i="9"/>
  <c r="H135" i="12"/>
  <c r="H131" i="12"/>
  <c r="H62" i="12" s="1"/>
  <c r="I216" i="14"/>
  <c r="I218" i="14" s="1"/>
  <c r="J228" i="14"/>
  <c r="J230" i="14" s="1"/>
  <c r="K151" i="16"/>
  <c r="H145" i="14"/>
  <c r="H130" i="14" s="1"/>
  <c r="G33" i="9"/>
  <c r="G46" i="9"/>
  <c r="K43" i="13"/>
  <c r="J41" i="9"/>
  <c r="I13" i="9"/>
  <c r="J155" i="12"/>
  <c r="H15" i="12"/>
  <c r="H145" i="12"/>
  <c r="H130" i="12" s="1"/>
  <c r="H36" i="12"/>
  <c r="H17" i="12"/>
  <c r="H147" i="12" s="1"/>
  <c r="G19" i="7"/>
  <c r="G22" i="7"/>
  <c r="G31" i="7" s="1"/>
  <c r="K48" i="13"/>
  <c r="I65" i="10"/>
  <c r="K151" i="17"/>
  <c r="I120" i="8"/>
  <c r="I126" i="8" s="1"/>
  <c r="I20" i="8" s="1"/>
  <c r="H126" i="8"/>
  <c r="H20" i="8" s="1"/>
  <c r="H66" i="8" s="1"/>
  <c r="I66" i="8" s="1"/>
  <c r="J102" i="16"/>
  <c r="I245" i="15"/>
  <c r="I247" i="15" s="1"/>
  <c r="K44" i="11"/>
  <c r="H36" i="9"/>
  <c r="H14" i="9"/>
  <c r="H15" i="9" s="1"/>
  <c r="L83" i="9"/>
  <c r="L84" i="9" s="1"/>
  <c r="K84" i="9"/>
  <c r="K185" i="15"/>
  <c r="C191" i="15" s="1"/>
  <c r="L11" i="15"/>
  <c r="K96" i="15"/>
  <c r="K56" i="15"/>
  <c r="K126" i="15"/>
  <c r="K201" i="15"/>
  <c r="F19" i="17"/>
  <c r="F22" i="17"/>
  <c r="F31" i="17" s="1"/>
  <c r="J44" i="9"/>
  <c r="I17" i="9"/>
  <c r="G46" i="13"/>
  <c r="G33" i="13"/>
  <c r="I13" i="12"/>
  <c r="J41" i="12"/>
  <c r="H137" i="15"/>
  <c r="H76" i="15" s="1"/>
  <c r="H136" i="15"/>
  <c r="H75" i="15" s="1"/>
  <c r="I158" i="10"/>
  <c r="I164" i="10" s="1"/>
  <c r="I20" i="10" s="1"/>
  <c r="H164" i="10"/>
  <c r="H20" i="10" s="1"/>
  <c r="H66" i="10" s="1"/>
  <c r="H67" i="10" s="1"/>
  <c r="K96" i="14"/>
  <c r="K201" i="14"/>
  <c r="L11" i="14"/>
  <c r="K185" i="14"/>
  <c r="C191" i="14" s="1"/>
  <c r="K126" i="14"/>
  <c r="K56" i="14"/>
  <c r="I65" i="8"/>
  <c r="I43" i="6"/>
  <c r="H14" i="6"/>
  <c r="H15" i="6" s="1"/>
  <c r="G22" i="6"/>
  <c r="G31" i="6" s="1"/>
  <c r="G19" i="6"/>
  <c r="L187" i="13"/>
  <c r="K155" i="17"/>
  <c r="I14" i="11"/>
  <c r="I146" i="11" s="1"/>
  <c r="J43" i="11"/>
  <c r="J69" i="11"/>
  <c r="K21" i="11" s="1"/>
  <c r="K48" i="16"/>
  <c r="J44" i="15"/>
  <c r="I17" i="15"/>
  <c r="I147" i="15" s="1"/>
  <c r="K44" i="8"/>
  <c r="F97" i="5"/>
  <c r="K155" i="13"/>
  <c r="H135" i="16"/>
  <c r="H131" i="16"/>
  <c r="H62" i="16" s="1"/>
  <c r="J151" i="11"/>
  <c r="J78" i="15"/>
  <c r="J235" i="15"/>
  <c r="K229" i="15"/>
  <c r="K232" i="15" s="1"/>
  <c r="L151" i="14"/>
  <c r="J44" i="17"/>
  <c r="G33" i="12"/>
  <c r="G46" i="12"/>
  <c r="G34" i="4"/>
  <c r="G84" i="4"/>
  <c r="J43" i="10"/>
  <c r="I14" i="10"/>
  <c r="I116" i="10" s="1"/>
  <c r="H18" i="8"/>
  <c r="H16" i="8"/>
  <c r="J36" i="8"/>
  <c r="D122" i="8" s="1"/>
  <c r="G122" i="8" s="1"/>
  <c r="J122" i="8" s="1"/>
  <c r="K48" i="8"/>
  <c r="J154" i="11"/>
  <c r="K96" i="10"/>
  <c r="K155" i="10"/>
  <c r="C161" i="10" s="1"/>
  <c r="L11" i="10"/>
  <c r="K56" i="10"/>
  <c r="K44" i="13"/>
  <c r="G33" i="11"/>
  <c r="G46" i="11"/>
  <c r="K43" i="7"/>
  <c r="F22" i="10"/>
  <c r="F31" i="10" s="1"/>
  <c r="F19" i="10"/>
  <c r="L117" i="8"/>
  <c r="C124" i="8" s="1"/>
  <c r="L56" i="8"/>
  <c r="H15" i="16"/>
  <c r="H145" i="16"/>
  <c r="H130" i="16" s="1"/>
  <c r="H36" i="16"/>
  <c r="H17" i="16"/>
  <c r="H147" i="16" s="1"/>
  <c r="I251" i="15"/>
  <c r="I253" i="15" s="1"/>
  <c r="F33" i="8"/>
  <c r="F46" i="8"/>
  <c r="I13" i="7"/>
  <c r="I17" i="7" s="1"/>
  <c r="J41" i="7"/>
  <c r="J44" i="10"/>
  <c r="I17" i="10"/>
  <c r="I117" i="10" s="1"/>
  <c r="I102" i="10" s="1"/>
  <c r="I63" i="10" s="1"/>
  <c r="L21" i="13"/>
  <c r="L102" i="13" s="1"/>
  <c r="K102" i="13"/>
  <c r="K117" i="7"/>
  <c r="C123" i="7" s="1"/>
  <c r="K56" i="7"/>
  <c r="L11" i="7"/>
  <c r="K43" i="9"/>
  <c r="J155" i="16"/>
  <c r="H14" i="7"/>
  <c r="H15" i="7" s="1"/>
  <c r="J41" i="14"/>
  <c r="I13" i="14"/>
  <c r="I36" i="14" s="1"/>
  <c r="J44" i="6"/>
  <c r="I17" i="6"/>
  <c r="G164" i="14"/>
  <c r="H145" i="17"/>
  <c r="H130" i="17" s="1"/>
  <c r="H131" i="15"/>
  <c r="H62" i="15" s="1"/>
  <c r="H135" i="15"/>
  <c r="F19" i="14"/>
  <c r="F22" i="14"/>
  <c r="F31" i="14" s="1"/>
  <c r="F19" i="9"/>
  <c r="F22" i="9"/>
  <c r="F31" i="9" s="1"/>
  <c r="H36" i="14"/>
  <c r="K44" i="16"/>
  <c r="G33" i="15"/>
  <c r="G46" i="15"/>
  <c r="K21" i="8"/>
  <c r="K155" i="15"/>
  <c r="I14" i="15"/>
  <c r="I146" i="15" s="1"/>
  <c r="J43" i="15"/>
  <c r="K154" i="16"/>
  <c r="H16" i="10"/>
  <c r="H18" i="10"/>
  <c r="J125" i="10"/>
  <c r="L155" i="14"/>
  <c r="D188" i="15"/>
  <c r="G188" i="15" s="1"/>
  <c r="H188" i="15" s="1"/>
  <c r="H109" i="15"/>
  <c r="H65" i="15"/>
  <c r="K151" i="13"/>
  <c r="J44" i="14"/>
  <c r="H103" i="10"/>
  <c r="H61" i="10"/>
  <c r="H107" i="10"/>
  <c r="H76" i="10" s="1"/>
  <c r="I13" i="13"/>
  <c r="J41" i="13"/>
  <c r="F164" i="17"/>
  <c r="F164" i="16"/>
  <c r="F134" i="10"/>
  <c r="F96" i="8"/>
  <c r="F164" i="15"/>
  <c r="F96" i="5"/>
  <c r="D40" i="2"/>
  <c r="F96" i="7"/>
  <c r="F164" i="14"/>
  <c r="F164" i="12"/>
  <c r="F96" i="6"/>
  <c r="F83" i="4"/>
  <c r="F164" i="11"/>
  <c r="F134" i="9"/>
  <c r="F164" i="13"/>
  <c r="H15" i="15"/>
  <c r="J155" i="11"/>
  <c r="K21" i="17"/>
  <c r="K69" i="17" s="1"/>
  <c r="K96" i="12"/>
  <c r="K56" i="12"/>
  <c r="L11" i="12"/>
  <c r="K185" i="12"/>
  <c r="C191" i="12" s="1"/>
  <c r="K126" i="12"/>
  <c r="J124" i="10"/>
  <c r="K48" i="9"/>
  <c r="J14" i="8"/>
  <c r="K43" i="8"/>
  <c r="J13" i="10"/>
  <c r="K41" i="10"/>
  <c r="L201" i="13"/>
  <c r="L126" i="13"/>
  <c r="L56" i="13"/>
  <c r="L185" i="13"/>
  <c r="C192" i="13" s="1"/>
  <c r="L96" i="13"/>
  <c r="J154" i="17"/>
  <c r="F19" i="12"/>
  <c r="F22" i="12"/>
  <c r="F31" i="12" s="1"/>
  <c r="F22" i="15"/>
  <c r="F31" i="15" s="1"/>
  <c r="F19" i="15"/>
  <c r="I13" i="6"/>
  <c r="J41" i="6"/>
  <c r="L56" i="5"/>
  <c r="L117" i="5"/>
  <c r="C124" i="5" s="1"/>
  <c r="I145" i="15"/>
  <c r="I130" i="15" s="1"/>
  <c r="I36" i="15"/>
  <c r="K21" i="14"/>
  <c r="K69" i="14" s="1"/>
  <c r="J102" i="14"/>
  <c r="J43" i="14"/>
  <c r="H145" i="13"/>
  <c r="H130" i="13" s="1"/>
  <c r="H14" i="13"/>
  <c r="H146" i="13" s="1"/>
  <c r="H17" i="13"/>
  <c r="H147" i="13" s="1"/>
  <c r="H36" i="13"/>
  <c r="H133" i="15"/>
  <c r="H61" i="15"/>
  <c r="L48" i="15"/>
  <c r="J151" i="12"/>
  <c r="L56" i="6"/>
  <c r="L117" i="6"/>
  <c r="C124" i="6" s="1"/>
  <c r="F22" i="11"/>
  <c r="F31" i="11" s="1"/>
  <c r="F19" i="11"/>
  <c r="H109" i="17"/>
  <c r="D188" i="17"/>
  <c r="G188" i="17" s="1"/>
  <c r="H188" i="17" s="1"/>
  <c r="H65" i="17"/>
  <c r="J154" i="12"/>
  <c r="I13" i="16"/>
  <c r="I14" i="16" s="1"/>
  <c r="I146" i="16" s="1"/>
  <c r="J41" i="16"/>
  <c r="K44" i="12"/>
  <c r="J44" i="7"/>
  <c r="J212" i="14"/>
  <c r="J78" i="14"/>
  <c r="K206" i="14"/>
  <c r="K209" i="14" s="1"/>
  <c r="F33" i="6"/>
  <c r="F46" i="6"/>
  <c r="F22" i="16"/>
  <c r="F31" i="16" s="1"/>
  <c r="F19" i="16"/>
  <c r="G19" i="17"/>
  <c r="G22" i="17"/>
  <c r="G31" i="17" s="1"/>
  <c r="G19" i="16"/>
  <c r="G22" i="16"/>
  <c r="G31" i="16" s="1"/>
  <c r="G33" i="8"/>
  <c r="G46" i="8"/>
  <c r="I14" i="12"/>
  <c r="I146" i="12" s="1"/>
  <c r="J43" i="12"/>
  <c r="I222" i="14"/>
  <c r="I224" i="14" s="1"/>
  <c r="J41" i="17"/>
  <c r="I13" i="17"/>
  <c r="I17" i="17" s="1"/>
  <c r="I147" i="17" s="1"/>
  <c r="I136" i="17" s="1"/>
  <c r="I75" i="17" s="1"/>
  <c r="K48" i="11"/>
  <c r="K96" i="17"/>
  <c r="K185" i="17"/>
  <c r="C191" i="17" s="1"/>
  <c r="L11" i="17"/>
  <c r="K126" i="17"/>
  <c r="K201" i="17"/>
  <c r="K56" i="17"/>
  <c r="K69" i="10"/>
  <c r="L21" i="10" s="1"/>
  <c r="J69" i="9"/>
  <c r="K21" i="9" s="1"/>
  <c r="F33" i="7"/>
  <c r="F46" i="7"/>
  <c r="J41" i="11"/>
  <c r="I13" i="11"/>
  <c r="K121" i="10"/>
  <c r="H135" i="11"/>
  <c r="H131" i="11"/>
  <c r="H62" i="11" s="1"/>
  <c r="H17" i="14"/>
  <c r="H147" i="14" s="1"/>
  <c r="H145" i="11"/>
  <c r="H130" i="11" s="1"/>
  <c r="H15" i="11"/>
  <c r="H36" i="11"/>
  <c r="H17" i="11"/>
  <c r="H147" i="11" s="1"/>
  <c r="G33" i="10"/>
  <c r="G46" i="10"/>
  <c r="J48" i="14"/>
  <c r="L154" i="14"/>
  <c r="F19" i="13"/>
  <c r="F22" i="13"/>
  <c r="F31" i="13" s="1"/>
  <c r="K154" i="15"/>
  <c r="I43" i="17"/>
  <c r="H14" i="17"/>
  <c r="H146" i="17" s="1"/>
  <c r="H106" i="10"/>
  <c r="H75" i="10" s="1"/>
  <c r="J69" i="16"/>
  <c r="K43" i="4"/>
  <c r="L11" i="4"/>
  <c r="L43" i="4" s="1"/>
  <c r="K48" i="12"/>
  <c r="J48" i="17"/>
  <c r="I115" i="10"/>
  <c r="I100" i="10" s="1"/>
  <c r="J69" i="15"/>
  <c r="H17" i="17"/>
  <c r="H147" i="17" s="1"/>
  <c r="K41" i="8"/>
  <c r="J13" i="8"/>
  <c r="J17" i="8" s="1"/>
  <c r="K41" i="15"/>
  <c r="J13" i="15"/>
  <c r="H14" i="14"/>
  <c r="H146" i="14" s="1"/>
  <c r="H105" i="10"/>
  <c r="H101" i="10"/>
  <c r="H62" i="10" s="1"/>
  <c r="J69" i="12"/>
  <c r="K48" i="10"/>
  <c r="J36" i="10"/>
  <c r="D160" i="10" s="1"/>
  <c r="G160" i="10" s="1"/>
  <c r="J160" i="10" s="1"/>
  <c r="J151" i="15"/>
  <c r="I132" i="15"/>
  <c r="I63" i="15" s="1"/>
  <c r="J154" i="13"/>
  <c r="I15" i="10" l="1"/>
  <c r="I16" i="10" s="1"/>
  <c r="I36" i="17"/>
  <c r="H15" i="14"/>
  <c r="I131" i="16"/>
  <c r="I62" i="16" s="1"/>
  <c r="I135" i="16"/>
  <c r="H16" i="9"/>
  <c r="H18" i="9"/>
  <c r="J221" i="14"/>
  <c r="I80" i="14"/>
  <c r="H18" i="6"/>
  <c r="H16" i="6"/>
  <c r="L69" i="17"/>
  <c r="H18" i="7"/>
  <c r="H16" i="7"/>
  <c r="J244" i="15"/>
  <c r="I80" i="15"/>
  <c r="I79" i="14"/>
  <c r="J215" i="14"/>
  <c r="K227" i="14"/>
  <c r="J81" i="14"/>
  <c r="K154" i="17"/>
  <c r="I188" i="15"/>
  <c r="J188" i="15"/>
  <c r="H194" i="15"/>
  <c r="H20" i="15" s="1"/>
  <c r="D188" i="14"/>
  <c r="G188" i="14" s="1"/>
  <c r="H188" i="14" s="1"/>
  <c r="H65" i="14"/>
  <c r="H109" i="14"/>
  <c r="I135" i="11"/>
  <c r="I131" i="11"/>
  <c r="I62" i="11" s="1"/>
  <c r="L126" i="17"/>
  <c r="L185" i="17"/>
  <c r="C192" i="17" s="1"/>
  <c r="L201" i="17"/>
  <c r="L96" i="17"/>
  <c r="L56" i="17"/>
  <c r="F34" i="6"/>
  <c r="F97" i="6"/>
  <c r="I61" i="15"/>
  <c r="I132" i="17"/>
  <c r="I63" i="17" s="1"/>
  <c r="I137" i="17"/>
  <c r="I76" i="17" s="1"/>
  <c r="L155" i="17"/>
  <c r="L121" i="10"/>
  <c r="K212" i="14"/>
  <c r="K78" i="14"/>
  <c r="L206" i="14"/>
  <c r="L209" i="14" s="1"/>
  <c r="H135" i="17"/>
  <c r="H131" i="17"/>
  <c r="H62" i="17" s="1"/>
  <c r="D188" i="13"/>
  <c r="G188" i="13" s="1"/>
  <c r="H188" i="13" s="1"/>
  <c r="H109" i="13"/>
  <c r="H65" i="13"/>
  <c r="F33" i="10"/>
  <c r="F46" i="10"/>
  <c r="H46" i="10" s="1"/>
  <c r="H61" i="14"/>
  <c r="H74" i="10"/>
  <c r="H77" i="10" s="1"/>
  <c r="H84" i="10" s="1"/>
  <c r="H108" i="10"/>
  <c r="H109" i="10" s="1"/>
  <c r="H111" i="10" s="1"/>
  <c r="I61" i="10"/>
  <c r="I14" i="17"/>
  <c r="I146" i="17" s="1"/>
  <c r="J43" i="17"/>
  <c r="K48" i="14"/>
  <c r="I145" i="11"/>
  <c r="I130" i="11" s="1"/>
  <c r="I15" i="11"/>
  <c r="I17" i="11"/>
  <c r="I147" i="11" s="1"/>
  <c r="I36" i="11"/>
  <c r="D189" i="11" s="1"/>
  <c r="G189" i="11" s="1"/>
  <c r="I189" i="11" s="1"/>
  <c r="L48" i="11"/>
  <c r="G33" i="16"/>
  <c r="G46" i="16"/>
  <c r="H132" i="13"/>
  <c r="H63" i="13" s="1"/>
  <c r="H137" i="13"/>
  <c r="H76" i="13" s="1"/>
  <c r="H136" i="13"/>
  <c r="H75" i="13" s="1"/>
  <c r="I106" i="10"/>
  <c r="I75" i="10" s="1"/>
  <c r="K155" i="11"/>
  <c r="F33" i="9"/>
  <c r="F46" i="9"/>
  <c r="H46" i="9" s="1"/>
  <c r="I145" i="14"/>
  <c r="I130" i="14" s="1"/>
  <c r="L43" i="9"/>
  <c r="H46" i="8"/>
  <c r="I101" i="10"/>
  <c r="I62" i="10" s="1"/>
  <c r="I105" i="10"/>
  <c r="K235" i="15"/>
  <c r="L229" i="15"/>
  <c r="L232" i="15" s="1"/>
  <c r="K78" i="15"/>
  <c r="D188" i="12"/>
  <c r="G188" i="12" s="1"/>
  <c r="H188" i="12" s="1"/>
  <c r="H109" i="12"/>
  <c r="H65" i="12"/>
  <c r="H16" i="14"/>
  <c r="H18" i="14"/>
  <c r="K21" i="15"/>
  <c r="K154" i="13"/>
  <c r="H131" i="14"/>
  <c r="H62" i="14" s="1"/>
  <c r="H135" i="14"/>
  <c r="K48" i="17"/>
  <c r="L154" i="15"/>
  <c r="K41" i="11"/>
  <c r="J13" i="11"/>
  <c r="J14" i="11" s="1"/>
  <c r="J146" i="11" s="1"/>
  <c r="H135" i="13"/>
  <c r="H131" i="13"/>
  <c r="H62" i="13" s="1"/>
  <c r="K41" i="6"/>
  <c r="J13" i="6"/>
  <c r="J17" i="6" s="1"/>
  <c r="K124" i="10"/>
  <c r="H16" i="15"/>
  <c r="H18" i="15"/>
  <c r="I17" i="14"/>
  <c r="I147" i="14" s="1"/>
  <c r="I107" i="10"/>
  <c r="I76" i="10" s="1"/>
  <c r="K69" i="8"/>
  <c r="K41" i="14"/>
  <c r="J13" i="14"/>
  <c r="J17" i="14" s="1"/>
  <c r="J147" i="14" s="1"/>
  <c r="F34" i="8"/>
  <c r="F97" i="8"/>
  <c r="K43" i="10"/>
  <c r="J14" i="10"/>
  <c r="J116" i="10" s="1"/>
  <c r="G33" i="6"/>
  <c r="G46" i="6"/>
  <c r="L44" i="11"/>
  <c r="H61" i="12"/>
  <c r="J239" i="15"/>
  <c r="J241" i="15"/>
  <c r="J145" i="15"/>
  <c r="J130" i="15" s="1"/>
  <c r="J36" i="15"/>
  <c r="D189" i="17"/>
  <c r="G189" i="17" s="1"/>
  <c r="I189" i="17" s="1"/>
  <c r="I109" i="17"/>
  <c r="G34" i="10"/>
  <c r="G135" i="10"/>
  <c r="I145" i="17"/>
  <c r="I130" i="17" s="1"/>
  <c r="G33" i="17"/>
  <c r="G46" i="17"/>
  <c r="J17" i="7"/>
  <c r="K44" i="7"/>
  <c r="F33" i="11"/>
  <c r="F46" i="11"/>
  <c r="H46" i="11" s="1"/>
  <c r="H15" i="13"/>
  <c r="K44" i="14"/>
  <c r="K125" i="10"/>
  <c r="L117" i="7"/>
  <c r="C124" i="7" s="1"/>
  <c r="L56" i="7"/>
  <c r="L43" i="7"/>
  <c r="I136" i="15"/>
  <c r="I75" i="15" s="1"/>
  <c r="I137" i="15"/>
  <c r="I76" i="15" s="1"/>
  <c r="L201" i="14"/>
  <c r="L185" i="14"/>
  <c r="C192" i="14" s="1"/>
  <c r="L126" i="14"/>
  <c r="L96" i="14"/>
  <c r="L56" i="14"/>
  <c r="L151" i="17"/>
  <c r="H18" i="12"/>
  <c r="H16" i="12"/>
  <c r="L151" i="16"/>
  <c r="K154" i="12"/>
  <c r="H61" i="17"/>
  <c r="L48" i="8"/>
  <c r="K44" i="17"/>
  <c r="K69" i="16"/>
  <c r="H74" i="11"/>
  <c r="K41" i="13"/>
  <c r="J13" i="13"/>
  <c r="I135" i="15"/>
  <c r="I131" i="15"/>
  <c r="I62" i="15" s="1"/>
  <c r="J17" i="10"/>
  <c r="J117" i="10" s="1"/>
  <c r="J102" i="10" s="1"/>
  <c r="J63" i="10" s="1"/>
  <c r="K44" i="10"/>
  <c r="I67" i="8"/>
  <c r="I70" i="8" s="1"/>
  <c r="J65" i="8"/>
  <c r="J158" i="10"/>
  <c r="K158" i="10" s="1"/>
  <c r="I65" i="17"/>
  <c r="I15" i="15"/>
  <c r="I15" i="13"/>
  <c r="I145" i="13"/>
  <c r="I130" i="13" s="1"/>
  <c r="I36" i="13"/>
  <c r="I14" i="13"/>
  <c r="I146" i="13" s="1"/>
  <c r="I17" i="13"/>
  <c r="I147" i="13" s="1"/>
  <c r="L155" i="15"/>
  <c r="J13" i="7"/>
  <c r="K41" i="7"/>
  <c r="H67" i="8"/>
  <c r="H70" i="8" s="1"/>
  <c r="K44" i="9"/>
  <c r="D158" i="9"/>
  <c r="G158" i="9" s="1"/>
  <c r="H158" i="9" s="1"/>
  <c r="H65" i="9"/>
  <c r="G34" i="9"/>
  <c r="G135" i="9"/>
  <c r="I18" i="10"/>
  <c r="D189" i="14"/>
  <c r="G189" i="14" s="1"/>
  <c r="I189" i="14" s="1"/>
  <c r="I109" i="14"/>
  <c r="G34" i="8"/>
  <c r="G97" i="8"/>
  <c r="I188" i="17"/>
  <c r="J188" i="17"/>
  <c r="K188" i="17"/>
  <c r="H194" i="17"/>
  <c r="H20" i="17" s="1"/>
  <c r="L48" i="9"/>
  <c r="K44" i="6"/>
  <c r="K155" i="16"/>
  <c r="I14" i="7"/>
  <c r="I15" i="7" s="1"/>
  <c r="L155" i="10"/>
  <c r="C162" i="10" s="1"/>
  <c r="L96" i="10"/>
  <c r="L56" i="10"/>
  <c r="H19" i="8"/>
  <c r="H22" i="8"/>
  <c r="H31" i="8" s="1"/>
  <c r="L44" i="8"/>
  <c r="K17" i="8"/>
  <c r="F33" i="17"/>
  <c r="F46" i="17"/>
  <c r="J120" i="8"/>
  <c r="H132" i="12"/>
  <c r="H63" i="12" s="1"/>
  <c r="H137" i="12"/>
  <c r="H76" i="12" s="1"/>
  <c r="H136" i="12"/>
  <c r="H75" i="12" s="1"/>
  <c r="K21" i="12"/>
  <c r="K69" i="12" s="1"/>
  <c r="K151" i="15"/>
  <c r="K13" i="15"/>
  <c r="L41" i="15"/>
  <c r="L13" i="15" s="1"/>
  <c r="L36" i="15" s="1"/>
  <c r="L48" i="12"/>
  <c r="H136" i="11"/>
  <c r="H75" i="11" s="1"/>
  <c r="H137" i="11"/>
  <c r="H76" i="11" s="1"/>
  <c r="H132" i="11"/>
  <c r="H63" i="11" s="1"/>
  <c r="K41" i="17"/>
  <c r="J13" i="17"/>
  <c r="J17" i="17" s="1"/>
  <c r="J147" i="17" s="1"/>
  <c r="I18" i="8"/>
  <c r="I16" i="8"/>
  <c r="K13" i="10"/>
  <c r="K36" i="10" s="1"/>
  <c r="D161" i="10" s="1"/>
  <c r="G161" i="10" s="1"/>
  <c r="K161" i="10" s="1"/>
  <c r="L41" i="10"/>
  <c r="L13" i="10" s="1"/>
  <c r="F33" i="14"/>
  <c r="F46" i="14"/>
  <c r="H46" i="14" s="1"/>
  <c r="J250" i="15"/>
  <c r="I81" i="15"/>
  <c r="I82" i="15" s="1"/>
  <c r="K151" i="11"/>
  <c r="K44" i="15"/>
  <c r="J17" i="15"/>
  <c r="J147" i="15" s="1"/>
  <c r="J132" i="15" s="1"/>
  <c r="J63" i="15" s="1"/>
  <c r="J65" i="10"/>
  <c r="K155" i="12"/>
  <c r="D188" i="11"/>
  <c r="G188" i="11" s="1"/>
  <c r="H188" i="11" s="1"/>
  <c r="H65" i="11"/>
  <c r="K69" i="9"/>
  <c r="L44" i="12"/>
  <c r="I14" i="14"/>
  <c r="I146" i="14" s="1"/>
  <c r="J115" i="10"/>
  <c r="J100" i="10" s="1"/>
  <c r="H22" i="10"/>
  <c r="H31" i="10" s="1"/>
  <c r="H19" i="10"/>
  <c r="L44" i="16"/>
  <c r="H132" i="16"/>
  <c r="H63" i="16" s="1"/>
  <c r="H136" i="16"/>
  <c r="H75" i="16" s="1"/>
  <c r="H137" i="16"/>
  <c r="H76" i="16" s="1"/>
  <c r="G34" i="11"/>
  <c r="G165" i="11"/>
  <c r="K154" i="11"/>
  <c r="L48" i="16"/>
  <c r="J43" i="6"/>
  <c r="I14" i="6"/>
  <c r="I15" i="6" s="1"/>
  <c r="J13" i="12"/>
  <c r="K41" i="12"/>
  <c r="L48" i="10"/>
  <c r="J15" i="8"/>
  <c r="H18" i="11"/>
  <c r="H16" i="11"/>
  <c r="L69" i="10"/>
  <c r="K43" i="14"/>
  <c r="F33" i="15"/>
  <c r="F46" i="15"/>
  <c r="H46" i="15" s="1"/>
  <c r="L185" i="12"/>
  <c r="C192" i="12" s="1"/>
  <c r="L96" i="12"/>
  <c r="L56" i="12"/>
  <c r="L126" i="12"/>
  <c r="L151" i="13"/>
  <c r="H138" i="15"/>
  <c r="H139" i="15" s="1"/>
  <c r="H141" i="15" s="1"/>
  <c r="H104" i="15" s="1"/>
  <c r="H74" i="15"/>
  <c r="H77" i="15" s="1"/>
  <c r="H84" i="15" s="1"/>
  <c r="H109" i="16"/>
  <c r="D188" i="16"/>
  <c r="G188" i="16" s="1"/>
  <c r="H188" i="16" s="1"/>
  <c r="H65" i="16"/>
  <c r="I66" i="10"/>
  <c r="I67" i="10" s="1"/>
  <c r="I15" i="12"/>
  <c r="I145" i="12"/>
  <c r="I130" i="12" s="1"/>
  <c r="I17" i="12"/>
  <c r="I147" i="12" s="1"/>
  <c r="I36" i="12"/>
  <c r="L201" i="15"/>
  <c r="L56" i="15"/>
  <c r="L185" i="15"/>
  <c r="C192" i="15" s="1"/>
  <c r="L126" i="15"/>
  <c r="L96" i="15"/>
  <c r="L48" i="13"/>
  <c r="I36" i="9"/>
  <c r="D159" i="9" s="1"/>
  <c r="G159" i="9" s="1"/>
  <c r="I159" i="9" s="1"/>
  <c r="I14" i="9"/>
  <c r="I15" i="9" s="1"/>
  <c r="K43" i="16"/>
  <c r="J14" i="16"/>
  <c r="J146" i="16" s="1"/>
  <c r="L69" i="13"/>
  <c r="K13" i="8"/>
  <c r="L41" i="8"/>
  <c r="H133" i="11"/>
  <c r="H61" i="11"/>
  <c r="H64" i="11" s="1"/>
  <c r="J14" i="12"/>
  <c r="J146" i="12" s="1"/>
  <c r="K43" i="12"/>
  <c r="K41" i="16"/>
  <c r="J13" i="16"/>
  <c r="K151" i="12"/>
  <c r="F33" i="12"/>
  <c r="F46" i="12"/>
  <c r="H46" i="12" s="1"/>
  <c r="K14" i="8"/>
  <c r="L43" i="8"/>
  <c r="I65" i="15"/>
  <c r="H61" i="16"/>
  <c r="L44" i="13"/>
  <c r="H74" i="16"/>
  <c r="K69" i="11"/>
  <c r="L21" i="11" s="1"/>
  <c r="K21" i="16"/>
  <c r="K41" i="9"/>
  <c r="J13" i="9"/>
  <c r="H46" i="6"/>
  <c r="D189" i="15"/>
  <c r="G189" i="15" s="1"/>
  <c r="I189" i="15" s="1"/>
  <c r="I109" i="15"/>
  <c r="L21" i="17"/>
  <c r="L102" i="17" s="1"/>
  <c r="K102" i="17"/>
  <c r="J14" i="15"/>
  <c r="J146" i="15" s="1"/>
  <c r="K43" i="15"/>
  <c r="L155" i="13"/>
  <c r="H74" i="12"/>
  <c r="H77" i="12" s="1"/>
  <c r="H84" i="12" s="1"/>
  <c r="F33" i="13"/>
  <c r="F46" i="13"/>
  <c r="H46" i="13" s="1"/>
  <c r="F34" i="7"/>
  <c r="F97" i="7"/>
  <c r="H61" i="13"/>
  <c r="G34" i="15"/>
  <c r="G165" i="15"/>
  <c r="G33" i="14"/>
  <c r="G46" i="14"/>
  <c r="H137" i="17"/>
  <c r="H76" i="17" s="1"/>
  <c r="H132" i="17"/>
  <c r="H63" i="17" s="1"/>
  <c r="H136" i="17"/>
  <c r="H75" i="17" s="1"/>
  <c r="H136" i="14"/>
  <c r="H75" i="14" s="1"/>
  <c r="H137" i="14"/>
  <c r="H76" i="14" s="1"/>
  <c r="H132" i="14"/>
  <c r="H63" i="14" s="1"/>
  <c r="I135" i="12"/>
  <c r="I131" i="12"/>
  <c r="I62" i="12" s="1"/>
  <c r="F33" i="16"/>
  <c r="F46" i="16"/>
  <c r="I145" i="16"/>
  <c r="I130" i="16" s="1"/>
  <c r="I15" i="16"/>
  <c r="I17" i="16"/>
  <c r="I147" i="16" s="1"/>
  <c r="I36" i="16"/>
  <c r="K102" i="14"/>
  <c r="L21" i="14"/>
  <c r="L102" i="14" s="1"/>
  <c r="H64" i="10"/>
  <c r="H70" i="10" s="1"/>
  <c r="L154" i="16"/>
  <c r="H15" i="17"/>
  <c r="H16" i="16"/>
  <c r="H18" i="16"/>
  <c r="G34" i="12"/>
  <c r="G165" i="12"/>
  <c r="K43" i="11"/>
  <c r="G34" i="13"/>
  <c r="G165" i="13"/>
  <c r="G33" i="7"/>
  <c r="G46" i="7"/>
  <c r="H46" i="7" s="1"/>
  <c r="L43" i="13"/>
  <c r="I82" i="14" l="1"/>
  <c r="L36" i="10"/>
  <c r="D162" i="10" s="1"/>
  <c r="G162" i="10" s="1"/>
  <c r="L162" i="10" s="1"/>
  <c r="L13" i="8"/>
  <c r="L17" i="8" s="1"/>
  <c r="I133" i="15"/>
  <c r="H138" i="11"/>
  <c r="H46" i="16"/>
  <c r="I46" i="16" s="1"/>
  <c r="L14" i="8"/>
  <c r="J135" i="11"/>
  <c r="J131" i="11"/>
  <c r="J62" i="11" s="1"/>
  <c r="J137" i="17"/>
  <c r="J76" i="17" s="1"/>
  <c r="J132" i="17"/>
  <c r="J63" i="17" s="1"/>
  <c r="J136" i="17"/>
  <c r="J75" i="17" s="1"/>
  <c r="I46" i="7"/>
  <c r="I18" i="9"/>
  <c r="I16" i="9"/>
  <c r="I18" i="7"/>
  <c r="I16" i="7"/>
  <c r="L43" i="12"/>
  <c r="K14" i="12"/>
  <c r="K146" i="12" s="1"/>
  <c r="I135" i="14"/>
  <c r="I131" i="14"/>
  <c r="I62" i="14" s="1"/>
  <c r="I46" i="10"/>
  <c r="H32" i="10"/>
  <c r="G34" i="7"/>
  <c r="G97" i="7"/>
  <c r="L115" i="10"/>
  <c r="L100" i="10" s="1"/>
  <c r="K145" i="15"/>
  <c r="K130" i="15" s="1"/>
  <c r="K36" i="15"/>
  <c r="I19" i="10"/>
  <c r="I22" i="10"/>
  <c r="I31" i="10" s="1"/>
  <c r="H18" i="13"/>
  <c r="H16" i="13"/>
  <c r="L41" i="11"/>
  <c r="L13" i="11" s="1"/>
  <c r="L36" i="11" s="1"/>
  <c r="D192" i="11" s="1"/>
  <c r="G192" i="11" s="1"/>
  <c r="L192" i="11" s="1"/>
  <c r="K13" i="11"/>
  <c r="I65" i="12"/>
  <c r="L48" i="14"/>
  <c r="I65" i="14"/>
  <c r="I136" i="16"/>
  <c r="I75" i="16" s="1"/>
  <c r="I132" i="16"/>
  <c r="I63" i="16" s="1"/>
  <c r="I137" i="16"/>
  <c r="I76" i="16" s="1"/>
  <c r="H138" i="12"/>
  <c r="H138" i="16"/>
  <c r="L15" i="8"/>
  <c r="L43" i="14"/>
  <c r="K14" i="14"/>
  <c r="K146" i="14" s="1"/>
  <c r="I65" i="11"/>
  <c r="L151" i="11"/>
  <c r="K115" i="10"/>
  <c r="K100" i="10" s="1"/>
  <c r="L41" i="7"/>
  <c r="K13" i="7"/>
  <c r="K17" i="7" s="1"/>
  <c r="I16" i="15"/>
  <c r="I18" i="15"/>
  <c r="I46" i="11"/>
  <c r="I132" i="14"/>
  <c r="I63" i="14" s="1"/>
  <c r="I137" i="14"/>
  <c r="I76" i="14" s="1"/>
  <c r="I136" i="14"/>
  <c r="I75" i="14" s="1"/>
  <c r="J14" i="17"/>
  <c r="J146" i="17" s="1"/>
  <c r="K43" i="17"/>
  <c r="I188" i="13"/>
  <c r="J188" i="13" s="1"/>
  <c r="H194" i="13"/>
  <c r="H20" i="13" s="1"/>
  <c r="I188" i="14"/>
  <c r="I194" i="14" s="1"/>
  <c r="I20" i="14" s="1"/>
  <c r="I101" i="14" s="1"/>
  <c r="H194" i="14"/>
  <c r="H20" i="14" s="1"/>
  <c r="K228" i="14"/>
  <c r="K230" i="14" s="1"/>
  <c r="I16" i="16"/>
  <c r="I18" i="16"/>
  <c r="H133" i="13"/>
  <c r="H139" i="13" s="1"/>
  <c r="H141" i="13" s="1"/>
  <c r="H104" i="13" s="1"/>
  <c r="H77" i="16"/>
  <c r="K15" i="8"/>
  <c r="K43" i="6"/>
  <c r="J14" i="6"/>
  <c r="J15" i="6" s="1"/>
  <c r="I188" i="11"/>
  <c r="I194" i="11" s="1"/>
  <c r="I20" i="11" s="1"/>
  <c r="H194" i="11"/>
  <c r="H20" i="11" s="1"/>
  <c r="H66" i="11" s="1"/>
  <c r="H67" i="11" s="1"/>
  <c r="H70" i="11" s="1"/>
  <c r="K132" i="15"/>
  <c r="K63" i="15" s="1"/>
  <c r="L151" i="15"/>
  <c r="J14" i="7"/>
  <c r="J15" i="7" s="1"/>
  <c r="H19" i="12"/>
  <c r="F34" i="11"/>
  <c r="F165" i="11"/>
  <c r="J109" i="15"/>
  <c r="D190" i="15"/>
  <c r="G190" i="15" s="1"/>
  <c r="J190" i="15" s="1"/>
  <c r="G34" i="6"/>
  <c r="G97" i="6"/>
  <c r="I188" i="12"/>
  <c r="J188" i="12"/>
  <c r="K188" i="12"/>
  <c r="H194" i="12"/>
  <c r="H20" i="12" s="1"/>
  <c r="I15" i="14"/>
  <c r="I131" i="17"/>
  <c r="I62" i="17" s="1"/>
  <c r="I135" i="17"/>
  <c r="H101" i="15"/>
  <c r="H66" i="15"/>
  <c r="H22" i="6"/>
  <c r="H31" i="6" s="1"/>
  <c r="H19" i="6"/>
  <c r="I61" i="16"/>
  <c r="I46" i="12"/>
  <c r="I19" i="8"/>
  <c r="I22" i="8"/>
  <c r="I31" i="8" s="1"/>
  <c r="L21" i="12"/>
  <c r="L102" i="12" s="1"/>
  <c r="K102" i="12"/>
  <c r="H101" i="17"/>
  <c r="H66" i="17"/>
  <c r="L44" i="7"/>
  <c r="J15" i="15"/>
  <c r="H19" i="15"/>
  <c r="H22" i="15"/>
  <c r="H31" i="15" s="1"/>
  <c r="L48" i="17"/>
  <c r="K36" i="17"/>
  <c r="I61" i="14"/>
  <c r="I64" i="10"/>
  <c r="I70" i="10" s="1"/>
  <c r="F34" i="17"/>
  <c r="F165" i="17"/>
  <c r="L155" i="16"/>
  <c r="I18" i="13"/>
  <c r="I16" i="13"/>
  <c r="L154" i="12"/>
  <c r="J136" i="14"/>
  <c r="J75" i="14" s="1"/>
  <c r="J137" i="14"/>
  <c r="J76" i="14" s="1"/>
  <c r="J132" i="14"/>
  <c r="J63" i="14" s="1"/>
  <c r="J145" i="14"/>
  <c r="J130" i="14" s="1"/>
  <c r="K102" i="15"/>
  <c r="I74" i="10"/>
  <c r="I77" i="10" s="1"/>
  <c r="I84" i="10" s="1"/>
  <c r="I108" i="10"/>
  <c r="I18" i="11"/>
  <c r="I16" i="11"/>
  <c r="J245" i="15"/>
  <c r="J247" i="15" s="1"/>
  <c r="J131" i="12"/>
  <c r="J62" i="12" s="1"/>
  <c r="J135" i="12"/>
  <c r="I46" i="15"/>
  <c r="H32" i="15"/>
  <c r="H138" i="13"/>
  <c r="H74" i="13"/>
  <c r="H77" i="13" s="1"/>
  <c r="H84" i="13" s="1"/>
  <c r="H19" i="14"/>
  <c r="H22" i="14"/>
  <c r="H31" i="14" s="1"/>
  <c r="H32" i="14" s="1"/>
  <c r="L155" i="11"/>
  <c r="F34" i="10"/>
  <c r="F135" i="10"/>
  <c r="D192" i="15"/>
  <c r="G192" i="15" s="1"/>
  <c r="L192" i="15" s="1"/>
  <c r="L109" i="15"/>
  <c r="I46" i="6"/>
  <c r="L41" i="12"/>
  <c r="K13" i="12"/>
  <c r="L145" i="15"/>
  <c r="L130" i="15" s="1"/>
  <c r="I46" i="8"/>
  <c r="H32" i="8"/>
  <c r="H33" i="8" s="1"/>
  <c r="J36" i="14"/>
  <c r="I65" i="13"/>
  <c r="H22" i="7"/>
  <c r="H31" i="7" s="1"/>
  <c r="H19" i="7"/>
  <c r="H16" i="17"/>
  <c r="H18" i="17"/>
  <c r="D189" i="16"/>
  <c r="G189" i="16" s="1"/>
  <c r="I189" i="16" s="1"/>
  <c r="I109" i="16"/>
  <c r="L69" i="11"/>
  <c r="J65" i="15"/>
  <c r="J14" i="14"/>
  <c r="J146" i="14" s="1"/>
  <c r="J145" i="12"/>
  <c r="J130" i="12" s="1"/>
  <c r="J15" i="12"/>
  <c r="J36" i="12"/>
  <c r="J17" i="12"/>
  <c r="J147" i="12" s="1"/>
  <c r="K17" i="15"/>
  <c r="K147" i="15" s="1"/>
  <c r="L44" i="15"/>
  <c r="L17" i="15" s="1"/>
  <c r="L147" i="15" s="1"/>
  <c r="L137" i="15" s="1"/>
  <c r="L76" i="15" s="1"/>
  <c r="L44" i="10"/>
  <c r="L17" i="10" s="1"/>
  <c r="L117" i="10" s="1"/>
  <c r="L102" i="10" s="1"/>
  <c r="L63" i="10" s="1"/>
  <c r="K17" i="10"/>
  <c r="K117" i="10" s="1"/>
  <c r="K102" i="10" s="1"/>
  <c r="K63" i="10" s="1"/>
  <c r="K14" i="15"/>
  <c r="K146" i="15" s="1"/>
  <c r="L43" i="15"/>
  <c r="L14" i="15" s="1"/>
  <c r="L146" i="15" s="1"/>
  <c r="J14" i="9"/>
  <c r="J15" i="9" s="1"/>
  <c r="J36" i="9"/>
  <c r="D160" i="9" s="1"/>
  <c r="G160" i="9" s="1"/>
  <c r="J160" i="9" s="1"/>
  <c r="F34" i="12"/>
  <c r="F165" i="12"/>
  <c r="J135" i="16"/>
  <c r="J131" i="16"/>
  <c r="J62" i="16" s="1"/>
  <c r="H33" i="10"/>
  <c r="J251" i="15"/>
  <c r="J253" i="15" s="1"/>
  <c r="J145" i="17"/>
  <c r="J130" i="17" s="1"/>
  <c r="L44" i="17"/>
  <c r="K17" i="17"/>
  <c r="K147" i="17" s="1"/>
  <c r="K136" i="17" s="1"/>
  <c r="K75" i="17" s="1"/>
  <c r="J61" i="15"/>
  <c r="J133" i="15"/>
  <c r="J36" i="17"/>
  <c r="I46" i="9"/>
  <c r="G34" i="16"/>
  <c r="G165" i="16"/>
  <c r="I103" i="10"/>
  <c r="H138" i="17"/>
  <c r="H74" i="17"/>
  <c r="H77" i="17" s="1"/>
  <c r="J222" i="14"/>
  <c r="J224" i="14" s="1"/>
  <c r="F34" i="16"/>
  <c r="F165" i="16"/>
  <c r="K13" i="9"/>
  <c r="L41" i="9"/>
  <c r="K65" i="8"/>
  <c r="L44" i="14"/>
  <c r="L41" i="14"/>
  <c r="K13" i="14"/>
  <c r="K36" i="14" s="1"/>
  <c r="I61" i="11"/>
  <c r="I18" i="6"/>
  <c r="I16" i="6"/>
  <c r="J131" i="15"/>
  <c r="J62" i="15" s="1"/>
  <c r="J135" i="15"/>
  <c r="I65" i="16"/>
  <c r="K17" i="9"/>
  <c r="L44" i="9"/>
  <c r="J188" i="16"/>
  <c r="I188" i="16"/>
  <c r="H194" i="16"/>
  <c r="H20" i="16" s="1"/>
  <c r="I74" i="11"/>
  <c r="F34" i="15"/>
  <c r="F165" i="15"/>
  <c r="J136" i="15"/>
  <c r="J75" i="15" s="1"/>
  <c r="J137" i="15"/>
  <c r="J76" i="15" s="1"/>
  <c r="L44" i="6"/>
  <c r="K17" i="6"/>
  <c r="J145" i="11"/>
  <c r="J130" i="11" s="1"/>
  <c r="J15" i="11"/>
  <c r="J36" i="11"/>
  <c r="D190" i="11" s="1"/>
  <c r="G190" i="11" s="1"/>
  <c r="J190" i="11" s="1"/>
  <c r="J17" i="11"/>
  <c r="J147" i="11" s="1"/>
  <c r="K69" i="15"/>
  <c r="H139" i="11"/>
  <c r="H141" i="11" s="1"/>
  <c r="K14" i="11"/>
  <c r="K146" i="11" s="1"/>
  <c r="L43" i="11"/>
  <c r="D189" i="12"/>
  <c r="G189" i="12" s="1"/>
  <c r="I189" i="12" s="1"/>
  <c r="I109" i="12"/>
  <c r="H133" i="16"/>
  <c r="L151" i="12"/>
  <c r="L43" i="16"/>
  <c r="I136" i="12"/>
  <c r="I75" i="12" s="1"/>
  <c r="I132" i="12"/>
  <c r="I63" i="12" s="1"/>
  <c r="I137" i="12"/>
  <c r="I76" i="12" s="1"/>
  <c r="L155" i="12"/>
  <c r="K13" i="17"/>
  <c r="L41" i="17"/>
  <c r="L13" i="17" s="1"/>
  <c r="L188" i="17"/>
  <c r="I132" i="13"/>
  <c r="I63" i="13" s="1"/>
  <c r="I137" i="13"/>
  <c r="I76" i="13" s="1"/>
  <c r="I136" i="13"/>
  <c r="I75" i="13" s="1"/>
  <c r="I74" i="15"/>
  <c r="I77" i="15" s="1"/>
  <c r="I84" i="15" s="1"/>
  <c r="I138" i="15"/>
  <c r="K238" i="15"/>
  <c r="J79" i="15"/>
  <c r="J101" i="10"/>
  <c r="J62" i="10" s="1"/>
  <c r="J105" i="10"/>
  <c r="J106" i="10"/>
  <c r="J75" i="10" s="1"/>
  <c r="H74" i="14"/>
  <c r="H77" i="14" s="1"/>
  <c r="H84" i="14" s="1"/>
  <c r="H138" i="14"/>
  <c r="F34" i="9"/>
  <c r="F135" i="9"/>
  <c r="K188" i="15"/>
  <c r="J216" i="14"/>
  <c r="J218" i="14" s="1"/>
  <c r="H19" i="9"/>
  <c r="I46" i="13"/>
  <c r="K102" i="16"/>
  <c r="L21" i="16"/>
  <c r="L102" i="16" s="1"/>
  <c r="I61" i="12"/>
  <c r="H19" i="11"/>
  <c r="I46" i="14"/>
  <c r="I65" i="9"/>
  <c r="I135" i="13"/>
  <c r="I131" i="13"/>
  <c r="I62" i="13" s="1"/>
  <c r="L21" i="9"/>
  <c r="L69" i="9" s="1"/>
  <c r="J145" i="13"/>
  <c r="J130" i="13" s="1"/>
  <c r="J36" i="13"/>
  <c r="J17" i="13"/>
  <c r="J147" i="13" s="1"/>
  <c r="J14" i="13"/>
  <c r="J146" i="13" s="1"/>
  <c r="K36" i="8"/>
  <c r="D123" i="8" s="1"/>
  <c r="G123" i="8" s="1"/>
  <c r="K123" i="8" s="1"/>
  <c r="G34" i="17"/>
  <c r="G165" i="17"/>
  <c r="K14" i="10"/>
  <c r="K116" i="10" s="1"/>
  <c r="L43" i="10"/>
  <c r="L14" i="10" s="1"/>
  <c r="L116" i="10" s="1"/>
  <c r="K106" i="10"/>
  <c r="K75" i="10" s="1"/>
  <c r="L124" i="10"/>
  <c r="L21" i="8"/>
  <c r="L69" i="8" s="1"/>
  <c r="I194" i="15"/>
  <c r="I20" i="15" s="1"/>
  <c r="I101" i="15" s="1"/>
  <c r="I138" i="12"/>
  <c r="I74" i="12"/>
  <c r="I77" i="12" s="1"/>
  <c r="I84" i="12" s="1"/>
  <c r="F34" i="13"/>
  <c r="F165" i="13"/>
  <c r="J145" i="16"/>
  <c r="J130" i="16" s="1"/>
  <c r="J15" i="16"/>
  <c r="J36" i="16"/>
  <c r="J17" i="16"/>
  <c r="J147" i="16" s="1"/>
  <c r="I18" i="12"/>
  <c r="I16" i="12"/>
  <c r="L154" i="11"/>
  <c r="J61" i="10"/>
  <c r="F34" i="14"/>
  <c r="F165" i="14"/>
  <c r="K120" i="8"/>
  <c r="L120" i="8" s="1"/>
  <c r="I194" i="17"/>
  <c r="I20" i="17" s="1"/>
  <c r="I101" i="17" s="1"/>
  <c r="I158" i="9"/>
  <c r="I164" i="9" s="1"/>
  <c r="I20" i="9" s="1"/>
  <c r="H164" i="9"/>
  <c r="H20" i="9" s="1"/>
  <c r="H66" i="9" s="1"/>
  <c r="I66" i="9" s="1"/>
  <c r="I109" i="13"/>
  <c r="D189" i="13"/>
  <c r="G189" i="13" s="1"/>
  <c r="I189" i="13" s="1"/>
  <c r="L41" i="13"/>
  <c r="K13" i="13"/>
  <c r="J107" i="10"/>
  <c r="J76" i="10" s="1"/>
  <c r="I15" i="17"/>
  <c r="H133" i="12"/>
  <c r="L154" i="13"/>
  <c r="L235" i="15"/>
  <c r="L78" i="15"/>
  <c r="H133" i="14"/>
  <c r="L69" i="14"/>
  <c r="I74" i="16"/>
  <c r="H22" i="16"/>
  <c r="H31" i="16" s="1"/>
  <c r="H19" i="16"/>
  <c r="G34" i="14"/>
  <c r="G165" i="14"/>
  <c r="L158" i="10"/>
  <c r="L41" i="16"/>
  <c r="K13" i="16"/>
  <c r="J16" i="8"/>
  <c r="J18" i="8"/>
  <c r="J15" i="10"/>
  <c r="K65" i="10"/>
  <c r="H46" i="17"/>
  <c r="J17" i="9"/>
  <c r="I61" i="13"/>
  <c r="H77" i="11"/>
  <c r="H84" i="11" s="1"/>
  <c r="H133" i="17"/>
  <c r="L125" i="10"/>
  <c r="I61" i="17"/>
  <c r="L41" i="6"/>
  <c r="K13" i="6"/>
  <c r="I136" i="11"/>
  <c r="I75" i="11" s="1"/>
  <c r="I132" i="11"/>
  <c r="I63" i="11" s="1"/>
  <c r="I137" i="11"/>
  <c r="I76" i="11" s="1"/>
  <c r="L212" i="14"/>
  <c r="L78" i="14"/>
  <c r="L154" i="17"/>
  <c r="L14" i="11" l="1"/>
  <c r="L146" i="11" s="1"/>
  <c r="L17" i="17"/>
  <c r="L147" i="17" s="1"/>
  <c r="L15" i="15"/>
  <c r="I133" i="17"/>
  <c r="I133" i="16"/>
  <c r="L17" i="11"/>
  <c r="L147" i="11" s="1"/>
  <c r="L137" i="11" s="1"/>
  <c r="L76" i="11" s="1"/>
  <c r="L69" i="16"/>
  <c r="L13" i="7"/>
  <c r="L14" i="7" s="1"/>
  <c r="K15" i="15"/>
  <c r="K18" i="15" s="1"/>
  <c r="K107" i="10"/>
  <c r="K76" i="10" s="1"/>
  <c r="H139" i="12"/>
  <c r="H141" i="12" s="1"/>
  <c r="H104" i="12" s="1"/>
  <c r="L188" i="12"/>
  <c r="L107" i="10"/>
  <c r="L76" i="10" s="1"/>
  <c r="J64" i="10"/>
  <c r="L136" i="17"/>
  <c r="L75" i="17" s="1"/>
  <c r="H139" i="17"/>
  <c r="H141" i="17" s="1"/>
  <c r="H104" i="17" s="1"/>
  <c r="L36" i="8"/>
  <c r="D124" i="8" s="1"/>
  <c r="G124" i="8" s="1"/>
  <c r="L124" i="8" s="1"/>
  <c r="I194" i="16"/>
  <c r="I20" i="16" s="1"/>
  <c r="I101" i="16" s="1"/>
  <c r="I139" i="15"/>
  <c r="I141" i="15" s="1"/>
  <c r="I104" i="15" s="1"/>
  <c r="K188" i="16"/>
  <c r="L188" i="16" s="1"/>
  <c r="L17" i="7"/>
  <c r="H34" i="8"/>
  <c r="H86" i="8"/>
  <c r="J16" i="6"/>
  <c r="J18" i="6"/>
  <c r="J16" i="7"/>
  <c r="J18" i="7"/>
  <c r="D191" i="14"/>
  <c r="G191" i="14" s="1"/>
  <c r="K191" i="14" s="1"/>
  <c r="K109" i="14"/>
  <c r="K221" i="14"/>
  <c r="J80" i="14"/>
  <c r="J16" i="9"/>
  <c r="J18" i="9"/>
  <c r="K81" i="14"/>
  <c r="L227" i="14"/>
  <c r="J79" i="14"/>
  <c r="K215" i="14"/>
  <c r="J80" i="15"/>
  <c r="K244" i="15"/>
  <c r="L65" i="10"/>
  <c r="J61" i="11"/>
  <c r="J135" i="14"/>
  <c r="J131" i="14"/>
  <c r="J62" i="14" s="1"/>
  <c r="L105" i="10"/>
  <c r="L101" i="10"/>
  <c r="L62" i="10" s="1"/>
  <c r="J109" i="17"/>
  <c r="D190" i="17"/>
  <c r="G190" i="17" s="1"/>
  <c r="J190" i="17" s="1"/>
  <c r="J61" i="14"/>
  <c r="H101" i="12"/>
  <c r="H66" i="12"/>
  <c r="K105" i="10"/>
  <c r="K101" i="10"/>
  <c r="K62" i="10" s="1"/>
  <c r="J74" i="16"/>
  <c r="I74" i="14"/>
  <c r="I77" i="14" s="1"/>
  <c r="I84" i="14" s="1"/>
  <c r="I138" i="14"/>
  <c r="H67" i="9"/>
  <c r="H70" i="9" s="1"/>
  <c r="I22" i="15"/>
  <c r="I31" i="15" s="1"/>
  <c r="I19" i="15"/>
  <c r="J65" i="14"/>
  <c r="K135" i="12"/>
  <c r="K131" i="12"/>
  <c r="K62" i="12" s="1"/>
  <c r="I77" i="16"/>
  <c r="J158" i="9"/>
  <c r="J65" i="9"/>
  <c r="I67" i="9"/>
  <c r="I70" i="9" s="1"/>
  <c r="K131" i="11"/>
  <c r="K62" i="11" s="1"/>
  <c r="K135" i="11"/>
  <c r="H66" i="16"/>
  <c r="H101" i="16"/>
  <c r="K132" i="17"/>
  <c r="K63" i="17" s="1"/>
  <c r="K137" i="17"/>
  <c r="K76" i="17" s="1"/>
  <c r="K145" i="12"/>
  <c r="K130" i="12" s="1"/>
  <c r="K15" i="12"/>
  <c r="K36" i="12"/>
  <c r="K17" i="12"/>
  <c r="K147" i="12" s="1"/>
  <c r="J46" i="12"/>
  <c r="H66" i="14"/>
  <c r="H101" i="14"/>
  <c r="K109" i="15"/>
  <c r="D191" i="15"/>
  <c r="G191" i="15" s="1"/>
  <c r="K191" i="15" s="1"/>
  <c r="L14" i="12"/>
  <c r="L146" i="12" s="1"/>
  <c r="J46" i="7"/>
  <c r="I133" i="13"/>
  <c r="L13" i="16"/>
  <c r="I18" i="17"/>
  <c r="I16" i="17"/>
  <c r="H22" i="9"/>
  <c r="H31" i="9" s="1"/>
  <c r="J108" i="10"/>
  <c r="J74" i="10"/>
  <c r="J77" i="10" s="1"/>
  <c r="J84" i="10" s="1"/>
  <c r="I64" i="11"/>
  <c r="I109" i="10"/>
  <c r="I111" i="10" s="1"/>
  <c r="K137" i="15"/>
  <c r="K76" i="15" s="1"/>
  <c r="K136" i="15"/>
  <c r="K75" i="15" s="1"/>
  <c r="J65" i="13"/>
  <c r="L13" i="12"/>
  <c r="L136" i="15"/>
  <c r="L75" i="15" s="1"/>
  <c r="L132" i="15"/>
  <c r="L63" i="15" s="1"/>
  <c r="K16" i="8"/>
  <c r="K18" i="8"/>
  <c r="K14" i="7"/>
  <c r="K15" i="7" s="1"/>
  <c r="K61" i="15"/>
  <c r="J18" i="10"/>
  <c r="J16" i="10"/>
  <c r="J65" i="16"/>
  <c r="K65" i="15"/>
  <c r="K188" i="13"/>
  <c r="J46" i="11"/>
  <c r="J65" i="11"/>
  <c r="I74" i="13"/>
  <c r="I77" i="13" s="1"/>
  <c r="I84" i="13" s="1"/>
  <c r="I138" i="13"/>
  <c r="K14" i="6"/>
  <c r="K15" i="6" s="1"/>
  <c r="L43" i="6"/>
  <c r="L43" i="17"/>
  <c r="L14" i="17" s="1"/>
  <c r="L146" i="17" s="1"/>
  <c r="K14" i="17"/>
  <c r="K146" i="17" s="1"/>
  <c r="K131" i="14"/>
  <c r="K62" i="14" s="1"/>
  <c r="K135" i="14"/>
  <c r="I19" i="12"/>
  <c r="I133" i="11"/>
  <c r="J109" i="14"/>
  <c r="D190" i="14"/>
  <c r="G190" i="14" s="1"/>
  <c r="J190" i="14" s="1"/>
  <c r="I133" i="14"/>
  <c r="I139" i="14" s="1"/>
  <c r="I141" i="14" s="1"/>
  <c r="I104" i="14" s="1"/>
  <c r="L15" i="7"/>
  <c r="I46" i="17"/>
  <c r="J135" i="13"/>
  <c r="J131" i="13"/>
  <c r="J62" i="13" s="1"/>
  <c r="L69" i="15"/>
  <c r="J15" i="17"/>
  <c r="D191" i="17"/>
  <c r="G191" i="17" s="1"/>
  <c r="K191" i="17" s="1"/>
  <c r="K109" i="17"/>
  <c r="I66" i="11"/>
  <c r="I67" i="11" s="1"/>
  <c r="J188" i="14"/>
  <c r="J65" i="12"/>
  <c r="L61" i="10"/>
  <c r="L13" i="13"/>
  <c r="J109" i="16"/>
  <c r="D190" i="16"/>
  <c r="G190" i="16" s="1"/>
  <c r="J190" i="16" s="1"/>
  <c r="J137" i="13"/>
  <c r="J76" i="13" s="1"/>
  <c r="J132" i="13"/>
  <c r="J63" i="13" s="1"/>
  <c r="J136" i="13"/>
  <c r="J75" i="13" s="1"/>
  <c r="K239" i="15"/>
  <c r="K241" i="15" s="1"/>
  <c r="L145" i="17"/>
  <c r="L130" i="17" s="1"/>
  <c r="J136" i="11"/>
  <c r="J75" i="11" s="1"/>
  <c r="J137" i="11"/>
  <c r="J76" i="11" s="1"/>
  <c r="J132" i="11"/>
  <c r="J63" i="11" s="1"/>
  <c r="J74" i="15"/>
  <c r="J77" i="15" s="1"/>
  <c r="J138" i="15"/>
  <c r="L13" i="14"/>
  <c r="L14" i="14" s="1"/>
  <c r="L146" i="14" s="1"/>
  <c r="J61" i="17"/>
  <c r="L135" i="15"/>
  <c r="L131" i="15"/>
  <c r="L62" i="15" s="1"/>
  <c r="J109" i="12"/>
  <c r="D190" i="12"/>
  <c r="G190" i="12" s="1"/>
  <c r="J190" i="12" s="1"/>
  <c r="I32" i="8"/>
  <c r="I33" i="8" s="1"/>
  <c r="I34" i="8" s="1"/>
  <c r="J46" i="8"/>
  <c r="J46" i="6"/>
  <c r="I19" i="13"/>
  <c r="L36" i="17"/>
  <c r="J65" i="17"/>
  <c r="J188" i="11"/>
  <c r="L69" i="12"/>
  <c r="K61" i="10"/>
  <c r="K64" i="10" s="1"/>
  <c r="L15" i="10"/>
  <c r="I22" i="7"/>
  <c r="I31" i="7" s="1"/>
  <c r="I19" i="7"/>
  <c r="L13" i="6"/>
  <c r="L17" i="6" s="1"/>
  <c r="J18" i="16"/>
  <c r="J16" i="16"/>
  <c r="D190" i="13"/>
  <c r="G190" i="13" s="1"/>
  <c r="J190" i="13" s="1"/>
  <c r="J109" i="13"/>
  <c r="H22" i="11"/>
  <c r="H31" i="11" s="1"/>
  <c r="K145" i="17"/>
  <c r="K130" i="17" s="1"/>
  <c r="I138" i="11"/>
  <c r="L13" i="9"/>
  <c r="I32" i="9"/>
  <c r="J46" i="9"/>
  <c r="K131" i="15"/>
  <c r="K62" i="15" s="1"/>
  <c r="K135" i="15"/>
  <c r="J18" i="12"/>
  <c r="J16" i="12"/>
  <c r="L21" i="15"/>
  <c r="L102" i="15" s="1"/>
  <c r="H33" i="15"/>
  <c r="I74" i="17"/>
  <c r="I77" i="17" s="1"/>
  <c r="I138" i="17"/>
  <c r="I139" i="17" s="1"/>
  <c r="I141" i="17" s="1"/>
  <c r="I104" i="17" s="1"/>
  <c r="I19" i="16"/>
  <c r="H66" i="13"/>
  <c r="H101" i="13"/>
  <c r="K15" i="10"/>
  <c r="K15" i="11"/>
  <c r="K145" i="11"/>
  <c r="K130" i="11" s="1"/>
  <c r="K36" i="11"/>
  <c r="D191" i="11" s="1"/>
  <c r="G191" i="11" s="1"/>
  <c r="K191" i="11" s="1"/>
  <c r="K17" i="11"/>
  <c r="K147" i="11" s="1"/>
  <c r="J74" i="11"/>
  <c r="J61" i="13"/>
  <c r="I19" i="6"/>
  <c r="I22" i="6"/>
  <c r="I31" i="6" s="1"/>
  <c r="I32" i="6" s="1"/>
  <c r="H86" i="10"/>
  <c r="H34" i="10"/>
  <c r="J46" i="16"/>
  <c r="J15" i="14"/>
  <c r="I16" i="14"/>
  <c r="I18" i="14"/>
  <c r="L61" i="15"/>
  <c r="H22" i="12"/>
  <c r="H31" i="12" s="1"/>
  <c r="I32" i="10"/>
  <c r="J46" i="10"/>
  <c r="J19" i="8"/>
  <c r="J139" i="15"/>
  <c r="L18" i="15"/>
  <c r="L16" i="15"/>
  <c r="I32" i="15"/>
  <c r="J46" i="15"/>
  <c r="J18" i="15"/>
  <c r="J16" i="15"/>
  <c r="H22" i="13"/>
  <c r="H31" i="13" s="1"/>
  <c r="H19" i="13"/>
  <c r="J74" i="12"/>
  <c r="I33" i="10"/>
  <c r="I34" i="10" s="1"/>
  <c r="I138" i="16"/>
  <c r="I139" i="16" s="1"/>
  <c r="I141" i="16" s="1"/>
  <c r="I104" i="16" s="1"/>
  <c r="J46" i="13"/>
  <c r="L131" i="11"/>
  <c r="L62" i="11" s="1"/>
  <c r="L135" i="11"/>
  <c r="I194" i="12"/>
  <c r="I20" i="12" s="1"/>
  <c r="I101" i="12" s="1"/>
  <c r="J135" i="17"/>
  <c r="J131" i="17"/>
  <c r="J62" i="17" s="1"/>
  <c r="H32" i="7"/>
  <c r="H33" i="7" s="1"/>
  <c r="H34" i="7" s="1"/>
  <c r="K15" i="16"/>
  <c r="K145" i="16"/>
  <c r="K130" i="16" s="1"/>
  <c r="K36" i="16"/>
  <c r="K17" i="16"/>
  <c r="K147" i="16" s="1"/>
  <c r="H139" i="14"/>
  <c r="H141" i="14" s="1"/>
  <c r="H104" i="14" s="1"/>
  <c r="H33" i="14"/>
  <c r="I22" i="11"/>
  <c r="I31" i="11" s="1"/>
  <c r="I32" i="11" s="1"/>
  <c r="I19" i="11"/>
  <c r="I66" i="15"/>
  <c r="H67" i="15"/>
  <c r="L16" i="8"/>
  <c r="L18" i="8"/>
  <c r="K145" i="13"/>
  <c r="K130" i="13" s="1"/>
  <c r="K14" i="13"/>
  <c r="K146" i="13" s="1"/>
  <c r="K17" i="13"/>
  <c r="K147" i="13" s="1"/>
  <c r="K36" i="13"/>
  <c r="J136" i="16"/>
  <c r="J75" i="16" s="1"/>
  <c r="J132" i="16"/>
  <c r="J63" i="16" s="1"/>
  <c r="J137" i="16"/>
  <c r="J76" i="16" s="1"/>
  <c r="J46" i="14"/>
  <c r="K14" i="16"/>
  <c r="K146" i="16" s="1"/>
  <c r="K15" i="14"/>
  <c r="K145" i="14"/>
  <c r="K130" i="14" s="1"/>
  <c r="J137" i="12"/>
  <c r="J76" i="12" s="1"/>
  <c r="J132" i="12"/>
  <c r="J63" i="12" s="1"/>
  <c r="J136" i="12"/>
  <c r="J75" i="12" s="1"/>
  <c r="H32" i="6"/>
  <c r="H33" i="6" s="1"/>
  <c r="H34" i="6" s="1"/>
  <c r="J103" i="10"/>
  <c r="J109" i="10" s="1"/>
  <c r="J111" i="10" s="1"/>
  <c r="J61" i="16"/>
  <c r="L106" i="10"/>
  <c r="L75" i="10" s="1"/>
  <c r="J15" i="13"/>
  <c r="I133" i="12"/>
  <c r="I139" i="12" s="1"/>
  <c r="H139" i="16"/>
  <c r="H141" i="16" s="1"/>
  <c r="H104" i="16" s="1"/>
  <c r="J16" i="11"/>
  <c r="J18" i="11"/>
  <c r="I77" i="11"/>
  <c r="I84" i="11" s="1"/>
  <c r="L17" i="9"/>
  <c r="K17" i="14"/>
  <c r="K147" i="14" s="1"/>
  <c r="K36" i="9"/>
  <c r="D161" i="9" s="1"/>
  <c r="G161" i="9" s="1"/>
  <c r="K161" i="9" s="1"/>
  <c r="K14" i="9"/>
  <c r="K15" i="9" s="1"/>
  <c r="J81" i="15"/>
  <c r="J82" i="15" s="1"/>
  <c r="K250" i="15"/>
  <c r="H32" i="16"/>
  <c r="H33" i="16" s="1"/>
  <c r="J61" i="12"/>
  <c r="H22" i="17"/>
  <c r="H31" i="17" s="1"/>
  <c r="H32" i="17" s="1"/>
  <c r="H19" i="17"/>
  <c r="I66" i="17"/>
  <c r="H67" i="17"/>
  <c r="I194" i="13"/>
  <c r="I20" i="13" s="1"/>
  <c r="I101" i="13" s="1"/>
  <c r="L132" i="11"/>
  <c r="L63" i="11" s="1"/>
  <c r="L145" i="11"/>
  <c r="L130" i="11" s="1"/>
  <c r="L15" i="11"/>
  <c r="I22" i="9"/>
  <c r="I31" i="9" s="1"/>
  <c r="I19" i="9"/>
  <c r="L188" i="15"/>
  <c r="K133" i="15" l="1"/>
  <c r="K139" i="15" s="1"/>
  <c r="K141" i="15" s="1"/>
  <c r="K104" i="15" s="1"/>
  <c r="J138" i="16"/>
  <c r="K15" i="13"/>
  <c r="I22" i="12"/>
  <c r="I31" i="12" s="1"/>
  <c r="L136" i="11"/>
  <c r="L75" i="11" s="1"/>
  <c r="J77" i="12"/>
  <c r="J84" i="12" s="1"/>
  <c r="J133" i="13"/>
  <c r="J133" i="12"/>
  <c r="J139" i="12" s="1"/>
  <c r="J141" i="12" s="1"/>
  <c r="J104" i="12" s="1"/>
  <c r="I141" i="12"/>
  <c r="I104" i="12" s="1"/>
  <c r="J77" i="11"/>
  <c r="J84" i="11" s="1"/>
  <c r="J141" i="15"/>
  <c r="J104" i="15" s="1"/>
  <c r="I22" i="16"/>
  <c r="I31" i="16" s="1"/>
  <c r="I32" i="16" s="1"/>
  <c r="J138" i="12"/>
  <c r="L65" i="8"/>
  <c r="I139" i="13"/>
  <c r="I141" i="13" s="1"/>
  <c r="I104" i="13" s="1"/>
  <c r="J82" i="14"/>
  <c r="L137" i="17"/>
  <c r="L76" i="17" s="1"/>
  <c r="L132" i="17"/>
  <c r="L63" i="17" s="1"/>
  <c r="L64" i="10"/>
  <c r="K16" i="15"/>
  <c r="J133" i="16"/>
  <c r="J139" i="16" s="1"/>
  <c r="J141" i="16" s="1"/>
  <c r="J104" i="16" s="1"/>
  <c r="L14" i="6"/>
  <c r="L15" i="6" s="1"/>
  <c r="K79" i="15"/>
  <c r="L238" i="15"/>
  <c r="K16" i="9"/>
  <c r="K18" i="9"/>
  <c r="H100" i="16"/>
  <c r="H103" i="16" s="1"/>
  <c r="H105" i="16" s="1"/>
  <c r="H206" i="16" s="1"/>
  <c r="H207" i="16" s="1"/>
  <c r="H214" i="16" s="1"/>
  <c r="H34" i="16"/>
  <c r="H86" i="16"/>
  <c r="K61" i="14"/>
  <c r="K133" i="14"/>
  <c r="K18" i="16"/>
  <c r="K16" i="16"/>
  <c r="L61" i="11"/>
  <c r="L64" i="11" s="1"/>
  <c r="L133" i="11"/>
  <c r="I33" i="7"/>
  <c r="I34" i="7" s="1"/>
  <c r="K65" i="12"/>
  <c r="L135" i="12"/>
  <c r="L131" i="12"/>
  <c r="L62" i="12" s="1"/>
  <c r="K251" i="15"/>
  <c r="K253" i="15" s="1"/>
  <c r="H32" i="12"/>
  <c r="H33" i="12" s="1"/>
  <c r="K61" i="12"/>
  <c r="K65" i="9"/>
  <c r="D191" i="13"/>
  <c r="G191" i="13" s="1"/>
  <c r="K191" i="13" s="1"/>
  <c r="K109" i="13"/>
  <c r="I67" i="15"/>
  <c r="L14" i="9"/>
  <c r="L15" i="9" s="1"/>
  <c r="L36" i="9"/>
  <c r="D162" i="9" s="1"/>
  <c r="G162" i="9" s="1"/>
  <c r="L162" i="9" s="1"/>
  <c r="L145" i="14"/>
  <c r="L130" i="14" s="1"/>
  <c r="L15" i="14"/>
  <c r="K188" i="14"/>
  <c r="K222" i="14"/>
  <c r="K224" i="14" s="1"/>
  <c r="J16" i="13"/>
  <c r="J18" i="13"/>
  <c r="K132" i="13"/>
  <c r="K63" i="13" s="1"/>
  <c r="K137" i="13"/>
  <c r="K76" i="13" s="1"/>
  <c r="K136" i="13"/>
  <c r="K75" i="13" s="1"/>
  <c r="K109" i="16"/>
  <c r="D191" i="16"/>
  <c r="G191" i="16" s="1"/>
  <c r="K191" i="16" s="1"/>
  <c r="K46" i="13"/>
  <c r="J19" i="15"/>
  <c r="L133" i="15"/>
  <c r="I86" i="10"/>
  <c r="H87" i="10"/>
  <c r="H89" i="10" s="1"/>
  <c r="K61" i="11"/>
  <c r="L17" i="14"/>
  <c r="L147" i="14" s="1"/>
  <c r="K103" i="10"/>
  <c r="K46" i="6"/>
  <c r="J32" i="6"/>
  <c r="K65" i="13"/>
  <c r="H33" i="9"/>
  <c r="H32" i="9"/>
  <c r="K158" i="9"/>
  <c r="K74" i="10"/>
  <c r="K77" i="10" s="1"/>
  <c r="K84" i="10" s="1"/>
  <c r="K108" i="10"/>
  <c r="I67" i="17"/>
  <c r="I33" i="11"/>
  <c r="I34" i="11" s="1"/>
  <c r="J19" i="16"/>
  <c r="K18" i="14"/>
  <c r="K16" i="14"/>
  <c r="H100" i="14"/>
  <c r="H103" i="14" s="1"/>
  <c r="H105" i="14" s="1"/>
  <c r="H119" i="14" s="1"/>
  <c r="H60" i="14" s="1"/>
  <c r="H34" i="14"/>
  <c r="H86" i="14"/>
  <c r="K46" i="9"/>
  <c r="K131" i="17"/>
  <c r="K135" i="17"/>
  <c r="K65" i="11"/>
  <c r="J19" i="10"/>
  <c r="K18" i="12"/>
  <c r="K16" i="12"/>
  <c r="J64" i="11"/>
  <c r="L74" i="11"/>
  <c r="L77" i="11" s="1"/>
  <c r="L84" i="11" s="1"/>
  <c r="L138" i="11"/>
  <c r="H32" i="13"/>
  <c r="H33" i="13" s="1"/>
  <c r="K46" i="16"/>
  <c r="K132" i="11"/>
  <c r="K63" i="11" s="1"/>
  <c r="K136" i="11"/>
  <c r="K75" i="11" s="1"/>
  <c r="K137" i="11"/>
  <c r="K76" i="11" s="1"/>
  <c r="H32" i="11"/>
  <c r="H33" i="11" s="1"/>
  <c r="L16" i="10"/>
  <c r="L18" i="10"/>
  <c r="L135" i="17"/>
  <c r="L131" i="17"/>
  <c r="L62" i="17" s="1"/>
  <c r="L15" i="12"/>
  <c r="L145" i="12"/>
  <c r="L130" i="12" s="1"/>
  <c r="L17" i="12"/>
  <c r="L147" i="12" s="1"/>
  <c r="L36" i="12"/>
  <c r="K136" i="16"/>
  <c r="K75" i="16" s="1"/>
  <c r="K132" i="16"/>
  <c r="K63" i="16" s="1"/>
  <c r="K137" i="16"/>
  <c r="K76" i="16" s="1"/>
  <c r="H100" i="15"/>
  <c r="H103" i="15" s="1"/>
  <c r="H105" i="15" s="1"/>
  <c r="H119" i="15" s="1"/>
  <c r="H60" i="15" s="1"/>
  <c r="H86" i="15"/>
  <c r="H34" i="15"/>
  <c r="K46" i="11"/>
  <c r="K135" i="13"/>
  <c r="K131" i="13"/>
  <c r="K61" i="16"/>
  <c r="K46" i="15"/>
  <c r="I33" i="6"/>
  <c r="I34" i="6" s="1"/>
  <c r="K18" i="11"/>
  <c r="K16" i="11"/>
  <c r="K46" i="8"/>
  <c r="J84" i="15"/>
  <c r="I139" i="11"/>
  <c r="I141" i="11" s="1"/>
  <c r="L188" i="13"/>
  <c r="K18" i="7"/>
  <c r="K16" i="7"/>
  <c r="I66" i="14"/>
  <c r="H67" i="14"/>
  <c r="L74" i="10"/>
  <c r="L77" i="10" s="1"/>
  <c r="L84" i="10" s="1"/>
  <c r="L108" i="10"/>
  <c r="I66" i="12"/>
  <c r="H67" i="12"/>
  <c r="K245" i="15"/>
  <c r="K247" i="15" s="1"/>
  <c r="J22" i="7"/>
  <c r="J31" i="7" s="1"/>
  <c r="J19" i="7"/>
  <c r="K19" i="8"/>
  <c r="K46" i="12"/>
  <c r="K138" i="12"/>
  <c r="K74" i="12"/>
  <c r="J77" i="16"/>
  <c r="K16" i="13"/>
  <c r="K18" i="13"/>
  <c r="K16" i="10"/>
  <c r="K18" i="10"/>
  <c r="J74" i="13"/>
  <c r="J77" i="13" s="1"/>
  <c r="J84" i="13" s="1"/>
  <c r="J138" i="13"/>
  <c r="J139" i="13" s="1"/>
  <c r="J141" i="13" s="1"/>
  <c r="J104" i="13" s="1"/>
  <c r="L65" i="15"/>
  <c r="K61" i="13"/>
  <c r="K131" i="16"/>
  <c r="K62" i="16" s="1"/>
  <c r="K135" i="16"/>
  <c r="L131" i="14"/>
  <c r="L62" i="14" s="1"/>
  <c r="L135" i="14"/>
  <c r="L19" i="15"/>
  <c r="I66" i="13"/>
  <c r="H67" i="13"/>
  <c r="L145" i="13"/>
  <c r="L130" i="13" s="1"/>
  <c r="L14" i="13"/>
  <c r="L146" i="13" s="1"/>
  <c r="L17" i="13"/>
  <c r="L147" i="13" s="1"/>
  <c r="L36" i="13"/>
  <c r="J46" i="17"/>
  <c r="I22" i="17"/>
  <c r="I31" i="17" s="1"/>
  <c r="I19" i="17"/>
  <c r="I32" i="12"/>
  <c r="I33" i="12" s="1"/>
  <c r="K218" i="14"/>
  <c r="K216" i="14"/>
  <c r="J19" i="6"/>
  <c r="J22" i="6"/>
  <c r="J31" i="6" s="1"/>
  <c r="K136" i="14"/>
  <c r="K75" i="14" s="1"/>
  <c r="K132" i="14"/>
  <c r="K63" i="14" s="1"/>
  <c r="K137" i="14"/>
  <c r="K76" i="14" s="1"/>
  <c r="I19" i="14"/>
  <c r="I22" i="14"/>
  <c r="I31" i="14" s="1"/>
  <c r="K61" i="17"/>
  <c r="K65" i="17"/>
  <c r="L145" i="16"/>
  <c r="L130" i="16" s="1"/>
  <c r="L17" i="16"/>
  <c r="L147" i="16" s="1"/>
  <c r="L36" i="16"/>
  <c r="K65" i="14"/>
  <c r="J138" i="14"/>
  <c r="J74" i="14"/>
  <c r="J77" i="14" s="1"/>
  <c r="J84" i="14" s="1"/>
  <c r="H33" i="17"/>
  <c r="K46" i="14"/>
  <c r="J138" i="17"/>
  <c r="J74" i="17"/>
  <c r="J77" i="17" s="1"/>
  <c r="J19" i="12"/>
  <c r="K15" i="17"/>
  <c r="D192" i="17"/>
  <c r="G192" i="17" s="1"/>
  <c r="L192" i="17" s="1"/>
  <c r="L109" i="17"/>
  <c r="L74" i="15"/>
  <c r="L77" i="15" s="1"/>
  <c r="L138" i="15"/>
  <c r="K18" i="6"/>
  <c r="K16" i="6"/>
  <c r="J16" i="17"/>
  <c r="J18" i="17"/>
  <c r="K19" i="15"/>
  <c r="K65" i="16"/>
  <c r="I66" i="16"/>
  <c r="H67" i="16"/>
  <c r="J133" i="14"/>
  <c r="L228" i="14"/>
  <c r="L230" i="14" s="1"/>
  <c r="L81" i="14" s="1"/>
  <c r="I86" i="8"/>
  <c r="H87" i="8"/>
  <c r="H89" i="8" s="1"/>
  <c r="I33" i="9"/>
  <c r="I34" i="9" s="1"/>
  <c r="L19" i="8"/>
  <c r="L14" i="16"/>
  <c r="L146" i="16" s="1"/>
  <c r="J16" i="14"/>
  <c r="J18" i="14"/>
  <c r="K188" i="11"/>
  <c r="K74" i="15"/>
  <c r="K77" i="15" s="1"/>
  <c r="K138" i="15"/>
  <c r="I22" i="13"/>
  <c r="I31" i="13" s="1"/>
  <c r="L61" i="17"/>
  <c r="L36" i="14"/>
  <c r="K138" i="14"/>
  <c r="K74" i="14"/>
  <c r="K77" i="14" s="1"/>
  <c r="I70" i="11"/>
  <c r="J32" i="7"/>
  <c r="K46" i="7"/>
  <c r="K132" i="12"/>
  <c r="K63" i="12" s="1"/>
  <c r="K137" i="12"/>
  <c r="K76" i="12" s="1"/>
  <c r="K136" i="12"/>
  <c r="K75" i="12" s="1"/>
  <c r="K74" i="11"/>
  <c r="I33" i="15"/>
  <c r="L18" i="11"/>
  <c r="L16" i="11"/>
  <c r="J19" i="11"/>
  <c r="K46" i="10"/>
  <c r="J138" i="11"/>
  <c r="J133" i="17"/>
  <c r="J139" i="17" s="1"/>
  <c r="J141" i="17" s="1"/>
  <c r="J104" i="17" s="1"/>
  <c r="L15" i="17"/>
  <c r="L103" i="10"/>
  <c r="L18" i="7"/>
  <c r="L16" i="7"/>
  <c r="I32" i="7"/>
  <c r="K109" i="12"/>
  <c r="D191" i="12"/>
  <c r="G191" i="12" s="1"/>
  <c r="K191" i="12" s="1"/>
  <c r="J133" i="11"/>
  <c r="J19" i="9"/>
  <c r="I33" i="16" l="1"/>
  <c r="I86" i="16" s="1"/>
  <c r="J139" i="11"/>
  <c r="J141" i="11" s="1"/>
  <c r="K139" i="14"/>
  <c r="L133" i="17"/>
  <c r="L139" i="17" s="1"/>
  <c r="K64" i="11"/>
  <c r="L15" i="16"/>
  <c r="L16" i="16" s="1"/>
  <c r="K80" i="14"/>
  <c r="L221" i="14"/>
  <c r="I32" i="13"/>
  <c r="I33" i="13" s="1"/>
  <c r="I34" i="12"/>
  <c r="I100" i="12"/>
  <c r="I103" i="12" s="1"/>
  <c r="I105" i="12" s="1"/>
  <c r="I119" i="12" s="1"/>
  <c r="H100" i="13"/>
  <c r="H103" i="13" s="1"/>
  <c r="H105" i="13" s="1"/>
  <c r="H119" i="13" s="1"/>
  <c r="H60" i="13" s="1"/>
  <c r="H34" i="13"/>
  <c r="H86" i="13"/>
  <c r="H100" i="12"/>
  <c r="H103" i="12" s="1"/>
  <c r="H105" i="12" s="1"/>
  <c r="H119" i="12" s="1"/>
  <c r="H60" i="12" s="1"/>
  <c r="H34" i="12"/>
  <c r="H86" i="12"/>
  <c r="I32" i="14"/>
  <c r="I33" i="14" s="1"/>
  <c r="I86" i="14" s="1"/>
  <c r="L74" i="17"/>
  <c r="L77" i="17" s="1"/>
  <c r="L138" i="17"/>
  <c r="K81" i="15"/>
  <c r="L250" i="15"/>
  <c r="K19" i="16"/>
  <c r="L18" i="16"/>
  <c r="H64" i="15"/>
  <c r="H70" i="15" s="1"/>
  <c r="L16" i="9"/>
  <c r="L18" i="9"/>
  <c r="K141" i="14"/>
  <c r="K104" i="14" s="1"/>
  <c r="L19" i="7"/>
  <c r="L22" i="7"/>
  <c r="L31" i="7" s="1"/>
  <c r="L61" i="16"/>
  <c r="L19" i="10"/>
  <c r="L137" i="13"/>
  <c r="L76" i="13" s="1"/>
  <c r="L132" i="13"/>
  <c r="L63" i="13" s="1"/>
  <c r="L136" i="13"/>
  <c r="L75" i="13" s="1"/>
  <c r="K74" i="16"/>
  <c r="K77" i="16" s="1"/>
  <c r="K138" i="16"/>
  <c r="K133" i="16"/>
  <c r="K139" i="16" s="1"/>
  <c r="K141" i="16" s="1"/>
  <c r="K104" i="16" s="1"/>
  <c r="L74" i="12"/>
  <c r="K19" i="6"/>
  <c r="K22" i="6"/>
  <c r="K31" i="6" s="1"/>
  <c r="L131" i="13"/>
  <c r="L62" i="13" s="1"/>
  <c r="L135" i="13"/>
  <c r="K62" i="13"/>
  <c r="K133" i="13"/>
  <c r="H34" i="11"/>
  <c r="H86" i="11"/>
  <c r="H64" i="14"/>
  <c r="H70" i="14" s="1"/>
  <c r="I87" i="10"/>
  <c r="I89" i="10" s="1"/>
  <c r="I67" i="16"/>
  <c r="L46" i="14"/>
  <c r="L61" i="13"/>
  <c r="K138" i="13"/>
  <c r="K74" i="13"/>
  <c r="K77" i="13" s="1"/>
  <c r="K84" i="13" s="1"/>
  <c r="L139" i="15"/>
  <c r="L141" i="15" s="1"/>
  <c r="L104" i="15" s="1"/>
  <c r="L15" i="13"/>
  <c r="I67" i="12"/>
  <c r="K19" i="14"/>
  <c r="L46" i="12"/>
  <c r="K74" i="17"/>
  <c r="K77" i="17" s="1"/>
  <c r="K138" i="17"/>
  <c r="L65" i="13"/>
  <c r="K133" i="12"/>
  <c r="K139" i="12" s="1"/>
  <c r="K141" i="12" s="1"/>
  <c r="K104" i="12" s="1"/>
  <c r="L215" i="14"/>
  <c r="K79" i="14"/>
  <c r="K82" i="14" s="1"/>
  <c r="K84" i="14" s="1"/>
  <c r="L46" i="7"/>
  <c r="L32" i="7" s="1"/>
  <c r="K32" i="7"/>
  <c r="I34" i="16"/>
  <c r="I100" i="16"/>
  <c r="I103" i="16" s="1"/>
  <c r="I105" i="16" s="1"/>
  <c r="I206" i="16" s="1"/>
  <c r="K62" i="17"/>
  <c r="K133" i="17"/>
  <c r="L109" i="10"/>
  <c r="L16" i="6"/>
  <c r="L18" i="6"/>
  <c r="H100" i="17"/>
  <c r="H103" i="17" s="1"/>
  <c r="H105" i="17" s="1"/>
  <c r="H206" i="17" s="1"/>
  <c r="H207" i="17" s="1"/>
  <c r="H214" i="17" s="1"/>
  <c r="H34" i="17"/>
  <c r="H86" i="17"/>
  <c r="L46" i="6"/>
  <c r="K32" i="6"/>
  <c r="L18" i="17"/>
  <c r="L16" i="17"/>
  <c r="I87" i="8"/>
  <c r="I89" i="8" s="1"/>
  <c r="L46" i="8"/>
  <c r="K109" i="10"/>
  <c r="K111" i="10" s="1"/>
  <c r="L46" i="13"/>
  <c r="I33" i="17"/>
  <c r="I67" i="13"/>
  <c r="L46" i="9"/>
  <c r="L19" i="11"/>
  <c r="K19" i="13"/>
  <c r="I67" i="14"/>
  <c r="D192" i="12"/>
  <c r="G192" i="12" s="1"/>
  <c r="L192" i="12" s="1"/>
  <c r="L109" i="12"/>
  <c r="K19" i="9"/>
  <c r="I34" i="15"/>
  <c r="I100" i="15"/>
  <c r="I103" i="15" s="1"/>
  <c r="I105" i="15" s="1"/>
  <c r="I119" i="15" s="1"/>
  <c r="I60" i="15" s="1"/>
  <c r="J19" i="14"/>
  <c r="L65" i="14"/>
  <c r="L65" i="17"/>
  <c r="K46" i="17"/>
  <c r="J33" i="7"/>
  <c r="J34" i="7" s="1"/>
  <c r="K19" i="11"/>
  <c r="L137" i="12"/>
  <c r="L76" i="12" s="1"/>
  <c r="L136" i="12"/>
  <c r="L75" i="12" s="1"/>
  <c r="L132" i="12"/>
  <c r="L63" i="12" s="1"/>
  <c r="K19" i="12"/>
  <c r="L158" i="9"/>
  <c r="L136" i="14"/>
  <c r="L75" i="14" s="1"/>
  <c r="L137" i="14"/>
  <c r="L76" i="14" s="1"/>
  <c r="L132" i="14"/>
  <c r="L63" i="14" s="1"/>
  <c r="L188" i="14"/>
  <c r="K138" i="11"/>
  <c r="L109" i="14"/>
  <c r="D192" i="14"/>
  <c r="G192" i="14" s="1"/>
  <c r="L192" i="14" s="1"/>
  <c r="J19" i="17"/>
  <c r="I32" i="17"/>
  <c r="L61" i="12"/>
  <c r="K133" i="11"/>
  <c r="L239" i="15"/>
  <c r="L241" i="15" s="1"/>
  <c r="L79" i="15" s="1"/>
  <c r="K18" i="17"/>
  <c r="K16" i="17"/>
  <c r="K19" i="10"/>
  <c r="L46" i="11"/>
  <c r="L139" i="11"/>
  <c r="L46" i="10"/>
  <c r="K77" i="11"/>
  <c r="K84" i="11" s="1"/>
  <c r="L131" i="16"/>
  <c r="L62" i="16" s="1"/>
  <c r="L135" i="16"/>
  <c r="J139" i="14"/>
  <c r="J141" i="14" s="1"/>
  <c r="J104" i="14" s="1"/>
  <c r="D192" i="16"/>
  <c r="G192" i="16" s="1"/>
  <c r="L192" i="16" s="1"/>
  <c r="L109" i="16"/>
  <c r="L244" i="15"/>
  <c r="K80" i="15"/>
  <c r="K82" i="15" s="1"/>
  <c r="K84" i="15" s="1"/>
  <c r="L46" i="15"/>
  <c r="L16" i="12"/>
  <c r="L18" i="12"/>
  <c r="L46" i="16"/>
  <c r="H87" i="14"/>
  <c r="L18" i="14"/>
  <c r="L16" i="14"/>
  <c r="L65" i="16"/>
  <c r="L65" i="12"/>
  <c r="L136" i="16"/>
  <c r="L75" i="16" s="1"/>
  <c r="L132" i="16"/>
  <c r="L63" i="16" s="1"/>
  <c r="L137" i="16"/>
  <c r="L76" i="16" s="1"/>
  <c r="J33" i="6"/>
  <c r="J34" i="6" s="1"/>
  <c r="D192" i="13"/>
  <c r="G192" i="13" s="1"/>
  <c r="L192" i="13" s="1"/>
  <c r="L109" i="13"/>
  <c r="L138" i="14"/>
  <c r="L74" i="14"/>
  <c r="K77" i="12"/>
  <c r="K84" i="12" s="1"/>
  <c r="K22" i="7"/>
  <c r="K31" i="7" s="1"/>
  <c r="K19" i="7"/>
  <c r="I86" i="15"/>
  <c r="H87" i="15"/>
  <c r="H89" i="15" s="1"/>
  <c r="L65" i="11"/>
  <c r="H34" i="9"/>
  <c r="H86" i="9"/>
  <c r="J19" i="13"/>
  <c r="L61" i="14"/>
  <c r="L65" i="9"/>
  <c r="L188" i="11"/>
  <c r="L141" i="17" l="1"/>
  <c r="L104" i="17" s="1"/>
  <c r="L133" i="13"/>
  <c r="L111" i="10"/>
  <c r="K139" i="17"/>
  <c r="K141" i="17" s="1"/>
  <c r="K104" i="17" s="1"/>
  <c r="I64" i="15"/>
  <c r="I70" i="15" s="1"/>
  <c r="I34" i="13"/>
  <c r="I100" i="13"/>
  <c r="I103" i="13" s="1"/>
  <c r="I105" i="13" s="1"/>
  <c r="I119" i="13" s="1"/>
  <c r="I34" i="17"/>
  <c r="I100" i="17"/>
  <c r="I103" i="17" s="1"/>
  <c r="I105" i="17" s="1"/>
  <c r="I206" i="17" s="1"/>
  <c r="I86" i="17"/>
  <c r="L19" i="12"/>
  <c r="L46" i="17"/>
  <c r="I60" i="12"/>
  <c r="H64" i="12"/>
  <c r="H70" i="12" s="1"/>
  <c r="I86" i="13"/>
  <c r="H87" i="13"/>
  <c r="L19" i="17"/>
  <c r="L19" i="6"/>
  <c r="L22" i="6"/>
  <c r="L31" i="6" s="1"/>
  <c r="K139" i="13"/>
  <c r="K141" i="13" s="1"/>
  <c r="K104" i="13" s="1"/>
  <c r="I60" i="13"/>
  <c r="H64" i="13"/>
  <c r="H70" i="13" s="1"/>
  <c r="L251" i="15"/>
  <c r="L253" i="15" s="1"/>
  <c r="L81" i="15" s="1"/>
  <c r="I87" i="15"/>
  <c r="K33" i="6"/>
  <c r="K34" i="6" s="1"/>
  <c r="K33" i="7"/>
  <c r="K34" i="7" s="1"/>
  <c r="H89" i="14"/>
  <c r="L18" i="13"/>
  <c r="L16" i="13"/>
  <c r="L33" i="7"/>
  <c r="L34" i="7" s="1"/>
  <c r="L245" i="15"/>
  <c r="L247" i="15" s="1"/>
  <c r="L80" i="15" s="1"/>
  <c r="K19" i="17"/>
  <c r="L32" i="6"/>
  <c r="L19" i="14"/>
  <c r="I87" i="14"/>
  <c r="K139" i="11"/>
  <c r="K141" i="11" s="1"/>
  <c r="L77" i="12"/>
  <c r="L84" i="12" s="1"/>
  <c r="I34" i="14"/>
  <c r="I100" i="14"/>
  <c r="I103" i="14" s="1"/>
  <c r="I105" i="14" s="1"/>
  <c r="I119" i="14" s="1"/>
  <c r="I60" i="14" s="1"/>
  <c r="L222" i="14"/>
  <c r="L224" i="14" s="1"/>
  <c r="L80" i="14" s="1"/>
  <c r="L19" i="16"/>
  <c r="I86" i="11"/>
  <c r="H87" i="11"/>
  <c r="H89" i="11" s="1"/>
  <c r="L133" i="16"/>
  <c r="L139" i="16" s="1"/>
  <c r="L141" i="16" s="1"/>
  <c r="L104" i="16" s="1"/>
  <c r="I86" i="9"/>
  <c r="H87" i="9"/>
  <c r="H89" i="9" s="1"/>
  <c r="L19" i="9"/>
  <c r="L216" i="14"/>
  <c r="L218" i="14" s="1"/>
  <c r="L79" i="14" s="1"/>
  <c r="L74" i="13"/>
  <c r="L77" i="13" s="1"/>
  <c r="L84" i="13" s="1"/>
  <c r="L138" i="13"/>
  <c r="L139" i="13" s="1"/>
  <c r="L133" i="14"/>
  <c r="L139" i="14" s="1"/>
  <c r="L141" i="14" s="1"/>
  <c r="L104" i="14" s="1"/>
  <c r="L77" i="14"/>
  <c r="L138" i="16"/>
  <c r="L74" i="16"/>
  <c r="L77" i="16" s="1"/>
  <c r="L133" i="12"/>
  <c r="L138" i="12"/>
  <c r="I86" i="12"/>
  <c r="H87" i="12"/>
  <c r="H89" i="12" s="1"/>
  <c r="L82" i="15" l="1"/>
  <c r="L84" i="15" s="1"/>
  <c r="L139" i="12"/>
  <c r="L141" i="12" s="1"/>
  <c r="L104" i="12" s="1"/>
  <c r="L141" i="13"/>
  <c r="L104" i="13" s="1"/>
  <c r="L82" i="14"/>
  <c r="I64" i="14"/>
  <c r="I70" i="14" s="1"/>
  <c r="I64" i="13"/>
  <c r="I70" i="13" s="1"/>
  <c r="I89" i="15"/>
  <c r="I87" i="11"/>
  <c r="I89" i="11" s="1"/>
  <c r="I89" i="14"/>
  <c r="L84" i="14"/>
  <c r="L141" i="11"/>
  <c r="I87" i="12"/>
  <c r="L33" i="6"/>
  <c r="L34" i="6" s="1"/>
  <c r="I64" i="12"/>
  <c r="I70" i="12" s="1"/>
  <c r="L19" i="13"/>
  <c r="I87" i="9"/>
  <c r="I89" i="9" s="1"/>
  <c r="H89" i="13"/>
  <c r="I87" i="13"/>
  <c r="I89" i="13" l="1"/>
  <c r="I89" i="12"/>
  <c r="J20" i="8" l="1"/>
  <c r="K20" i="8"/>
  <c r="L20" i="8"/>
  <c r="J22" i="8"/>
  <c r="K22" i="8"/>
  <c r="L22" i="8"/>
  <c r="J31" i="8"/>
  <c r="K31" i="8"/>
  <c r="L31" i="8"/>
  <c r="J32" i="8"/>
  <c r="K32" i="8"/>
  <c r="L32" i="8"/>
  <c r="J33" i="8"/>
  <c r="K33" i="8"/>
  <c r="L33" i="8"/>
  <c r="J34" i="8"/>
  <c r="K34" i="8"/>
  <c r="L34" i="8"/>
  <c r="J66" i="8"/>
  <c r="K66" i="8"/>
  <c r="L66" i="8"/>
  <c r="J67" i="8"/>
  <c r="K67" i="8"/>
  <c r="L67" i="8"/>
  <c r="J70" i="8"/>
  <c r="K70" i="8"/>
  <c r="L70" i="8"/>
  <c r="J86" i="8"/>
  <c r="K86" i="8"/>
  <c r="L86" i="8"/>
  <c r="J87" i="8"/>
  <c r="K87" i="8"/>
  <c r="L87" i="8"/>
  <c r="J89" i="8"/>
  <c r="K89" i="8"/>
  <c r="L89" i="8"/>
  <c r="J121" i="8"/>
  <c r="K121" i="8"/>
  <c r="L121" i="8"/>
  <c r="K122" i="8"/>
  <c r="L122" i="8"/>
  <c r="L123" i="8"/>
  <c r="J126" i="8"/>
  <c r="K126" i="8"/>
  <c r="L126" i="8"/>
  <c r="J20" i="9"/>
  <c r="K20" i="9"/>
  <c r="L20" i="9"/>
  <c r="J22" i="9"/>
  <c r="K22" i="9"/>
  <c r="L22" i="9"/>
  <c r="J31" i="9"/>
  <c r="K31" i="9"/>
  <c r="L31" i="9"/>
  <c r="J32" i="9"/>
  <c r="K32" i="9"/>
  <c r="L32" i="9"/>
  <c r="J33" i="9"/>
  <c r="K33" i="9"/>
  <c r="L33" i="9"/>
  <c r="J34" i="9"/>
  <c r="K34" i="9"/>
  <c r="L34" i="9"/>
  <c r="J66" i="9"/>
  <c r="K66" i="9"/>
  <c r="L66" i="9"/>
  <c r="J67" i="9"/>
  <c r="K67" i="9"/>
  <c r="L67" i="9"/>
  <c r="J70" i="9"/>
  <c r="K70" i="9"/>
  <c r="L70" i="9"/>
  <c r="J86" i="9"/>
  <c r="K86" i="9"/>
  <c r="L86" i="9"/>
  <c r="J87" i="9"/>
  <c r="K87" i="9"/>
  <c r="L87" i="9"/>
  <c r="J89" i="9"/>
  <c r="K89" i="9"/>
  <c r="L89" i="9"/>
  <c r="J159" i="9"/>
  <c r="K159" i="9"/>
  <c r="L159" i="9"/>
  <c r="K160" i="9"/>
  <c r="L160" i="9"/>
  <c r="L161" i="9"/>
  <c r="J164" i="9"/>
  <c r="K164" i="9"/>
  <c r="L164" i="9"/>
  <c r="J20" i="10"/>
  <c r="K20" i="10"/>
  <c r="L20" i="10"/>
  <c r="J22" i="10"/>
  <c r="K22" i="10"/>
  <c r="L22" i="10"/>
  <c r="J31" i="10"/>
  <c r="K31" i="10"/>
  <c r="L31" i="10"/>
  <c r="J32" i="10"/>
  <c r="K32" i="10"/>
  <c r="L32" i="10"/>
  <c r="J33" i="10"/>
  <c r="K33" i="10"/>
  <c r="L33" i="10"/>
  <c r="J34" i="10"/>
  <c r="K34" i="10"/>
  <c r="L34" i="10"/>
  <c r="J66" i="10"/>
  <c r="K66" i="10"/>
  <c r="L66" i="10"/>
  <c r="J67" i="10"/>
  <c r="K67" i="10"/>
  <c r="L67" i="10"/>
  <c r="J70" i="10"/>
  <c r="K70" i="10"/>
  <c r="L70" i="10"/>
  <c r="J86" i="10"/>
  <c r="K86" i="10"/>
  <c r="L86" i="10"/>
  <c r="J87" i="10"/>
  <c r="K87" i="10"/>
  <c r="L87" i="10"/>
  <c r="J89" i="10"/>
  <c r="K89" i="10"/>
  <c r="L89" i="10"/>
  <c r="J159" i="10"/>
  <c r="K159" i="10"/>
  <c r="L159" i="10"/>
  <c r="K160" i="10"/>
  <c r="L160" i="10"/>
  <c r="L161" i="10"/>
  <c r="J164" i="10"/>
  <c r="K164" i="10"/>
  <c r="L164" i="10"/>
  <c r="J20" i="11"/>
  <c r="K20" i="11"/>
  <c r="L20" i="11"/>
  <c r="J22" i="11"/>
  <c r="K22" i="11"/>
  <c r="L22" i="11"/>
  <c r="J31" i="11"/>
  <c r="K31" i="11"/>
  <c r="L31" i="11"/>
  <c r="J32" i="11"/>
  <c r="K32" i="11"/>
  <c r="L32" i="11"/>
  <c r="J33" i="11"/>
  <c r="K33" i="11"/>
  <c r="L33" i="11"/>
  <c r="J34" i="11"/>
  <c r="K34" i="11"/>
  <c r="L34" i="11"/>
  <c r="J66" i="11"/>
  <c r="K66" i="11"/>
  <c r="L66" i="11"/>
  <c r="J67" i="11"/>
  <c r="K67" i="11"/>
  <c r="L67" i="11"/>
  <c r="J70" i="11"/>
  <c r="K70" i="11"/>
  <c r="L70" i="11"/>
  <c r="J86" i="11"/>
  <c r="K86" i="11"/>
  <c r="L86" i="11"/>
  <c r="J87" i="11"/>
  <c r="K87" i="11"/>
  <c r="L87" i="11"/>
  <c r="J89" i="11"/>
  <c r="K89" i="11"/>
  <c r="L89" i="11"/>
  <c r="J189" i="11"/>
  <c r="K189" i="11"/>
  <c r="L189" i="11"/>
  <c r="K190" i="11"/>
  <c r="L190" i="11"/>
  <c r="L191" i="11"/>
  <c r="J194" i="11"/>
  <c r="K194" i="11"/>
  <c r="L194" i="11"/>
  <c r="J20" i="12"/>
  <c r="K20" i="12"/>
  <c r="L20" i="12"/>
  <c r="J22" i="12"/>
  <c r="K22" i="12"/>
  <c r="L22" i="12"/>
  <c r="J31" i="12"/>
  <c r="K31" i="12"/>
  <c r="L31" i="12"/>
  <c r="J32" i="12"/>
  <c r="K32" i="12"/>
  <c r="L32" i="12"/>
  <c r="J33" i="12"/>
  <c r="K33" i="12"/>
  <c r="L33" i="12"/>
  <c r="J34" i="12"/>
  <c r="K34" i="12"/>
  <c r="L34" i="12"/>
  <c r="J60" i="12"/>
  <c r="K60" i="12"/>
  <c r="L60" i="12"/>
  <c r="J64" i="12"/>
  <c r="K64" i="12"/>
  <c r="L64" i="12"/>
  <c r="J66" i="12"/>
  <c r="K66" i="12"/>
  <c r="L66" i="12"/>
  <c r="J67" i="12"/>
  <c r="K67" i="12"/>
  <c r="L67" i="12"/>
  <c r="J70" i="12"/>
  <c r="K70" i="12"/>
  <c r="L70" i="12"/>
  <c r="J86" i="12"/>
  <c r="K86" i="12"/>
  <c r="L86" i="12"/>
  <c r="J87" i="12"/>
  <c r="K87" i="12"/>
  <c r="L87" i="12"/>
  <c r="J89" i="12"/>
  <c r="K89" i="12"/>
  <c r="L89" i="12"/>
  <c r="J100" i="12"/>
  <c r="K100" i="12"/>
  <c r="L100" i="12"/>
  <c r="J101" i="12"/>
  <c r="K101" i="12"/>
  <c r="L101" i="12"/>
  <c r="J103" i="12"/>
  <c r="K103" i="12"/>
  <c r="L103" i="12"/>
  <c r="J105" i="12"/>
  <c r="K105" i="12"/>
  <c r="L105" i="12"/>
  <c r="J119" i="12"/>
  <c r="K119" i="12"/>
  <c r="L119" i="12"/>
  <c r="J189" i="12"/>
  <c r="K189" i="12"/>
  <c r="L189" i="12"/>
  <c r="K190" i="12"/>
  <c r="L190" i="12"/>
  <c r="L191" i="12"/>
  <c r="J194" i="12"/>
  <c r="K194" i="12"/>
  <c r="L194" i="12"/>
  <c r="J20" i="13"/>
  <c r="K20" i="13"/>
  <c r="L20" i="13"/>
  <c r="J22" i="13"/>
  <c r="K22" i="13"/>
  <c r="L22" i="13"/>
  <c r="J31" i="13"/>
  <c r="K31" i="13"/>
  <c r="L31" i="13"/>
  <c r="J32" i="13"/>
  <c r="K32" i="13"/>
  <c r="L32" i="13"/>
  <c r="J33" i="13"/>
  <c r="K33" i="13"/>
  <c r="L33" i="13"/>
  <c r="J34" i="13"/>
  <c r="K34" i="13"/>
  <c r="L34" i="13"/>
  <c r="J60" i="13"/>
  <c r="K60" i="13"/>
  <c r="L60" i="13"/>
  <c r="J64" i="13"/>
  <c r="K64" i="13"/>
  <c r="L64" i="13"/>
  <c r="J66" i="13"/>
  <c r="K66" i="13"/>
  <c r="L66" i="13"/>
  <c r="J67" i="13"/>
  <c r="K67" i="13"/>
  <c r="L67" i="13"/>
  <c r="J70" i="13"/>
  <c r="K70" i="13"/>
  <c r="L70" i="13"/>
  <c r="J86" i="13"/>
  <c r="K86" i="13"/>
  <c r="L86" i="13"/>
  <c r="J87" i="13"/>
  <c r="K87" i="13"/>
  <c r="L87" i="13"/>
  <c r="J89" i="13"/>
  <c r="K89" i="13"/>
  <c r="L89" i="13"/>
  <c r="J100" i="13"/>
  <c r="K100" i="13"/>
  <c r="L100" i="13"/>
  <c r="J101" i="13"/>
  <c r="K101" i="13"/>
  <c r="L101" i="13"/>
  <c r="J103" i="13"/>
  <c r="K103" i="13"/>
  <c r="L103" i="13"/>
  <c r="J105" i="13"/>
  <c r="K105" i="13"/>
  <c r="L105" i="13"/>
  <c r="J119" i="13"/>
  <c r="K119" i="13"/>
  <c r="L119" i="13"/>
  <c r="J189" i="13"/>
  <c r="K189" i="13"/>
  <c r="L189" i="13"/>
  <c r="K190" i="13"/>
  <c r="L190" i="13"/>
  <c r="L191" i="13"/>
  <c r="J194" i="13"/>
  <c r="K194" i="13"/>
  <c r="L194" i="13"/>
  <c r="J20" i="14"/>
  <c r="K20" i="14"/>
  <c r="L20" i="14"/>
  <c r="J22" i="14"/>
  <c r="K22" i="14"/>
  <c r="L22" i="14"/>
  <c r="J31" i="14"/>
  <c r="K31" i="14"/>
  <c r="L31" i="14"/>
  <c r="J32" i="14"/>
  <c r="K32" i="14"/>
  <c r="L32" i="14"/>
  <c r="J33" i="14"/>
  <c r="K33" i="14"/>
  <c r="L33" i="14"/>
  <c r="J34" i="14"/>
  <c r="K34" i="14"/>
  <c r="L34" i="14"/>
  <c r="J60" i="14"/>
  <c r="K60" i="14"/>
  <c r="L60" i="14"/>
  <c r="J64" i="14"/>
  <c r="K64" i="14"/>
  <c r="L64" i="14"/>
  <c r="J66" i="14"/>
  <c r="K66" i="14"/>
  <c r="L66" i="14"/>
  <c r="J67" i="14"/>
  <c r="K67" i="14"/>
  <c r="L67" i="14"/>
  <c r="J70" i="14"/>
  <c r="K70" i="14"/>
  <c r="L70" i="14"/>
  <c r="J86" i="14"/>
  <c r="K86" i="14"/>
  <c r="L86" i="14"/>
  <c r="J87" i="14"/>
  <c r="K87" i="14"/>
  <c r="L87" i="14"/>
  <c r="J89" i="14"/>
  <c r="K89" i="14"/>
  <c r="L89" i="14"/>
  <c r="J100" i="14"/>
  <c r="K100" i="14"/>
  <c r="L100" i="14"/>
  <c r="J101" i="14"/>
  <c r="K101" i="14"/>
  <c r="L101" i="14"/>
  <c r="J103" i="14"/>
  <c r="K103" i="14"/>
  <c r="L103" i="14"/>
  <c r="J105" i="14"/>
  <c r="K105" i="14"/>
  <c r="L105" i="14"/>
  <c r="J119" i="14"/>
  <c r="K119" i="14"/>
  <c r="L119" i="14"/>
  <c r="J189" i="14"/>
  <c r="K189" i="14"/>
  <c r="L189" i="14"/>
  <c r="K190" i="14"/>
  <c r="L190" i="14"/>
  <c r="L191" i="14"/>
  <c r="J194" i="14"/>
  <c r="K194" i="14"/>
  <c r="L194" i="14"/>
  <c r="J20" i="15"/>
  <c r="K20" i="15"/>
  <c r="L20" i="15"/>
  <c r="J22" i="15"/>
  <c r="K22" i="15"/>
  <c r="L22" i="15"/>
  <c r="J31" i="15"/>
  <c r="K31" i="15"/>
  <c r="L31" i="15"/>
  <c r="J32" i="15"/>
  <c r="K32" i="15"/>
  <c r="L32" i="15"/>
  <c r="J33" i="15"/>
  <c r="K33" i="15"/>
  <c r="L33" i="15"/>
  <c r="J34" i="15"/>
  <c r="K34" i="15"/>
  <c r="L34" i="15"/>
  <c r="J60" i="15"/>
  <c r="K60" i="15"/>
  <c r="L60" i="15"/>
  <c r="J64" i="15"/>
  <c r="K64" i="15"/>
  <c r="L64" i="15"/>
  <c r="J66" i="15"/>
  <c r="K66" i="15"/>
  <c r="L66" i="15"/>
  <c r="J67" i="15"/>
  <c r="K67" i="15"/>
  <c r="L67" i="15"/>
  <c r="J70" i="15"/>
  <c r="K70" i="15"/>
  <c r="L70" i="15"/>
  <c r="J86" i="15"/>
  <c r="K86" i="15"/>
  <c r="L86" i="15"/>
  <c r="J87" i="15"/>
  <c r="K87" i="15"/>
  <c r="L87" i="15"/>
  <c r="J89" i="15"/>
  <c r="K89" i="15"/>
  <c r="L89" i="15"/>
  <c r="J100" i="15"/>
  <c r="K100" i="15"/>
  <c r="L100" i="15"/>
  <c r="J101" i="15"/>
  <c r="K101" i="15"/>
  <c r="L101" i="15"/>
  <c r="J103" i="15"/>
  <c r="K103" i="15"/>
  <c r="L103" i="15"/>
  <c r="J105" i="15"/>
  <c r="K105" i="15"/>
  <c r="L105" i="15"/>
  <c r="J119" i="15"/>
  <c r="K119" i="15"/>
  <c r="L119" i="15"/>
  <c r="J189" i="15"/>
  <c r="K189" i="15"/>
  <c r="L189" i="15"/>
  <c r="K190" i="15"/>
  <c r="L190" i="15"/>
  <c r="L191" i="15"/>
  <c r="J194" i="15"/>
  <c r="K194" i="15"/>
  <c r="L194" i="15"/>
  <c r="J20" i="16"/>
  <c r="K20" i="16"/>
  <c r="L20" i="16"/>
  <c r="J22" i="16"/>
  <c r="K22" i="16"/>
  <c r="L22" i="16"/>
  <c r="J31" i="16"/>
  <c r="K31" i="16"/>
  <c r="L31" i="16"/>
  <c r="J32" i="16"/>
  <c r="K32" i="16"/>
  <c r="L32" i="16"/>
  <c r="J33" i="16"/>
  <c r="K33" i="16"/>
  <c r="L33" i="16"/>
  <c r="J34" i="16"/>
  <c r="K34" i="16"/>
  <c r="L34" i="16"/>
  <c r="H60" i="16"/>
  <c r="I60" i="16"/>
  <c r="J60" i="16"/>
  <c r="K60" i="16"/>
  <c r="L60" i="16"/>
  <c r="H64" i="16"/>
  <c r="I64" i="16"/>
  <c r="J64" i="16"/>
  <c r="K64" i="16"/>
  <c r="L64" i="16"/>
  <c r="J66" i="16"/>
  <c r="K66" i="16"/>
  <c r="L66" i="16"/>
  <c r="J67" i="16"/>
  <c r="K67" i="16"/>
  <c r="L67" i="16"/>
  <c r="H70" i="16"/>
  <c r="I70" i="16"/>
  <c r="J70" i="16"/>
  <c r="K70" i="16"/>
  <c r="L70" i="16"/>
  <c r="H78" i="16"/>
  <c r="I78" i="16"/>
  <c r="J78" i="16"/>
  <c r="K78" i="16"/>
  <c r="L78" i="16"/>
  <c r="H79" i="16"/>
  <c r="I79" i="16"/>
  <c r="J79" i="16"/>
  <c r="K79" i="16"/>
  <c r="L79" i="16"/>
  <c r="H80" i="16"/>
  <c r="I80" i="16"/>
  <c r="J80" i="16"/>
  <c r="K80" i="16"/>
  <c r="L80" i="16"/>
  <c r="H81" i="16"/>
  <c r="I81" i="16"/>
  <c r="J81" i="16"/>
  <c r="K81" i="16"/>
  <c r="L81" i="16"/>
  <c r="H82" i="16"/>
  <c r="I82" i="16"/>
  <c r="J82" i="16"/>
  <c r="K82" i="16"/>
  <c r="L82" i="16"/>
  <c r="H84" i="16"/>
  <c r="I84" i="16"/>
  <c r="J84" i="16"/>
  <c r="K84" i="16"/>
  <c r="L84" i="16"/>
  <c r="J86" i="16"/>
  <c r="K86" i="16"/>
  <c r="L86" i="16"/>
  <c r="H87" i="16"/>
  <c r="I87" i="16"/>
  <c r="J87" i="16"/>
  <c r="K87" i="16"/>
  <c r="L87" i="16"/>
  <c r="H89" i="16"/>
  <c r="I89" i="16"/>
  <c r="J89" i="16"/>
  <c r="K89" i="16"/>
  <c r="L89" i="16"/>
  <c r="J100" i="16"/>
  <c r="K100" i="16"/>
  <c r="L100" i="16"/>
  <c r="J101" i="16"/>
  <c r="K101" i="16"/>
  <c r="L101" i="16"/>
  <c r="J103" i="16"/>
  <c r="K103" i="16"/>
  <c r="L103" i="16"/>
  <c r="J105" i="16"/>
  <c r="K105" i="16"/>
  <c r="L105" i="16"/>
  <c r="H113" i="16"/>
  <c r="I113" i="16"/>
  <c r="J113" i="16"/>
  <c r="K113" i="16"/>
  <c r="L113" i="16"/>
  <c r="H114" i="16"/>
  <c r="I114" i="16"/>
  <c r="J114" i="16"/>
  <c r="K114" i="16"/>
  <c r="L114" i="16"/>
  <c r="H115" i="16"/>
  <c r="I115" i="16"/>
  <c r="J115" i="16"/>
  <c r="K115" i="16"/>
  <c r="L115" i="16"/>
  <c r="H116" i="16"/>
  <c r="I116" i="16"/>
  <c r="J116" i="16"/>
  <c r="K116" i="16"/>
  <c r="L116" i="16"/>
  <c r="H117" i="16"/>
  <c r="I117" i="16"/>
  <c r="J117" i="16"/>
  <c r="K117" i="16"/>
  <c r="L117" i="16"/>
  <c r="H119" i="16"/>
  <c r="I119" i="16"/>
  <c r="J119" i="16"/>
  <c r="K119" i="16"/>
  <c r="L119" i="16"/>
  <c r="J189" i="16"/>
  <c r="K189" i="16"/>
  <c r="L189" i="16"/>
  <c r="K190" i="16"/>
  <c r="L190" i="16"/>
  <c r="L191" i="16"/>
  <c r="J194" i="16"/>
  <c r="K194" i="16"/>
  <c r="L194" i="16"/>
  <c r="I203" i="16"/>
  <c r="J203" i="16"/>
  <c r="K203" i="16"/>
  <c r="L203" i="16"/>
  <c r="I205" i="16"/>
  <c r="J205" i="16"/>
  <c r="K205" i="16"/>
  <c r="L205" i="16"/>
  <c r="J206" i="16"/>
  <c r="K206" i="16"/>
  <c r="L206" i="16"/>
  <c r="I207" i="16"/>
  <c r="J207" i="16"/>
  <c r="K207" i="16"/>
  <c r="L207" i="16"/>
  <c r="I210" i="16"/>
  <c r="J210" i="16"/>
  <c r="K210" i="16"/>
  <c r="L210" i="16"/>
  <c r="I211" i="16"/>
  <c r="J211" i="16"/>
  <c r="K211" i="16"/>
  <c r="L211" i="16"/>
  <c r="I212" i="16"/>
  <c r="J212" i="16"/>
  <c r="K212" i="16"/>
  <c r="L212" i="16"/>
  <c r="I213" i="16"/>
  <c r="J213" i="16"/>
  <c r="K213" i="16"/>
  <c r="L213" i="16"/>
  <c r="I214" i="16"/>
  <c r="J214" i="16"/>
  <c r="K214" i="16"/>
  <c r="L214" i="16"/>
  <c r="H216" i="16"/>
  <c r="I216" i="16"/>
  <c r="J216" i="16"/>
  <c r="K216" i="16"/>
  <c r="L216" i="16"/>
  <c r="H219" i="16"/>
  <c r="I219" i="16"/>
  <c r="J219" i="16"/>
  <c r="K219" i="16"/>
  <c r="L219" i="16"/>
  <c r="H220" i="16"/>
  <c r="I220" i="16"/>
  <c r="J220" i="16"/>
  <c r="K220" i="16"/>
  <c r="L220" i="16"/>
  <c r="H221" i="16"/>
  <c r="I221" i="16"/>
  <c r="J221" i="16"/>
  <c r="K221" i="16"/>
  <c r="L221" i="16"/>
  <c r="H222" i="16"/>
  <c r="I222" i="16"/>
  <c r="J222" i="16"/>
  <c r="K222" i="16"/>
  <c r="L222" i="16"/>
  <c r="H223" i="16"/>
  <c r="I223" i="16"/>
  <c r="J223" i="16"/>
  <c r="K223" i="16"/>
  <c r="L223" i="16"/>
  <c r="I229" i="16"/>
  <c r="J229" i="16"/>
  <c r="K229" i="16"/>
  <c r="L229" i="16"/>
  <c r="H230" i="16"/>
  <c r="I230" i="16"/>
  <c r="J230" i="16"/>
  <c r="K230" i="16"/>
  <c r="L230" i="16"/>
  <c r="H231" i="16"/>
  <c r="I231" i="16"/>
  <c r="J231" i="16"/>
  <c r="K231" i="16"/>
  <c r="L231" i="16"/>
  <c r="H232" i="16"/>
  <c r="I232" i="16"/>
  <c r="J232" i="16"/>
  <c r="K232" i="16"/>
  <c r="L232" i="16"/>
  <c r="H235" i="16"/>
  <c r="I235" i="16"/>
  <c r="J235" i="16"/>
  <c r="K235" i="16"/>
  <c r="L235" i="16"/>
  <c r="I238" i="16"/>
  <c r="J238" i="16"/>
  <c r="K238" i="16"/>
  <c r="L238" i="16"/>
  <c r="I239" i="16"/>
  <c r="J239" i="16"/>
  <c r="K239" i="16"/>
  <c r="L239" i="16"/>
  <c r="H240" i="16"/>
  <c r="I240" i="16"/>
  <c r="J240" i="16"/>
  <c r="K240" i="16"/>
  <c r="L240" i="16"/>
  <c r="H241" i="16"/>
  <c r="I241" i="16"/>
  <c r="J241" i="16"/>
  <c r="K241" i="16"/>
  <c r="L241" i="16"/>
  <c r="I244" i="16"/>
  <c r="J244" i="16"/>
  <c r="K244" i="16"/>
  <c r="L244" i="16"/>
  <c r="I245" i="16"/>
  <c r="J245" i="16"/>
  <c r="K245" i="16"/>
  <c r="L245" i="16"/>
  <c r="H246" i="16"/>
  <c r="I246" i="16"/>
  <c r="J246" i="16"/>
  <c r="K246" i="16"/>
  <c r="L246" i="16"/>
  <c r="H247" i="16"/>
  <c r="I247" i="16"/>
  <c r="J247" i="16"/>
  <c r="K247" i="16"/>
  <c r="L247" i="16"/>
  <c r="I250" i="16"/>
  <c r="J250" i="16"/>
  <c r="K250" i="16"/>
  <c r="L250" i="16"/>
  <c r="I251" i="16"/>
  <c r="J251" i="16"/>
  <c r="K251" i="16"/>
  <c r="L251" i="16"/>
  <c r="H252" i="16"/>
  <c r="I252" i="16"/>
  <c r="J252" i="16"/>
  <c r="K252" i="16"/>
  <c r="L252" i="16"/>
  <c r="H253" i="16"/>
  <c r="I253" i="16"/>
  <c r="J253" i="16"/>
  <c r="K253" i="16"/>
  <c r="L253" i="16"/>
  <c r="J20" i="17"/>
  <c r="K20" i="17"/>
  <c r="L20" i="17"/>
  <c r="J22" i="17"/>
  <c r="K22" i="17"/>
  <c r="L22" i="17"/>
  <c r="J31" i="17"/>
  <c r="K31" i="17"/>
  <c r="L31" i="17"/>
  <c r="J32" i="17"/>
  <c r="K32" i="17"/>
  <c r="L32" i="17"/>
  <c r="J33" i="17"/>
  <c r="K33" i="17"/>
  <c r="L33" i="17"/>
  <c r="J34" i="17"/>
  <c r="K34" i="17"/>
  <c r="L34" i="17"/>
  <c r="H60" i="17"/>
  <c r="I60" i="17"/>
  <c r="J60" i="17"/>
  <c r="K60" i="17"/>
  <c r="L60" i="17"/>
  <c r="H64" i="17"/>
  <c r="I64" i="17"/>
  <c r="J64" i="17"/>
  <c r="K64" i="17"/>
  <c r="L64" i="17"/>
  <c r="J66" i="17"/>
  <c r="K66" i="17"/>
  <c r="L66" i="17"/>
  <c r="J67" i="17"/>
  <c r="K67" i="17"/>
  <c r="L67" i="17"/>
  <c r="H70" i="17"/>
  <c r="I70" i="17"/>
  <c r="J70" i="17"/>
  <c r="K70" i="17"/>
  <c r="L70" i="17"/>
  <c r="H78" i="17"/>
  <c r="I78" i="17"/>
  <c r="J78" i="17"/>
  <c r="K78" i="17"/>
  <c r="L78" i="17"/>
  <c r="H79" i="17"/>
  <c r="I79" i="17"/>
  <c r="J79" i="17"/>
  <c r="K79" i="17"/>
  <c r="L79" i="17"/>
  <c r="H80" i="17"/>
  <c r="I80" i="17"/>
  <c r="J80" i="17"/>
  <c r="K80" i="17"/>
  <c r="L80" i="17"/>
  <c r="H81" i="17"/>
  <c r="I81" i="17"/>
  <c r="J81" i="17"/>
  <c r="K81" i="17"/>
  <c r="L81" i="17"/>
  <c r="H82" i="17"/>
  <c r="I82" i="17"/>
  <c r="J82" i="17"/>
  <c r="K82" i="17"/>
  <c r="L82" i="17"/>
  <c r="H84" i="17"/>
  <c r="I84" i="17"/>
  <c r="J84" i="17"/>
  <c r="K84" i="17"/>
  <c r="L84" i="17"/>
  <c r="J86" i="17"/>
  <c r="K86" i="17"/>
  <c r="L86" i="17"/>
  <c r="H87" i="17"/>
  <c r="I87" i="17"/>
  <c r="J87" i="17"/>
  <c r="K87" i="17"/>
  <c r="L87" i="17"/>
  <c r="H89" i="17"/>
  <c r="I89" i="17"/>
  <c r="J89" i="17"/>
  <c r="K89" i="17"/>
  <c r="L89" i="17"/>
  <c r="J100" i="17"/>
  <c r="K100" i="17"/>
  <c r="L100" i="17"/>
  <c r="J101" i="17"/>
  <c r="K101" i="17"/>
  <c r="L101" i="17"/>
  <c r="J103" i="17"/>
  <c r="K103" i="17"/>
  <c r="L103" i="17"/>
  <c r="J105" i="17"/>
  <c r="K105" i="17"/>
  <c r="L105" i="17"/>
  <c r="H113" i="17"/>
  <c r="I113" i="17"/>
  <c r="J113" i="17"/>
  <c r="K113" i="17"/>
  <c r="L113" i="17"/>
  <c r="H114" i="17"/>
  <c r="I114" i="17"/>
  <c r="J114" i="17"/>
  <c r="K114" i="17"/>
  <c r="L114" i="17"/>
  <c r="H115" i="17"/>
  <c r="I115" i="17"/>
  <c r="J115" i="17"/>
  <c r="K115" i="17"/>
  <c r="L115" i="17"/>
  <c r="H116" i="17"/>
  <c r="I116" i="17"/>
  <c r="J116" i="17"/>
  <c r="K116" i="17"/>
  <c r="L116" i="17"/>
  <c r="H117" i="17"/>
  <c r="I117" i="17"/>
  <c r="J117" i="17"/>
  <c r="K117" i="17"/>
  <c r="L117" i="17"/>
  <c r="H119" i="17"/>
  <c r="I119" i="17"/>
  <c r="J119" i="17"/>
  <c r="K119" i="17"/>
  <c r="L119" i="17"/>
  <c r="J189" i="17"/>
  <c r="K189" i="17"/>
  <c r="L189" i="17"/>
  <c r="K190" i="17"/>
  <c r="L190" i="17"/>
  <c r="L191" i="17"/>
  <c r="J194" i="17"/>
  <c r="K194" i="17"/>
  <c r="L194" i="17"/>
  <c r="I203" i="17"/>
  <c r="J203" i="17"/>
  <c r="K203" i="17"/>
  <c r="L203" i="17"/>
  <c r="I205" i="17"/>
  <c r="J205" i="17"/>
  <c r="K205" i="17"/>
  <c r="L205" i="17"/>
  <c r="J206" i="17"/>
  <c r="K206" i="17"/>
  <c r="L206" i="17"/>
  <c r="I207" i="17"/>
  <c r="J207" i="17"/>
  <c r="K207" i="17"/>
  <c r="L207" i="17"/>
  <c r="I210" i="17"/>
  <c r="J210" i="17"/>
  <c r="K210" i="17"/>
  <c r="L210" i="17"/>
  <c r="I211" i="17"/>
  <c r="J211" i="17"/>
  <c r="K211" i="17"/>
  <c r="L211" i="17"/>
  <c r="I212" i="17"/>
  <c r="J212" i="17"/>
  <c r="K212" i="17"/>
  <c r="L212" i="17"/>
  <c r="I213" i="17"/>
  <c r="J213" i="17"/>
  <c r="K213" i="17"/>
  <c r="L213" i="17"/>
  <c r="I214" i="17"/>
  <c r="J214" i="17"/>
  <c r="K214" i="17"/>
  <c r="L214" i="17"/>
  <c r="H216" i="17"/>
  <c r="I216" i="17"/>
  <c r="J216" i="17"/>
  <c r="K216" i="17"/>
  <c r="L216" i="17"/>
  <c r="H219" i="17"/>
  <c r="I219" i="17"/>
  <c r="J219" i="17"/>
  <c r="K219" i="17"/>
  <c r="L219" i="17"/>
  <c r="H220" i="17"/>
  <c r="I220" i="17"/>
  <c r="J220" i="17"/>
  <c r="K220" i="17"/>
  <c r="L220" i="17"/>
  <c r="H221" i="17"/>
  <c r="I221" i="17"/>
  <c r="J221" i="17"/>
  <c r="K221" i="17"/>
  <c r="L221" i="17"/>
  <c r="H222" i="17"/>
  <c r="I222" i="17"/>
  <c r="J222" i="17"/>
  <c r="K222" i="17"/>
  <c r="L222" i="17"/>
  <c r="H223" i="17"/>
  <c r="I223" i="17"/>
  <c r="J223" i="17"/>
  <c r="K223" i="17"/>
  <c r="L223" i="17"/>
  <c r="I229" i="17"/>
  <c r="J229" i="17"/>
  <c r="K229" i="17"/>
  <c r="L229" i="17"/>
  <c r="H230" i="17"/>
  <c r="I230" i="17"/>
  <c r="J230" i="17"/>
  <c r="K230" i="17"/>
  <c r="L230" i="17"/>
  <c r="H231" i="17"/>
  <c r="I231" i="17"/>
  <c r="J231" i="17"/>
  <c r="K231" i="17"/>
  <c r="L231" i="17"/>
  <c r="H232" i="17"/>
  <c r="I232" i="17"/>
  <c r="J232" i="17"/>
  <c r="K232" i="17"/>
  <c r="L232" i="17"/>
  <c r="H235" i="17"/>
  <c r="I235" i="17"/>
  <c r="J235" i="17"/>
  <c r="K235" i="17"/>
  <c r="L235" i="17"/>
  <c r="I238" i="17"/>
  <c r="J238" i="17"/>
  <c r="K238" i="17"/>
  <c r="L238" i="17"/>
  <c r="I239" i="17"/>
  <c r="J239" i="17"/>
  <c r="K239" i="17"/>
  <c r="L239" i="17"/>
  <c r="H240" i="17"/>
  <c r="I240" i="17"/>
  <c r="J240" i="17"/>
  <c r="K240" i="17"/>
  <c r="L240" i="17"/>
  <c r="H241" i="17"/>
  <c r="I241" i="17"/>
  <c r="J241" i="17"/>
  <c r="K241" i="17"/>
  <c r="L241" i="17"/>
  <c r="I244" i="17"/>
  <c r="J244" i="17"/>
  <c r="K244" i="17"/>
  <c r="L244" i="17"/>
  <c r="I245" i="17"/>
  <c r="J245" i="17"/>
  <c r="K245" i="17"/>
  <c r="L245" i="17"/>
  <c r="H246" i="17"/>
  <c r="I246" i="17"/>
  <c r="J246" i="17"/>
  <c r="K246" i="17"/>
  <c r="L246" i="17"/>
  <c r="H247" i="17"/>
  <c r="I247" i="17"/>
  <c r="J247" i="17"/>
  <c r="K247" i="17"/>
  <c r="L247" i="17"/>
  <c r="I250" i="17"/>
  <c r="J250" i="17"/>
  <c r="K250" i="17"/>
  <c r="L250" i="17"/>
  <c r="I251" i="17"/>
  <c r="J251" i="17"/>
  <c r="K251" i="17"/>
  <c r="L251" i="17"/>
  <c r="H252" i="17"/>
  <c r="I252" i="17"/>
  <c r="J252" i="17"/>
  <c r="K252" i="17"/>
  <c r="L252" i="17"/>
  <c r="H253" i="17"/>
  <c r="I253" i="17"/>
  <c r="J253" i="17"/>
  <c r="K253" i="17"/>
  <c r="L253" i="17"/>
</calcChain>
</file>

<file path=xl/sharedStrings.xml><?xml version="1.0" encoding="utf-8"?>
<sst xmlns="http://schemas.openxmlformats.org/spreadsheetml/2006/main" count="2356" uniqueCount="299">
  <si>
    <t>Project Athena</t>
  </si>
  <si>
    <t>Quarterly and Annual Financial Statements</t>
  </si>
  <si>
    <t>($s in 000s)</t>
  </si>
  <si>
    <t>Income Statement</t>
  </si>
  <si>
    <t>FY</t>
  </si>
  <si>
    <t>Service Revenues</t>
  </si>
  <si>
    <t>Parts &amp; Other</t>
  </si>
  <si>
    <t>Total Revenue</t>
  </si>
  <si>
    <t>Labor</t>
  </si>
  <si>
    <t>Materials</t>
  </si>
  <si>
    <t>Other CoGS</t>
  </si>
  <si>
    <t>Total Gross Profit</t>
  </si>
  <si>
    <t>Total Gross Margin %</t>
  </si>
  <si>
    <t>Payroll &amp; Related Expenses</t>
  </si>
  <si>
    <t>Rent &amp; Occupancy</t>
  </si>
  <si>
    <t>Depreciation</t>
  </si>
  <si>
    <t>Amortization</t>
  </si>
  <si>
    <t>Interest</t>
  </si>
  <si>
    <t>Other SG&amp;A</t>
  </si>
  <si>
    <t>Income Taxes</t>
  </si>
  <si>
    <t>Total SG&amp;A</t>
  </si>
  <si>
    <t>Other Expense (Income)</t>
  </si>
  <si>
    <t>Net Income</t>
  </si>
  <si>
    <t>EBITDA, Unadjusted</t>
  </si>
  <si>
    <t>Total Profit Margin %</t>
  </si>
  <si>
    <t>Total EBITDA Margin %</t>
  </si>
  <si>
    <t>Balance Sheet</t>
  </si>
  <si>
    <t>YE</t>
  </si>
  <si>
    <t>Cash &amp; Cash Equivalents</t>
  </si>
  <si>
    <t>Accounts Receivable, Gross</t>
  </si>
  <si>
    <t>Allowance for Doubtful Accounts</t>
  </si>
  <si>
    <t>Inventory</t>
  </si>
  <si>
    <t>Prepaids &amp; Other</t>
  </si>
  <si>
    <t>Total Current Assets</t>
  </si>
  <si>
    <t>PP&amp;E, Net</t>
  </si>
  <si>
    <t>Long-Term Intangible Assets</t>
  </si>
  <si>
    <t>Total Assets</t>
  </si>
  <si>
    <t>Accounts Payable</t>
  </si>
  <si>
    <t>Wages Payable</t>
  </si>
  <si>
    <t>Accrued Expenses &amp; Other</t>
  </si>
  <si>
    <t>Total Current Liabilities</t>
  </si>
  <si>
    <t>Revolver</t>
  </si>
  <si>
    <t>Term Loan A</t>
  </si>
  <si>
    <t>Subordinated Debt - Note 1</t>
  </si>
  <si>
    <t>Subordinated Debt - Note 2</t>
  </si>
  <si>
    <t>Other Long-Term Liabilities</t>
  </si>
  <si>
    <t xml:space="preserve">Total Liabilities </t>
  </si>
  <si>
    <t>Common Stock</t>
  </si>
  <si>
    <t>Retained Earnings</t>
  </si>
  <si>
    <t>Total Equity</t>
  </si>
  <si>
    <t>Total Liabilities and Equity</t>
  </si>
  <si>
    <t>Net Working Capital</t>
  </si>
  <si>
    <t>Net Working Capital, less Cash</t>
  </si>
  <si>
    <t>Check</t>
  </si>
  <si>
    <t>Athena Modeling Exercise</t>
  </si>
  <si>
    <t>Step 1 - Historicals</t>
  </si>
  <si>
    <t>Black font = Calculation</t>
  </si>
  <si>
    <t>YELLOWS ARE FILLS</t>
  </si>
  <si>
    <t>SKIP FOR NOW</t>
  </si>
  <si>
    <t>Blue font = Hardcoded Input/Assumption</t>
  </si>
  <si>
    <t>Green font = Pulled from another Sheet</t>
  </si>
  <si>
    <t>x</t>
  </si>
  <si>
    <t>Use the historical financial statements (Income Statement and Balance Sheet) to get started. Copy the financial statements as they appear from your research</t>
  </si>
  <si>
    <t>MRY</t>
  </si>
  <si>
    <t>Fiscal Years Ending December 31,</t>
  </si>
  <si>
    <t>($ in millions)</t>
  </si>
  <si>
    <t>COGS</t>
  </si>
  <si>
    <t>Gross Profit</t>
  </si>
  <si>
    <t>Gross Margin (%)</t>
  </si>
  <si>
    <t>SG&amp;A</t>
  </si>
  <si>
    <t>EBITDA</t>
  </si>
  <si>
    <t>EBITDA Margin (%)</t>
  </si>
  <si>
    <t>EBIT</t>
  </si>
  <si>
    <t>Interest (Income) / Expense</t>
  </si>
  <si>
    <t>Revolver – Interest</t>
  </si>
  <si>
    <t>Revolver – Undrawn Commitment Fee</t>
  </si>
  <si>
    <t>Other (Income) / Expense</t>
  </si>
  <si>
    <t>Income Before Taxes</t>
  </si>
  <si>
    <t>Provision for Tax</t>
  </si>
  <si>
    <t>Profit Margin (%)</t>
  </si>
  <si>
    <t>Capital Expenditures</t>
  </si>
  <si>
    <t>Assets</t>
  </si>
  <si>
    <t>Cash and Equivalents</t>
  </si>
  <si>
    <t>Accounts Receivable, net</t>
  </si>
  <si>
    <t>Prepaids and Other Current Assets</t>
  </si>
  <si>
    <t>PP&amp;E, Gross</t>
  </si>
  <si>
    <t>( – ) Accumulated Depreciation</t>
  </si>
  <si>
    <t>Goodwill</t>
  </si>
  <si>
    <t>Intangible and Long-Term Other Assets</t>
  </si>
  <si>
    <t>Liabilities &amp; Shareholders' Equity</t>
  </si>
  <si>
    <t>Subordinated - Note 1</t>
  </si>
  <si>
    <t>Subordinated - Note 2</t>
  </si>
  <si>
    <t>Total Debt</t>
  </si>
  <si>
    <t>Other Long-term Liabilities</t>
  </si>
  <si>
    <t>Total liabilities</t>
  </si>
  <si>
    <t>Total Liabilities &amp; Shareholders' Equity</t>
  </si>
  <si>
    <t>Checks to Source</t>
  </si>
  <si>
    <t>Revenue</t>
  </si>
  <si>
    <t>Cash</t>
  </si>
  <si>
    <t>Current Assets</t>
  </si>
  <si>
    <t>Current Liabilities</t>
  </si>
  <si>
    <t>Total Liabilities</t>
  </si>
  <si>
    <t>Internal Checks</t>
  </si>
  <si>
    <t>A= L + E</t>
  </si>
  <si>
    <t>Step 2 - Begin Projecting the Income Statement</t>
  </si>
  <si>
    <t>Revenue is grown year-over-year. Project total revenue based on the growth rate assumption below and the prior period revenue (line 41)</t>
  </si>
  <si>
    <t>CoGS typically fluctuates with Revenue - it is the cost of the goods and services we sell. We call this a "Variable Cost." As such, project as a % of Sales based on the performance driver below - that way CoGS moves with Revenue</t>
  </si>
  <si>
    <t>Calculate Gross Profit Margin (Gross Profit / Total Revenue)</t>
  </si>
  <si>
    <t xml:space="preserve">SG&amp;A typically has a part that is fixed (cost that does not fluctuate with revenue - like Rent) and a part that is Variable Cost. When I look at what the components of SG&amp;A are using information from the 'Financials from CIP' tab, I see the majority of it is in Payroll &amp; Related Expense - something that is most likely Variable. For simplicity sake, let's project SG&amp;A in the business to be Variable. As such, project as a % of Sales based on the performance driver below </t>
  </si>
  <si>
    <t>Calculate EBITDA Margin (EBITDA / Total Revenue)</t>
  </si>
  <si>
    <t>See the schedule, below. Link total Depreciation per year from the schedule to here. Follow the Depreciation schedule instructions carefully</t>
  </si>
  <si>
    <t>Amortization Expense reduces Other Intangibles Assets on the Balance sheet. It is similar to Depreciation but for Assets that are not physical (like a copyright). For simplicity sake, let's hold the 2024 amount consistent per year going forward but be careful to not to amortize more than the Balance of the Other Intangible Assets in any given year. We will revisit this calculation to ensure its working properly in a later step</t>
  </si>
  <si>
    <t>This is very low in 2023 and 2024. Let's assume it stays zero going forward</t>
  </si>
  <si>
    <t>Calculate tax expense based on the tax rate below</t>
  </si>
  <si>
    <t>Key Performance Metrics &amp; Drivers</t>
  </si>
  <si>
    <t>Sales Growth (%)</t>
  </si>
  <si>
    <t>Round your 2024 growth rate to the nearest percent and use that for 2025 and 2026, reducing it by 3% per year thereafter</t>
  </si>
  <si>
    <t>COGS / Sales (%)</t>
  </si>
  <si>
    <t>Divide by sales to get the % in 2023 and 2024. Use an average as your assumption and hold constant going forward</t>
  </si>
  <si>
    <t>SG&amp;A / Sales (%)</t>
  </si>
  <si>
    <t>Same as above</t>
  </si>
  <si>
    <t>Tax Rate (%)</t>
  </si>
  <si>
    <t>Round the 2024 tax rate to the nearest % and use that going forward</t>
  </si>
  <si>
    <t>Capex / Sales (%)</t>
  </si>
  <si>
    <t>Depreciation Schedule</t>
  </si>
  <si>
    <t>Depreciation is how much your long-term, physical assets (such as equipment) decrease in value each year. We have to know the cost of our the long-term, physical assets (CapEx) and then choose an "estimated life" to find the depreciation each year</t>
  </si>
  <si>
    <t>PP&amp;E to Depr</t>
  </si>
  <si>
    <t>SL Years (Est  Life)</t>
  </si>
  <si>
    <t>Last Year</t>
  </si>
  <si>
    <t>Depr/Year</t>
  </si>
  <si>
    <t>Link Amt to Depr to this year's capex. Straight line Depr for 10 more years. Use a rolling formula to determine what the amount should be each year - how much is left over vs annual depreciation per year. The first year formula can be written as: =-MIN(-$G119,$D119). Following that, we can write it as: =-MIN(-$H119,SUM($H119:H119,$D119))</t>
  </si>
  <si>
    <t>Total Depr.</t>
  </si>
  <si>
    <t>Step 3 - Start the Balance Sheet</t>
  </si>
  <si>
    <t>CapEx is the cost of equipment that is "capitalized" on your Balance Sheet because it lasts more than one year. Let's assume we buy more equipment as we grow and make it a Variable cost. As such, project as a % of Sales based on the performance driver below</t>
  </si>
  <si>
    <t>Let's start by finding CapEx in 2024. We can do that by looking at the change in PP&amp;E, net - using the information given to us in the 'Financials from CIP' tab, and removing the effect of Depreciation. Then, I can divide the CapEx I calculate by Sales to get the % in 2024. Use this as your assumption and hold constant going forward</t>
  </si>
  <si>
    <t>PP&amp;E stands for Property, Plant and Equipment (aka, long-term, physical assets). CapEx is the amount spent on long-term, physical assets that will last longer than 1 year. This is the GROSS amount, aka the TOTAL amount. As such, we add Capital Expenditures for the current year to Gross PP&amp;E from the prior year to get our new aggregate PP&amp;E. The result is an aggregation of all the CapEx we have spent (unless we sell an long-term, physical asset... but let's skip that for now)</t>
  </si>
  <si>
    <t>When we buy physical assets, there is "wear and tear" making the value of the physical assets go down. This is decrease in value is called and it goes against PP&amp;E, Gross to get to the "Net Amount." Add Depreciation (from the P&amp;L) for the current year to Accumulated Depreciation (from the Balance Sheet) from the prior year. We want to show this as a negative balance because we will be reducing Gross PP&amp;E by this amount - a Contra Asset</t>
  </si>
  <si>
    <t>Goodwill is the amount of excess that someone pays for your company, above the fair value of assumed Assets less the fair value of assumed Liabilities when they purchase it. We will revisit this later. For now, let's assume it stays consistent each period and stays constant at zero</t>
  </si>
  <si>
    <t>For future periods, Other Intangible Assets will be amortized by the current year amortization (from the Income Statement). Revisit your formula for Amortization on the P&amp;L and make sure its not causing this balance to go negative. Once this balance reaches zero there is nothing left to amortize</t>
  </si>
  <si>
    <t>For simplicity, let's hold Other Long-Term Liabilities constant for the future periods. It looks like it won't change much given the history that I have and I am not sure what it is unless I ask for more details</t>
  </si>
  <si>
    <t>Common Stock is the value of what you OWN in the business - Equity, another word for ownership. Equity goes up when we have Net Income or Issue stock and goes down if we have a Net Loss or give out a Dividend (paying Cash to owners). Let's assume that this will stay constant - no new stock issuances, no dividends, no stock buybacks</t>
  </si>
  <si>
    <t>When we connect WHAT happened (Income Statement) to our Balance Sheet (HOW it affects our ownership), we connect the Income Statement (above) to the Balance Sheet, through Net Income and Retained Earnings. This is a key connection to all financial statements. As we have Net Income or a Net Loss each year, we take the previous year's Retained Earnings and add Net Income for the current year</t>
  </si>
  <si>
    <t>Check (should be zero)</t>
  </si>
  <si>
    <t>Subtract total Assets and Total Liabilities and Shareholder's Equity from each other as a check that will come in handy later. Italicize and show out 3 decimal places. Don't worry it will not balance yet.</t>
  </si>
  <si>
    <t>Link Amt to Depr to this year's CapEx. Straight line Depr for 10 years - remember to watch the year it starts based on when the CapEx was incurred. Use the same formulas as we did on line 119, using the first year formula in the first year, and the next years' formulas after that</t>
  </si>
  <si>
    <t>Step 4 - More Balance Sheet - Net Working Capital</t>
  </si>
  <si>
    <t>Accounts Receivable, Net</t>
  </si>
  <si>
    <t>Link to Working Capital section, below</t>
  </si>
  <si>
    <t>Working Capital</t>
  </si>
  <si>
    <t>Accounts Receivable is the amount of money that people owe you for goods and services. It tends to correlate with Revenue - if Revenue goes up, it is likely that more people will owe you money. As such, this item follows Revenue, variably, through a ratio called Days Sales Outstanding, or DSO. See more on DSO, below. We use DSOs to inform us what our Accounts Receivable will be at the Revenue we are projecting. The formula is (Sales/# of Days in the Period)*DSO Ratio</t>
  </si>
  <si>
    <t>Inventory is the stuff that you sell. As such, it tends to correlate with CoGS. The higher my Sales, will mean that my CoGS go up too (see above) so I may want to keep more inventory around to keep up. As such, this item follows CoGS, variably, through a ratio called DIOH. See more on DIOH, below. We use DIOH to project how much inventory we will keep around to keep up with our Sales momentum. The formula to use is (CoGS/# of Days in the Period)*DIOH Ratio</t>
  </si>
  <si>
    <t>What's in Other Assets? I don't know either. We know that it is some Prepaid Costs, such as Insurance, but what else? It could be Supplies. Because we don't know, we use SG&amp;A as a Driver, assuming that things we typically Prepay (Rent and Insurance) would be SG&amp;A. The formula to use here is the % we calculated, below * SG&amp;A. I will make this driver variable because SG&amp;A was variable</t>
  </si>
  <si>
    <t>Non-Cash Current Assets</t>
  </si>
  <si>
    <t>Accounts Payable is the amount of money that you owe your vendors for the goods and services that go into your CoGS. It tends to correlate with CoGS - if CoGS go up, it is likely that you will buy more things and your bills will be higher. As such, this item follows CoGS, variably, through a ratio called Days Payable Outstanding, or DPO. See more on DPO, below. We use DPOs to inform us what our Accounts Payable will be at the Revenue we are projecting. The formula is (CoGS/# of Days in the Period)*DPO Ratio</t>
  </si>
  <si>
    <t>Wages Payable is for money we owe to our employees but have not paid yet. This is common in business practice. When you first start a job, it is common for you to start getting paid a few weeks after you start - because people are paid behind when they earn it, called "Arrears." If you leave a job, you are paid what you owe up to that day. The formula to use here is the % we calculated, below *SG&amp;A because that is where the costs of Payroll and Wages are captured</t>
  </si>
  <si>
    <t>Accrued Expenses are just like Accounts Payable except it is for other money we owe. See the explanation below. The formula to use here is the % we calculated, below *SG&amp;A</t>
  </si>
  <si>
    <t>Non-Debt Current Liabilities</t>
  </si>
  <si>
    <t>Net Working Capital, without Cash</t>
  </si>
  <si>
    <t>Change in Net Working Capital</t>
  </si>
  <si>
    <t>Given this is important for the Cash Flow Statement, let's make sure we calculate this here now. It is equal to this period's Net Working Capital minus last period's Net Working Capital</t>
  </si>
  <si>
    <t>Working Capital Drivers</t>
  </si>
  <si>
    <t>Sales</t>
  </si>
  <si>
    <t>Link to Sales in P&amp;L (this just makes life a little easier for the ratios we will build, below)</t>
  </si>
  <si>
    <t>DSO - Accounts Receivable Days Outstanding</t>
  </si>
  <si>
    <t>DSO stands for "Days Sales Outstanding." It tells you how long it takes you to collect from customers, on average, by giving you the number of days of individual sales that are outstanding (aka, have not been collected yet). It is calculated as: Accounts Receivable Balance / (Total Sales / # Days in the Period)</t>
  </si>
  <si>
    <t>DIOH - Day of Inventory on Hand</t>
  </si>
  <si>
    <t>DIOH stands for "Days of Inventory On Hand." It tells you how much inventory you carry at your location, on average, by giving you the number of days of individual CoGS that you have in inventory (aka, how much inventory do I have now)</t>
  </si>
  <si>
    <t>Prepaids &amp; Other Current Assets / SG&amp;A (%)</t>
  </si>
  <si>
    <t>We don't really have a good driver for this, so let's choose SG&amp;A, given that's where the costs are most likely captured. It will fluctuate as SG&amp;A moves around</t>
  </si>
  <si>
    <t>DPO - Accounts Payable Days Outstanding</t>
  </si>
  <si>
    <t>DPO stands for "Days Payable Outstanding." It tells you how long it takes you to pay your vendors (usually related to CoGS only), on average, by giving you the number of days of individual CoGS that are outstanding (aka, have you have not paid yet).  It is calculated as: Accounts Payable Balance / (Total CoGS / # Days in the Period)</t>
  </si>
  <si>
    <t>Wages Payable / SG&amp;A (%)</t>
  </si>
  <si>
    <t>We don't really have a good driver for this, so let's choose SG&amp;A, given that's where the costs are captured. It will fluctuate as SG&amp;A moves around</t>
  </si>
  <si>
    <t>Accrued Expenses &amp; Other / SG&amp;A (%)</t>
  </si>
  <si>
    <t>Accrued Expenses is how much money you owe your vendors that are not CoGS (think like your utility bill, etc). We can also make this one a % but it will most closely follow SG&amp;A. Let's choose that as our driver</t>
  </si>
  <si>
    <t>Step 5 - Watch. Cash. Flow</t>
  </si>
  <si>
    <t>Quote the Banker, “Watch Cash Flow” ~ Herbert S Bailey Jr, © 1975</t>
  </si>
  <si>
    <t>Cash will move based on the Net Income you made and how your business ran (Operating Activities), the cash you invested (Investing Activities) and the cash you had come in or out from Financing (Financing Activites, which we will do in a later step). The Cash balance on this line is the Cash resulting at the END of each period. So it is equal to the Cash from last period + the change in cash this period. As such, Cash in 2025 is equal to Cash Balance from last year (G60) plus the change in cash this year (H119).</t>
  </si>
  <si>
    <t>Cash Flow Statement</t>
  </si>
  <si>
    <t>Operating Activities</t>
  </si>
  <si>
    <r>
      <t xml:space="preserve">Now it is time to tie everything together with cash flow. Let's map the change in Cash (WHERE did Cash go) using </t>
    </r>
    <r>
      <rPr>
        <b/>
        <u/>
        <sz val="10"/>
        <color rgb="FF416D89"/>
        <rFont val="Open Sans"/>
        <family val="2"/>
      </rPr>
      <t xml:space="preserve">WHAT </t>
    </r>
    <r>
      <rPr>
        <b/>
        <sz val="10"/>
        <color rgb="FF416D89"/>
        <rFont val="Open Sans"/>
        <family val="2"/>
      </rPr>
      <t xml:space="preserve">happened in the Income Statement and </t>
    </r>
    <r>
      <rPr>
        <b/>
        <u/>
        <sz val="10"/>
        <color rgb="FF416D89"/>
        <rFont val="Open Sans"/>
        <family val="2"/>
      </rPr>
      <t xml:space="preserve">HOW </t>
    </r>
    <r>
      <rPr>
        <b/>
        <sz val="10"/>
        <color rgb="FF416D89"/>
        <rFont val="Open Sans"/>
        <family val="2"/>
      </rPr>
      <t>it affected the business on the Balance Sheet</t>
    </r>
  </si>
  <si>
    <t>Start with Net Income - this is the result of ALL Revenue and Expenses (including ones that do not affect cash). Starting here, we will next add the non-cash expenses from the P&amp;L. Link this to the P&amp;L as a POSITIVE to INCREASE the effect on cash - Net income removed it, we add it back to CASH flow</t>
  </si>
  <si>
    <r>
      <t xml:space="preserve">Depreciation is an expense that reflects the decrease in value of long-term, physical (tangible) assets. It </t>
    </r>
    <r>
      <rPr>
        <b/>
        <u/>
        <sz val="10"/>
        <color rgb="FF416D89"/>
        <rFont val="Open Sans"/>
        <family val="2"/>
      </rPr>
      <t>does not</t>
    </r>
    <r>
      <rPr>
        <b/>
        <sz val="10"/>
        <color rgb="FF416D89"/>
        <rFont val="Open Sans"/>
        <family val="2"/>
      </rPr>
      <t xml:space="preserve"> affect Cash - it is a non-Cash expense that is meant to reflect the "wear and tear" of Long-term Assets that you are using to produce Revenue over time. However, Deprecistion does affect the value of Long-term Assets directly - it is a reduction to our Assets for the loss in value of the Assets related to "wear and tear" and aging. So because we are "losing" the value of these Assets because we are using them, and because they are getting older - and presumably "less useful to us", it is a reduction in our ownership value of those Assets too. That reduction in ownership value shows as an Expense and, eventually, to Equity through Retained Earnings. As such, because it is a non-cash expense, we add in back to Net Income for the purposes of the CASH Flow statement. Link this to the P&amp;L as a POSITIVE to INCREASE the effect on cash - Net Income is already lower because Depreciation Expense is in it... so we add it back to CASH Flow to REMOVE the effect that Depreciation has on Net Income to show actual Cash Flow</t>
    </r>
  </si>
  <si>
    <t>Amortization of Intangibles</t>
  </si>
  <si>
    <r>
      <t xml:space="preserve">Amortization is an expense that reflects the decrease in value of long-term, non-physical (intangible) assets. It also </t>
    </r>
    <r>
      <rPr>
        <b/>
        <u/>
        <sz val="10"/>
        <color rgb="FF416D89"/>
        <rFont val="Open Sans"/>
        <family val="2"/>
      </rPr>
      <t>does not</t>
    </r>
    <r>
      <rPr>
        <b/>
        <sz val="10"/>
        <color rgb="FF416D89"/>
        <rFont val="Open Sans"/>
        <family val="2"/>
      </rPr>
      <t xml:space="preserve"> affect Cash - it is a non-Cash expense that is meant to reflect the "use" of Long-term Intangible Assets that you are using to produce Revenue over time. However, Amortization does affect the value of Long-term Intangible Assets directly - it is a reduction to our Assets for the loss in value of the Intangible Assets related to use and aging. So because we are "losing" the value of these Assets because we are using them, and because they are getting older - and presumably "less useful to us", it is a reduction in our ownership value of those Intangible Assets too. That reduction in ownership value shows as an Expense and, eventually, to Equity through Retained Earnings. As such, because it is a non-cash expense, we add in back to Net Income for the purposes of the CASH Flow statement. Link this to the P&amp;L as a POSITIVE to INCREASE the effect on cash - Net Income is already lower because Amortization Expense is in it... so we add it back to CASH Flow to REMOVE the effect that Amortization has on Net Income to show actual Cash Flow</t>
    </r>
  </si>
  <si>
    <t>Net Income + Non-Cash Expense Adjustments</t>
  </si>
  <si>
    <t>These are the total adjustments added to Net Income to get a "cash basis" of Net Income. However, these adjustments are only the first step in calculating our changes in Cash related to Operating activities. HOW fast the business collected money, paid money, etc also needs to be considered for the change in CASH. As such, we look at the change in Current Assets and Current Liabilities that are not Debt to see the effect they have on cash as well</t>
  </si>
  <si>
    <t>(Increase) / Decrease in Working Capital</t>
  </si>
  <si>
    <r>
      <t xml:space="preserve">Working Capital can be tricky to think through and counter intuitive but think of it this way: If Working Capital goes up, it means that we have an </t>
    </r>
    <r>
      <rPr>
        <b/>
        <u/>
        <sz val="10"/>
        <color rgb="FF416D89"/>
        <rFont val="Open Sans"/>
        <family val="2"/>
      </rPr>
      <t>INCREASE</t>
    </r>
    <r>
      <rPr>
        <b/>
        <sz val="10"/>
        <color rgb="FF416D89"/>
        <rFont val="Open Sans"/>
        <family val="2"/>
      </rPr>
      <t xml:space="preserve"> in Assets compared with the change in Liabilities. This means that Assets either went up or Liabilities went down period over period. If Assets go up, it means that we either did not collect money, or used money, for our Assets to increase. Althernatively, if Liabilities went down we </t>
    </r>
    <r>
      <rPr>
        <b/>
        <u/>
        <sz val="10"/>
        <color rgb="FF416D89"/>
        <rFont val="Open Sans"/>
        <family val="2"/>
      </rPr>
      <t>USED</t>
    </r>
    <r>
      <rPr>
        <b/>
        <sz val="10"/>
        <color rgb="FF416D89"/>
        <rFont val="Open Sans"/>
        <family val="2"/>
      </rPr>
      <t xml:space="preserve"> money to pay off some money we owe. Either way, an INCREASE in Working Capital is a DECREASE in cash - we have less cash in our pocket. We link to the Working Capital section, below</t>
    </r>
  </si>
  <si>
    <t>Cash flow from Operating Activities</t>
  </si>
  <si>
    <t>Investing Activities</t>
  </si>
  <si>
    <t>Cash flow from Investment Activities - CapEx</t>
  </si>
  <si>
    <r>
      <t xml:space="preserve">Cash flow from investing activities is the cash paid for Long-term Assets (physical and non-physical. Is is a </t>
    </r>
    <r>
      <rPr>
        <b/>
        <u/>
        <sz val="10"/>
        <color rgb="FF416D89"/>
        <rFont val="Open Sans"/>
        <family val="2"/>
      </rPr>
      <t>USE</t>
    </r>
    <r>
      <rPr>
        <b/>
        <sz val="10"/>
        <color rgb="FF416D89"/>
        <rFont val="Open Sans"/>
        <family val="2"/>
      </rPr>
      <t xml:space="preserve"> of Cash when Assets go up (we bought something) so it DECREASES the Cash balance. If our value went down, it would most likely meant we sold something (net of Depreciation). We link it to CapEx and remove it to </t>
    </r>
    <r>
      <rPr>
        <b/>
        <u/>
        <sz val="10"/>
        <color rgb="FF416D89"/>
        <rFont val="Open Sans"/>
        <family val="2"/>
      </rPr>
      <t>DECREASE</t>
    </r>
    <r>
      <rPr>
        <b/>
        <sz val="10"/>
        <color rgb="FF416D89"/>
        <rFont val="Open Sans"/>
        <family val="2"/>
      </rPr>
      <t xml:space="preserve"> the cash balance, here</t>
    </r>
  </si>
  <si>
    <t>Financing Activities</t>
  </si>
  <si>
    <t>Cash flow from Financing Activities</t>
  </si>
  <si>
    <t>Change in Cash</t>
  </si>
  <si>
    <t>Sum up the Cash Effects from the Operating Activites, Investing Activities and Financing Activities sections</t>
  </si>
  <si>
    <t>Step 6 - Debt - Getting Started</t>
  </si>
  <si>
    <t>We are calculating the ENDING balance of the debt in each period, below. Link these lines to the ending balance for each type of debt, respectively, below</t>
  </si>
  <si>
    <t>Debt Schedule</t>
  </si>
  <si>
    <t>Time for the trickiest part of our model - the Debt. We are going to take this in steps to fully explain what is happening with our model. Let's start with looking above - we see that we have 4 different types of Debt that we have been taken over the years in this business - a Revolver (or Line of Credit), a Term Loan A, a Subordinated - Note 1 and a Subordinated - Note 2. Let's use the schedule below to model out each of these</t>
  </si>
  <si>
    <t>Debt Balance Schedule</t>
  </si>
  <si>
    <t>Beginning Balance</t>
  </si>
  <si>
    <t>Debt has a "rolling effect". Today's beginning starts with yesterday's end. As such, we set the beginning balance in these cells equal to the prior periods' ending balance. In this line, cell H206 is equal to cell G209, I206 is equal to cell H209, and so forth</t>
  </si>
  <si>
    <t>( + ) Revolver Draw-down</t>
  </si>
  <si>
    <t>Revolvers are unique in that you can "draw" from the line to get Cash in the business when you need it (subject to certain restrictions) or you can pay it down using Cash to reduce the outstanding balance. Other types of Debt will only have repayments (something you MUST pay or something you OPT IN to pay). We will skip this for now but come back to this later</t>
  </si>
  <si>
    <t>( – ) Revolver Pay-down</t>
  </si>
  <si>
    <t>Ending Balance</t>
  </si>
  <si>
    <t>The Balance Sheet reflects the ENDING balance in any period. As such, cell G209 is equal to cell G78 in this example as a start but then the ending balance will be equal to the sum of the Beginning period plus the repayments and drawdowns in each period thereafter. For instance, cell H209 will be equal to the sum of H206 to H208. Carry that formula across for future periods</t>
  </si>
  <si>
    <t>Bank Revolver Commitment</t>
  </si>
  <si>
    <t>When you see a Revolver or a Line of Credit, think of it acting like a sophisticated credit card. There is a maximum amount that you are allowed to borrow, called a commitment, that depends on the rules set forth in a Debt agreement and what the bank deems you worthy to borrow. The maximum amount you are allowed to borrow on a Revolver can vary. However, for simplicity sake, let's set the maximum equal to 30 for each period in this case and type in those numbers on this line</t>
  </si>
  <si>
    <t>Undrawn Revolver Balance</t>
  </si>
  <si>
    <t>The amount you have remaining to borrow is the difference between what you have already borrowed, or drawn, on the Revolver (line 209) and what the maximum that you are allowed to borrow (the commitment) on the Revolver (line 211). Set this cell to be equal to the commitment less the ending balance in each period and carry it forward</t>
  </si>
  <si>
    <t>Debt has a "rolling effect". Today's beginning starts with yesterday's end. As such, we set the beginning balance in these cells equal to the prior periods' ending balance. Follow the pattern as described above in the Revolver, line 206</t>
  </si>
  <si>
    <t>( – ) Mandatory Repayment</t>
  </si>
  <si>
    <t>Each Debt line has an amount you MUST pay back each period in accordance with a Debt agreement you sign when you borrow money. The amount you MUST pay follows a repayment (or debt amortization - not to be confused with amortization of intangibles!) schedule that we set below. The repayment schedule is a % of the ORIGINAL principal that was borrowed and is used to calculate what MUST be paid each period. See more explanation, below. To calculate the mandatory repayment that we MUST pay, multiply the % by the original balance borrowed, respectively for each type of debt. For instance, the calculation for this line is H235 * G218, I235 *G218, and so on. Remember that this is a REPAYMENT decreasing the balance of our debt so you have to make it a NEGATIVE to decrease the balance. WATCH YOUR SIGNS!</t>
  </si>
  <si>
    <t>( – ) Optional Repayment</t>
  </si>
  <si>
    <t>The Balance Sheet reflects the ENDING balance in any period. As such, cell G218 is equal to cell G79 in this example as a start but then the ending balance will be equal to the sum of the Beginning period plus the repayments in each period thereafter. For instance, cell H218 will be equal to the sum of H215 to H217. Carry that formula across for future periods</t>
  </si>
  <si>
    <t>Each Debt line has an amount you MUST pay back each period in accordance with a Debt agreement you sign when you borrow money. The amount you MUST pay follows a repayment (or debt amortization - not to be confused with amortization of intangibles!) schedule that we set below. The repayment schedule is a % of the ORIGINAL principal that was borrowed and is used to calculate what MUST be paid each period. See more explanation, below. To calculate the mandatory repayment that we MUST pay, multiply the % by the original balance borrowed, respectively for each type of debt. For instance, the calculation for this line is H236 * G224, I236 *G224, and so on. Remember that this is a REPAYMENT decreasing the balance of our debt so you have to make it a NEGATIVE to decrease the balance. WATCH YOUR SIGNS!</t>
  </si>
  <si>
    <t>The Balance Sheet reflects the ENDING balance in any period. As such, the ending balance will be equal to the sum of the Beginning period plus the repayments in each period thereafter. Follow the pattern and calculations as described above, in the Term Loan A calculation</t>
  </si>
  <si>
    <t>Each Debt line has an amount you MUST pay back each period in accordance with a Debt agreement you sign when you borrow money. The amount you MUST pay follows a repayment (or debt amortization - not to be confused with amortization of intangibles!) schedule that we set below. The repayment schedule is a % of the ORIGINAL principal that was borrowed and is used to calculate what MUST be paid each period. See more explanation, below. To calculate the mandatory repayment that we MUST pay, multiply the % by the original balance borrowed, respectively for each type of debt. For instance, the calculation for this line is H237 * G230, I237 *G230, and so on. Remember that this is a REPAYMENT decreasing the balance of our debt so you have to make it a NEGATIVE to decrease the balance. WATCH YOUR SIGNS!</t>
  </si>
  <si>
    <t>Scheduled Debt Amortization (%)</t>
  </si>
  <si>
    <t>Original Balance</t>
  </si>
  <si>
    <t>Debt Amortization per Period</t>
  </si>
  <si>
    <r>
      <t xml:space="preserve">Debt amortization (or principal repayment) is the amount that the Debt </t>
    </r>
    <r>
      <rPr>
        <b/>
        <u/>
        <sz val="10"/>
        <color rgb="FF416D89"/>
        <rFont val="Open Sans"/>
        <family val="2"/>
      </rPr>
      <t>MUST</t>
    </r>
    <r>
      <rPr>
        <b/>
        <sz val="10"/>
        <color rgb="FF416D89"/>
        <rFont val="Open Sans"/>
        <family val="2"/>
      </rPr>
      <t xml:space="preserve"> be repaid in each period (aka, the "mandatory repayment"). It is set forth and agreed in the Debt agreement when you borrow money. The balance of your Debt </t>
    </r>
    <r>
      <rPr>
        <b/>
        <u/>
        <sz val="10"/>
        <color rgb="FF416D89"/>
        <rFont val="Open Sans"/>
        <family val="2"/>
      </rPr>
      <t>MUST</t>
    </r>
    <r>
      <rPr>
        <b/>
        <sz val="10"/>
        <color rgb="FF416D89"/>
        <rFont val="Open Sans"/>
        <family val="2"/>
      </rPr>
      <t xml:space="preserve"> be repaid by this amount each period and taken out of the outstanding balance, and your cash. It dictates the cash repaid in each period to pay off the Debt over time. In this line, set the repayment to be 20% per period. This means that the debt will be paid off in equal installments over 5 years (5 * 20% = 100%).</t>
    </r>
  </si>
  <si>
    <t>Similar to the above, set this line to be 20% each period as well</t>
  </si>
  <si>
    <t>Debt can be repaid in different patterns. It there are equal payments each period, it is called "straight-line" amortization. If the amortization slowly increased, for instance 10% in period 1, 15% in period 2, 25% in period 3, etc it is called a balloon amortization (slowly inflating like a balloon). If the amortization is small and then a large sum at the end, it is called "bullet" amortization. Let's set this line to be a bullet: 5% for the first 4 periods, then 80% in the 5th period.</t>
  </si>
  <si>
    <t>Debt Characteristics</t>
  </si>
  <si>
    <t>Spread to</t>
  </si>
  <si>
    <t>Floating</t>
  </si>
  <si>
    <t>Fixed Rate /</t>
  </si>
  <si>
    <t>Float or Fixed?</t>
  </si>
  <si>
    <t>SOFR</t>
  </si>
  <si>
    <t>Coupon</t>
  </si>
  <si>
    <t>Sweep</t>
  </si>
  <si>
    <r>
      <t xml:space="preserve">Debt carries different characteristics - most notably the interest rate that must be paid and the contractual ability to repay it back early. Interest rates come in two different forms: Fixed (a % set in the debt agreement and will not change) or Variable (a % set relative to another rate controlled by banks and/or the federal reserve, usually SOFR, which stands for the Standard Overnight Financing Rate). If an interest rate is variable, it is also called "Floating" and quoted as a spread to SOFR, quoted as "SOFR +" a %. If your Debt agreements allows you to repay Debt early, it is called a "Cash Sweep" option. The Sweep option is set as a % of the original balance - dictating the ability to optionally repay debt in </t>
    </r>
    <r>
      <rPr>
        <b/>
        <u/>
        <sz val="10"/>
        <color rgb="FF416D89"/>
        <rFont val="Open Sans"/>
        <family val="2"/>
      </rPr>
      <t>ADDITION</t>
    </r>
    <r>
      <rPr>
        <b/>
        <sz val="10"/>
        <color rgb="FF416D89"/>
        <rFont val="Open Sans"/>
        <family val="2"/>
      </rPr>
      <t xml:space="preserve"> to the mandatory repayment that you </t>
    </r>
    <r>
      <rPr>
        <b/>
        <u/>
        <sz val="10"/>
        <color rgb="FF416D89"/>
        <rFont val="Open Sans"/>
        <family val="2"/>
      </rPr>
      <t>MUST</t>
    </r>
    <r>
      <rPr>
        <b/>
        <sz val="10"/>
        <color rgb="FF416D89"/>
        <rFont val="Open Sans"/>
        <family val="2"/>
      </rPr>
      <t xml:space="preserve"> pay, calculated above. For instance, a 100% cash sweep means that you can repay 100% of what you originally borrowed at any time that you like. If it were 50%, you would only be allowed to pay up to 50% of the original balance that you borrowed at any time. Debt can be very nuanced here... so be sure, when you are a situation like this, that you are modeling the Debt appropriately based on what you MUST pay (and when) and what you are OPTIONALLY ALLOWED TO PAY ON TOP OF THAT (and when)</t>
    </r>
  </si>
  <si>
    <t>Let's assume the Revolver has an interest rate that floats. As such, to start, let's look up SOFR in a search (as of today it is 3.71%) and place it in cell H244 and set the spread to be 4.25% in cell I244. This means that the rate will be 7.96%. Let's also assume the "cash sweep", or the ability to optionally pay down debt is 100% and place 100% in line L244. Revolvers are unique in that, like a credit card, their "sweep" or option to repay it when we please, is ALWAYS 100%.</t>
  </si>
  <si>
    <t xml:space="preserve">Let's assume the Term Loan A also has an interest rate that floats. As such, to start, let's look up SOFR in a search and place it in line G245 and set the spread to be 4.75% in cell I245. This means that the rate will be 8.46% - we put that in column J. Let's also assume the "cash sweep", or the ability to optionally pay down debt is 100% and place 100% in line L45. </t>
  </si>
  <si>
    <r>
      <t xml:space="preserve">Let's assume Subordinated - Note 1 has a rate that is Fixed. It does NOT fluctuate with SOFR and stays the same, no matter what. As such, </t>
    </r>
    <r>
      <rPr>
        <b/>
        <u/>
        <sz val="10"/>
        <color rgb="FF416D89"/>
        <rFont val="Open Sans"/>
        <family val="2"/>
      </rPr>
      <t>we do not need SOFR and instead just set the rate we will be charged</t>
    </r>
    <r>
      <rPr>
        <b/>
        <sz val="10"/>
        <color rgb="FF416D89"/>
        <rFont val="Open Sans"/>
        <family val="2"/>
      </rPr>
      <t xml:space="preserve"> in cell K246. Let's assume the fixed rate is 12% in this example. Let's also assume the "cash sweep", or the ability to optionally pay down debt is 100% and place 100% in line L246. </t>
    </r>
  </si>
  <si>
    <t>Let's assume Subordinated - Note 2 also has a rate that is Fixed. It does NOT fluctuate with SOFR and stays the same, regardless of where interest rates in the market are moving (up or down). As such, we do not need SOFR and instead just set the rate we will be charged in cell K247. Let's assume the fixed rate is 14.5% in this example. Let's also assume the "cash sweep", or the ability to optionally pay down debt is 50% and place 50% in line L247. This means that we cannot pay more than 50% of the original debt balance in addition to what we MUST pay each period.</t>
  </si>
  <si>
    <t>Float</t>
  </si>
  <si>
    <t>N/A</t>
  </si>
  <si>
    <t>Fixed</t>
  </si>
  <si>
    <t>Step 7- The Cash Effect with Debt and Optional Debt Repayments</t>
  </si>
  <si>
    <t>Now we can finish our cashflow! (Almost). Did Debt go up or down during the period? Let's look at the difference on the Balance Sheet to determine if it is cash up or cash down.  For this line, in column H, the formula will be H78-G78, I78-H78 and so on</t>
  </si>
  <si>
    <t>Repeat the pattern for each type of debt - for instance, in this line, in column H, the formula will be H79-G79, I79-H79 and so on</t>
  </si>
  <si>
    <t>Repeat the pattern for each type of debt per the above</t>
  </si>
  <si>
    <t>Beginning Cash Balance</t>
  </si>
  <si>
    <t>Let's start with the Beginning Cash balance in each period. Link this to the ending cash from the prior period in the Balance Sheet to start. So H203 is equal to G60, I203 is equal to H60 and so forth.</t>
  </si>
  <si>
    <t>( – ) Minimum Cash Balance</t>
  </si>
  <si>
    <t>Before you start calculating how much cash you will use to pay off debt, you first have to determine an amount of cash that you want to keep around for Operations and "just in case." This is called a Minimum Cash Balance. For purposes of this exercise, let's assume 10 in each period. Put those values as a NEGATIVE here - if this is meant to calculate the total amount of Cash we COULD use to pay down Debt, then the minimum we want to keep around "just in case" should not be included</t>
  </si>
  <si>
    <t>Excess Cash / (Cash Deficit)</t>
  </si>
  <si>
    <r>
      <t xml:space="preserve">This is the sum of the Cash and the beginning of the period less the Cash we want to keep around. Sum the two lines to show "Cash Available for Use </t>
    </r>
    <r>
      <rPr>
        <b/>
        <u/>
        <sz val="10"/>
        <color rgb="FF416D89"/>
        <rFont val="Open Sans"/>
        <family val="2"/>
      </rPr>
      <t>before</t>
    </r>
    <r>
      <rPr>
        <b/>
        <sz val="10"/>
        <color rgb="FF416D89"/>
        <rFont val="Open Sans"/>
        <family val="2"/>
      </rPr>
      <t xml:space="preserve"> we add in our Operating Cash Flow and Cash Flow from Investing" during the current period</t>
    </r>
  </si>
  <si>
    <t>( + ) Cash Flow Available for from Ops and Investing</t>
  </si>
  <si>
    <r>
      <t xml:space="preserve">Now we add in the cash from Operations (line 105) and Investing (line 109). Add those lines together for each period, here to show the cashflow we made during the period from our Operations and from our purchase/sale of Long-term Assets </t>
    </r>
    <r>
      <rPr>
        <b/>
        <u/>
        <sz val="10"/>
        <color rgb="FF416D89"/>
        <rFont val="Open Sans"/>
        <family val="2"/>
      </rPr>
      <t>BEFORE</t>
    </r>
    <r>
      <rPr>
        <b/>
        <sz val="10"/>
        <color rgb="FF416D89"/>
        <rFont val="Open Sans"/>
        <family val="2"/>
      </rPr>
      <t xml:space="preserve"> we start paying down Debt</t>
    </r>
  </si>
  <si>
    <t>Total Cash Available for Debt Service</t>
  </si>
  <si>
    <t>Now adding the cash flow from Operations and Investing to the "Cash Available for Use before we add in our Operating Cash Flow and Cash Flow from Investing" shows the Cash available to pay down Debt. Sum lines 205 and 206 for each period to show this</t>
  </si>
  <si>
    <t>Mandatory Debt Repayment</t>
  </si>
  <si>
    <t>Next, we consider the cash we MUST pay for each period. We link these to the cash we MUST pay for each type of debt, as we calculated below. For instance, this line is equal to line 239</t>
  </si>
  <si>
    <t xml:space="preserve">Repeat this link for each type of debt with mandatory debt repayments. This links to line 245 </t>
  </si>
  <si>
    <t>Repeat this link for each type of debt with mandatory debt repayments. This links to line 251</t>
  </si>
  <si>
    <t>( – ) MANDATORY Scheduled Debt Repayments</t>
  </si>
  <si>
    <r>
      <t xml:space="preserve">Sum up lines 210 to 212 to show the total we </t>
    </r>
    <r>
      <rPr>
        <b/>
        <u/>
        <sz val="10"/>
        <color rgb="FF416D89"/>
        <rFont val="Open Sans"/>
        <family val="2"/>
      </rPr>
      <t>MUST pay (mandatory repayments)</t>
    </r>
  </si>
  <si>
    <t>Excess Cash Available for Sweep / (Revolver Draw-down)</t>
  </si>
  <si>
    <r>
      <t xml:space="preserve">Add lines 207 and 213. This shows the Cash we have available to pay down Debt </t>
    </r>
    <r>
      <rPr>
        <b/>
        <u/>
        <sz val="10"/>
        <color rgb="FF416D89"/>
        <rFont val="Open Sans"/>
        <family val="2"/>
      </rPr>
      <t>if we choose (aka, OPTIONAL repayments)</t>
    </r>
  </si>
  <si>
    <t>Revolver Drawdown</t>
  </si>
  <si>
    <t>First, let's determine if we need Cash from the amount we have available from the Revolver to help support the business. In order to determine whether we draw on the Revolver, we first must determine how much we need and then compare it to how much we are allowed to borrow. If we need more than we are allowed to draw (or borrow), we are in trouble (aka, bankruptcy)! There are several ways to do this but use this formula (which is a little counterintuitive but hey, it works): =MIN(MAX(0,oppostie of the cash we need to draw down),max amount allowed to borrow - beginning balance of the revolver, aka what we have already borrowed) or =MIN(MAX(0,-H214),H235-H229) in column H to start in this example. What this math says is "give me the lesser of the cash I need or the cash I am allowed to borrow" and that is how much I will "draw" on the line</t>
  </si>
  <si>
    <t>Optional Debt Repayment</t>
  </si>
  <si>
    <t>Revolver Repayment</t>
  </si>
  <si>
    <t>Next, assuming we have cash left over because we did NOT need to draw on the line, we move on to what we CAN pay or OPT IN to pay. Debt follows rules that typically say the Revolver must be paid first and then the most senior debt can be OPTIONALLY paid after that based on seniority. It generally cascades down from there. There are several ways to do this but use this formula: =-MAX(0,MIN(the balance of the debt AT THE BEGINNING OF THE PERIOD * cash sweep %)) or =-MAX(0,MIN(H229,SUM(H$214:H218),H229*$L267)) in Column H in this example. What this math says is "I will elect to pay the lesser of either: the beginning amount of the Debt, the amount of Cash I still have remaining to pay the Debt or the beginning balance of the Debt * the cash sweep % that the rules of the Debt allow me to pay"</t>
  </si>
  <si>
    <t>See above the explanation. Carry this logic downward so that it creates a cascading effect. For instance, in column H of this line, the formula is =-MAX(0,MIN(SUM(H238:H239),SUM(H$214:H219),$G241*$L268)) or "give me the lesser of: the amount of the beginning balance of the loan - the amount I must pay, the remaining Cash I have available to pay after I pay down the Revolver, or the amount of the original loan * the cash sweep %</t>
  </si>
  <si>
    <t>See above the explanation. Carry this logic downward so that it creates a cascading effect. For instance, in column H of this line, the formula is =-MAX(0,MIN(SUM(H244:H245),SUM(H$214:H220),$G247*$L269)) or "give me the lesser of: the amount of the beginning balance of the loan - the amount I must pay, the remaining Cash I have available to pay after I pay down the Revolver and the prior loan(s) following the order of the cascade based on seniority, or the amount of the original loan * the cash sweep %</t>
  </si>
  <si>
    <t>See above the explanation. Carry this logic downward so that it creates a cascading effect. For instance, in column H of this line, the formula is =-MAX(0,MIN(SUM(H250:H251),SUM(H$214:H221),$G253*$L270)) or "give me the lesser of: the amount of the beginning balance of the loan - the amount I must pay, the remaining Cash I have available to pay after I pay down the Revolver and the prior loan(s) following the order of the cascade based on seniority, or the amount of the original loan * the cash sweep %</t>
  </si>
  <si>
    <t>Total Optional Debt Repayment</t>
  </si>
  <si>
    <t>Total lines 218 to lines 222 to show the total amount we will OPTIONALLY pay on the Debt as a result of the above rules</t>
  </si>
  <si>
    <t>Link to line 216, above</t>
  </si>
  <si>
    <t>Link to line 219, above</t>
  </si>
  <si>
    <t>Link to line 220, above</t>
  </si>
  <si>
    <t>Link to line 221, above</t>
  </si>
  <si>
    <t>Link to line 222, above</t>
  </si>
  <si>
    <t>Step 8 - Interest and Commitment Fees</t>
  </si>
  <si>
    <t>Interest (income) / expense</t>
  </si>
  <si>
    <t>Link these to your new Interest schedule, below. Make sure they are positive values. For instance, in column H, link the value to H287, link to I287 in column I and so forth</t>
  </si>
  <si>
    <t>Repeat the pattern for the other types of debt and undrawn commitment fee, below</t>
  </si>
  <si>
    <t>Interest Rate Calculations</t>
  </si>
  <si>
    <t>BUT WAIT! There's more… yes, that pesky little thing called interest. We got to pay Interest. Let's figure out our Interest Expense by using the below</t>
  </si>
  <si>
    <t>Let's start with SOFR. Use the rate you looked up before and carry it forward and type them on this line</t>
  </si>
  <si>
    <t>Undrawn Commitment Fee</t>
  </si>
  <si>
    <t>Next, let's determine the undrawn commitment fee. What's that you say? Why the heck do I have to pay on money I am not even borrowing? Well, you don't think that banks are going to give you the privilege of being able to borrow money without wanting to get paid for privilege do you??? Of course not, banks take fees where they can - just like an "annual fee" for a credit card. Let's assume 0.25% for each period on this line and type that in next</t>
  </si>
  <si>
    <t>Next, let's link our rates to the above so we can easily see them below. For instance, the revolver will link to cell J267</t>
  </si>
  <si>
    <t>Continue this for each type of debt and link as you did, above - some will be Floating, others will be Fixed</t>
  </si>
  <si>
    <t>Interest Expense</t>
  </si>
  <si>
    <t>Now let's calculate our actual Interest Expense for each period. Multiply the rate for each type of Debt (or the undrawn commitment fee) by the balance of each. For this line, in column H, the calculation is H276 * H235</t>
  </si>
  <si>
    <t>Continue the same calculation downward for debt. The Revolver interest is equal to the rate (in column H, this is taken from H272) multiplied by the AVERAGE of the beginning and ending balance of the Revolver balance. The reason you use an average is because you will be paying interest during the period but are not sure when. So you take the average for the beginning and ending period to calculate the interest paid - it will give you an ACCURATE answer, albeit not PRECISE. And that's OK. For this line, starting with column H, the calculation will be =H278*AVERAGE(H229,H232), column I will be =I278*AVERAGE(I229,I232) and so on</t>
  </si>
  <si>
    <t>Continue the same calculation downward for debt. For this line, starting with column H, the calculation will be =H279*AVERAGE(H238,H241), column I will be =I279*AVERAGE(I238,I241) and so on. We use the AVERAGE balance because we pay down debt during the period. As our Debt balances go down, so does in the Interest we owe on them</t>
  </si>
  <si>
    <t>Repeat the pattern, above, for Subordinated Note 1</t>
  </si>
  <si>
    <t>Repeat the pattern, above, for Subordinated Note 2</t>
  </si>
  <si>
    <t>Total Interest Expense</t>
  </si>
  <si>
    <t>Total lines 285 to 290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</si>
</sst>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1" formatCode="_(* #,##0_);_(* \(#,##0\);_(* &quot;-&quot;_);_(@_)"/>
    <numFmt numFmtId="43" formatCode="_(* #,##0.00_);_(* \(#,##0.00\);_(* &quot;-&quot;??_);_(@_)"/>
    <numFmt numFmtId="164" formatCode="&quot;ERROR&quot;;&quot;ERROR&quot;;&quot;OK&quot;"/>
    <numFmt numFmtId="165" formatCode="[$-409]mmm\-yy;@"/>
    <numFmt numFmtId="166" formatCode="_(* #,##0.0_);_(* \(#,##0.0\);_(* &quot;-&quot;?_);_(@_)"/>
    <numFmt numFmtId="167" formatCode="0.0%"/>
    <numFmt numFmtId="168" formatCode="0_)_%;_(\(0\)_%;0_)_%;@_(_%"/>
    <numFmt numFmtId="169" formatCode="_(#,##0.00_)_%;_(\(#,##0.00\)_%;_(&quot;–&quot;_)_%;@_(_%"/>
    <numFmt numFmtId="170" formatCode="_(#,##0.0_)_%;_(\(#,##0.0\)_%;_(&quot;–&quot;_)_%;@_(_%"/>
    <numFmt numFmtId="171" formatCode="yyyy"/>
    <numFmt numFmtId="172" formatCode="mm/dd/yy;@"/>
    <numFmt numFmtId="173" formatCode="&quot;$&quot;#,##0.0_);\(&quot;$&quot;#,##0.0\);&quot;$&quot;#,##0.0_);@_)"/>
    <numFmt numFmtId="174" formatCode="&quot;$&quot;#,##0.0"/>
    <numFmt numFmtId="175" formatCode="#,##0.0_);\(#,##0.0\);#,##0.0_);@_)"/>
    <numFmt numFmtId="176" formatCode="_(#,##0_)_%;_(\(#,##0\)_%;_(&quot;–&quot;_)_%;@_(_%"/>
    <numFmt numFmtId="177" formatCode="_(&quot;$&quot;#,##0.0_)_%;_(\(&quot;$&quot;#,##0.0\)_%;_(&quot;–&quot;_)_%;@_(_%"/>
    <numFmt numFmtId="178" formatCode="_([$$]#,##0.0_)_%;\([$$]#,##0.0\)_%;_(&quot;–&quot;_)_%;@_)_%"/>
    <numFmt numFmtId="179" formatCode="&quot;$&quot;#,##0.0_);\(&quot;$&quot;#,##0.0\)"/>
    <numFmt numFmtId="180" formatCode="_(#,##0.000_)_%;_(\(#,##0.000\)_%;_(&quot;–&quot;_)_%;@_(_%"/>
    <numFmt numFmtId="181" formatCode="_(0.0%_);\(0.0%\);_(&quot;–&quot;_)_%;@_(_%"/>
    <numFmt numFmtId="182" formatCode="#,##0.0_);\(#,##0.0\)"/>
    <numFmt numFmtId="183" formatCode="_(* #,##0.000_);_(* \(#,##0.000\);_(* &quot;-&quot;???_);_(@_)"/>
    <numFmt numFmtId="184" formatCode="0.0\x"/>
    <numFmt numFmtId="185" formatCode="_(0.00%_);\(0.00%\);_(&quot;–&quot;_)_%;@_(_%"/>
    <numFmt numFmtId="186" formatCode="&quot;Yes&quot;_)_%;&quot;ERROR&quot;_)_%;&quot;No&quot;_)_%;&quot;ERROR&quot;_)_%"/>
  </numFmts>
  <fonts count="61">
    <font>
      <sz val="10"/>
      <color indexed="16"/>
      <name val="Credit Suisse Type Roman"/>
      <family val="2"/>
    </font>
    <font>
      <sz val="11"/>
      <color theme="1"/>
      <name val="Open Sans"/>
      <family val="2"/>
    </font>
    <font>
      <b/>
      <sz val="11"/>
      <color theme="0"/>
      <name val="Open Sans"/>
      <family val="2"/>
    </font>
    <font>
      <b/>
      <sz val="11"/>
      <color theme="1"/>
      <name val="Open Sans"/>
      <family val="2"/>
    </font>
    <font>
      <sz val="11"/>
      <color theme="1"/>
      <name val="Calibri"/>
      <family val="2"/>
      <scheme val="minor"/>
    </font>
    <font>
      <b/>
      <sz val="10"/>
      <color theme="1"/>
      <name val="Open Sans"/>
      <family val="2"/>
    </font>
    <font>
      <sz val="11"/>
      <color theme="1"/>
      <name val="Book Antiqua"/>
      <family val="2"/>
    </font>
    <font>
      <i/>
      <sz val="10"/>
      <color theme="0"/>
      <name val="Open Sans"/>
      <family val="2"/>
    </font>
    <font>
      <b/>
      <sz val="11"/>
      <color rgb="FF535456"/>
      <name val="Open Sans"/>
      <family val="2"/>
    </font>
    <font>
      <sz val="11"/>
      <color rgb="FF535456"/>
      <name val="Open Sans"/>
      <family val="2"/>
    </font>
    <font>
      <b/>
      <u/>
      <sz val="11"/>
      <color theme="1"/>
      <name val="Open Sans"/>
      <family val="2"/>
    </font>
    <font>
      <i/>
      <sz val="10"/>
      <color theme="1"/>
      <name val="Open Sans"/>
      <family val="2"/>
    </font>
    <font>
      <sz val="10"/>
      <color theme="1"/>
      <name val="Open Sans"/>
      <family val="2"/>
    </font>
    <font>
      <i/>
      <sz val="11"/>
      <color theme="1"/>
      <name val="Open Sans"/>
      <family val="2"/>
    </font>
    <font>
      <sz val="10"/>
      <color indexed="16"/>
      <name val="Open Sans"/>
      <family val="2"/>
    </font>
    <font>
      <b/>
      <sz val="10"/>
      <color indexed="16"/>
      <name val="Open Sans"/>
      <family val="2"/>
    </font>
    <font>
      <b/>
      <sz val="10"/>
      <color indexed="9"/>
      <name val="Open Sans"/>
      <family val="2"/>
    </font>
    <font>
      <sz val="12"/>
      <color indexed="16"/>
      <name val="Open Sans"/>
      <family val="2"/>
    </font>
    <font>
      <b/>
      <sz val="14"/>
      <color theme="0"/>
      <name val="Open Sans"/>
      <family val="2"/>
    </font>
    <font>
      <sz val="14"/>
      <color theme="0"/>
      <name val="Open Sans"/>
      <family val="2"/>
    </font>
    <font>
      <b/>
      <sz val="10"/>
      <color theme="0"/>
      <name val="Open Sans"/>
      <family val="2"/>
    </font>
    <font>
      <b/>
      <sz val="10"/>
      <name val="Open Sans"/>
      <family val="2"/>
    </font>
    <font>
      <b/>
      <i/>
      <sz val="10"/>
      <color rgb="FF0000FF"/>
      <name val="Open Sans"/>
      <family val="2"/>
    </font>
    <font>
      <sz val="12"/>
      <color rgb="FF0000FF"/>
      <name val="Open Sans"/>
      <family val="2"/>
    </font>
    <font>
      <sz val="12"/>
      <color indexed="9"/>
      <name val="Open Sans"/>
      <family val="2"/>
    </font>
    <font>
      <b/>
      <sz val="10"/>
      <color rgb="FF000000"/>
      <name val="Open Sans"/>
      <family val="2"/>
    </font>
    <font>
      <b/>
      <sz val="10"/>
      <color rgb="FF0000FF"/>
      <name val="Open Sans"/>
      <family val="2"/>
    </font>
    <font>
      <b/>
      <sz val="10"/>
      <color rgb="FF007E00"/>
      <name val="Open Sans"/>
      <family val="2"/>
    </font>
    <font>
      <b/>
      <sz val="14"/>
      <color rgb="FFFFFFFF"/>
      <name val="Open Sans"/>
      <family val="2"/>
    </font>
    <font>
      <b/>
      <sz val="12"/>
      <color indexed="16"/>
      <name val="Open Sans"/>
      <family val="2"/>
    </font>
    <font>
      <b/>
      <sz val="10"/>
      <color rgb="FF416D89"/>
      <name val="Open Sans"/>
      <family val="2"/>
    </font>
    <font>
      <sz val="8"/>
      <color indexed="16"/>
      <name val="Open Sans"/>
      <family val="2"/>
    </font>
    <font>
      <sz val="7"/>
      <color indexed="16"/>
      <name val="Open Sans"/>
      <family val="2"/>
    </font>
    <font>
      <b/>
      <sz val="10"/>
      <color rgb="FF003868"/>
      <name val="Open Sans"/>
      <family val="2"/>
    </font>
    <font>
      <b/>
      <sz val="10"/>
      <color rgb="FF003769"/>
      <name val="Open Sans"/>
      <family val="2"/>
    </font>
    <font>
      <b/>
      <u val="singleAccounting"/>
      <sz val="10"/>
      <color rgb="FF003769"/>
      <name val="Open Sans"/>
      <family val="2"/>
    </font>
    <font>
      <sz val="8"/>
      <color rgb="FF000000"/>
      <name val="Open Sans"/>
      <family val="2"/>
    </font>
    <font>
      <b/>
      <sz val="10"/>
      <color indexed="53"/>
      <name val="Open Sans"/>
      <family val="2"/>
    </font>
    <font>
      <sz val="10"/>
      <name val="Open Sans"/>
      <family val="2"/>
    </font>
    <font>
      <sz val="10"/>
      <color rgb="FF007E00"/>
      <name val="Open Sans"/>
      <family val="2"/>
    </font>
    <font>
      <sz val="10"/>
      <color rgb="FF000000"/>
      <name val="Open Sans"/>
      <family val="2"/>
    </font>
    <font>
      <i/>
      <sz val="10"/>
      <name val="Open Sans"/>
      <family val="2"/>
    </font>
    <font>
      <i/>
      <sz val="10"/>
      <color rgb="FF000000"/>
      <name val="Open Sans"/>
      <family val="2"/>
    </font>
    <font>
      <i/>
      <u/>
      <sz val="10"/>
      <name val="Open Sans"/>
      <family val="2"/>
    </font>
    <font>
      <i/>
      <sz val="10"/>
      <color rgb="FF007E00"/>
      <name val="Open Sans"/>
      <family val="2"/>
    </font>
    <font>
      <sz val="10"/>
      <color rgb="FF0000FF"/>
      <name val="Open Sans"/>
      <family val="2"/>
    </font>
    <font>
      <i/>
      <sz val="10"/>
      <color indexed="16"/>
      <name val="Open Sans"/>
      <family val="2"/>
    </font>
    <font>
      <i/>
      <sz val="8"/>
      <color indexed="60"/>
      <name val="Open Sans"/>
      <family val="2"/>
    </font>
    <font>
      <i/>
      <sz val="12"/>
      <color rgb="FFC00000"/>
      <name val="Open Sans"/>
      <family val="2"/>
    </font>
    <font>
      <i/>
      <sz val="10"/>
      <color rgb="FFC00000"/>
      <name val="Open Sans"/>
      <family val="2"/>
    </font>
    <font>
      <i/>
      <sz val="10"/>
      <color rgb="FFC23841"/>
      <name val="Open Sans"/>
      <family val="2"/>
    </font>
    <font>
      <b/>
      <u/>
      <sz val="10"/>
      <color indexed="16"/>
      <name val="Open Sans"/>
      <family val="2"/>
    </font>
    <font>
      <i/>
      <u/>
      <sz val="10"/>
      <color indexed="16"/>
      <name val="Open Sans"/>
      <family val="2"/>
    </font>
    <font>
      <u/>
      <sz val="10"/>
      <color indexed="16"/>
      <name val="Open Sans"/>
      <family val="2"/>
    </font>
    <font>
      <i/>
      <sz val="10"/>
      <color rgb="FF0000FF"/>
      <name val="Open Sans"/>
      <family val="2"/>
    </font>
    <font>
      <b/>
      <sz val="14"/>
      <color rgb="FF535456"/>
      <name val="Open Sans"/>
      <family val="2"/>
    </font>
    <font>
      <b/>
      <u/>
      <sz val="10"/>
      <color rgb="FF416D89"/>
      <name val="Open Sans"/>
      <family val="2"/>
    </font>
    <font>
      <sz val="10"/>
      <color indexed="16"/>
      <name val="Calibri"/>
      <family val="2"/>
      <scheme val="minor"/>
    </font>
    <font>
      <b/>
      <i/>
      <sz val="10"/>
      <name val="Open Sans"/>
      <family val="2"/>
    </font>
    <font>
      <b/>
      <u/>
      <sz val="10"/>
      <name val="Open Sans"/>
      <family val="2"/>
    </font>
    <font>
      <b/>
      <sz val="10"/>
      <color rgb="FF1F497D"/>
      <name val="Open Sans"/>
      <family val="2"/>
    </font>
  </fonts>
  <fills count="8">
    <fill>
      <patternFill patternType="none"/>
    </fill>
    <fill>
      <patternFill patternType="gray125"/>
    </fill>
    <fill>
      <patternFill patternType="solid">
        <fgColor rgb="FF416D89"/>
        <bgColor indexed="64"/>
      </patternFill>
    </fill>
    <fill>
      <patternFill patternType="solid">
        <fgColor rgb="FFD8D8D8"/>
        <bgColor indexed="64"/>
      </patternFill>
    </fill>
    <fill>
      <patternFill patternType="solid">
        <fgColor rgb="FFFFFF00"/>
        <bgColor indexed="64"/>
      </patternFill>
    </fill>
    <fill>
      <patternFill patternType="solid">
        <fgColor rgb="FFF5DCDC"/>
        <bgColor indexed="64"/>
      </patternFill>
    </fill>
    <fill>
      <patternFill patternType="solid">
        <fgColor rgb="FF005A9F"/>
        <bgColor indexed="64"/>
      </patternFill>
    </fill>
    <fill>
      <patternFill patternType="solid">
        <fgColor theme="1"/>
        <bgColor indexed="64"/>
      </patternFill>
    </fill>
  </fills>
  <borders count="12">
    <border>
      <left/>
      <right/>
      <top/>
      <bottom/>
      <diagonal/>
    </border>
    <border>
      <left/>
      <right/>
      <top style="thin">
        <color auto="1"/>
      </top>
      <bottom/>
      <diagonal/>
    </border>
    <border>
      <left/>
      <right/>
      <top style="thick">
        <color theme="0"/>
      </top>
      <bottom/>
      <diagonal/>
    </border>
    <border>
      <left/>
      <right/>
      <top/>
      <bottom style="medium">
        <color rgb="FF235A8C"/>
      </bottom>
      <diagonal/>
    </border>
    <border>
      <left/>
      <right/>
      <top style="hair">
        <color auto="1"/>
      </top>
      <bottom/>
      <diagonal/>
    </border>
    <border>
      <left/>
      <right/>
      <top/>
      <bottom style="medium">
        <color rgb="FF000000"/>
      </bottom>
      <diagonal/>
    </border>
    <border>
      <left style="thin">
        <color rgb="FFB4C3D2"/>
      </left>
      <right/>
      <top style="thin">
        <color rgb="FFB4C3D2"/>
      </top>
      <bottom style="thin">
        <color rgb="FFB4C3D2"/>
      </bottom>
      <diagonal/>
    </border>
    <border>
      <left/>
      <right/>
      <top style="thin">
        <color rgb="FFB4C3D2"/>
      </top>
      <bottom style="thin">
        <color rgb="FFB4C3D2"/>
      </bottom>
      <diagonal/>
    </border>
    <border>
      <left/>
      <right style="thin">
        <color rgb="FFB4C3D2"/>
      </right>
      <top style="thin">
        <color rgb="FFB4C3D2"/>
      </top>
      <bottom style="thin">
        <color rgb="FFB4C3D2"/>
      </bottom>
      <diagonal/>
    </border>
    <border>
      <left/>
      <right/>
      <top/>
      <bottom style="thin">
        <color rgb="FFB4C3D2"/>
      </bottom>
      <diagonal/>
    </border>
    <border>
      <left/>
      <right/>
      <top style="thin">
        <color rgb="FF000000"/>
      </top>
      <bottom/>
      <diagonal/>
    </border>
    <border>
      <left/>
      <right/>
      <top/>
      <bottom style="thin">
        <color rgb="FF000000"/>
      </bottom>
      <diagonal/>
    </border>
  </borders>
  <cellStyleXfs count="3">
    <xf numFmtId="0" fontId="0" fillId="0" borderId="0"/>
    <xf numFmtId="0" fontId="4" fillId="0" borderId="0"/>
    <xf numFmtId="0" fontId="6" fillId="0" borderId="0"/>
  </cellStyleXfs>
  <cellXfs count="271">
    <xf numFmtId="0" fontId="0" fillId="0" borderId="0" xfId="0"/>
    <xf numFmtId="164" fontId="5" fillId="0" borderId="0" xfId="1" applyNumberFormat="1" applyFont="1" applyAlignment="1">
      <alignment horizontal="centerContinuous"/>
    </xf>
    <xf numFmtId="0" fontId="1" fillId="0" borderId="0" xfId="2" applyFont="1"/>
    <xf numFmtId="0" fontId="2" fillId="2" borderId="0" xfId="1" applyFont="1" applyFill="1"/>
    <xf numFmtId="0" fontId="7" fillId="2" borderId="0" xfId="1" applyFont="1" applyFill="1"/>
    <xf numFmtId="0" fontId="8" fillId="3" borderId="0" xfId="2" applyFont="1" applyFill="1"/>
    <xf numFmtId="0" fontId="9" fillId="3" borderId="0" xfId="2" applyFont="1" applyFill="1"/>
    <xf numFmtId="165" fontId="1" fillId="0" borderId="0" xfId="2" applyNumberFormat="1" applyFont="1"/>
    <xf numFmtId="0" fontId="10" fillId="0" borderId="0" xfId="2" applyFont="1" applyAlignment="1">
      <alignment horizontal="center"/>
    </xf>
    <xf numFmtId="0" fontId="1" fillId="0" borderId="0" xfId="2" applyFont="1" applyAlignment="1">
      <alignment wrapText="1"/>
    </xf>
    <xf numFmtId="0" fontId="1" fillId="0" borderId="0" xfId="2" applyFont="1" applyAlignment="1">
      <alignment horizontal="left" indent="1"/>
    </xf>
    <xf numFmtId="166" fontId="1" fillId="0" borderId="0" xfId="2" applyNumberFormat="1" applyFont="1"/>
    <xf numFmtId="43" fontId="1" fillId="0" borderId="0" xfId="2" applyNumberFormat="1" applyFont="1"/>
    <xf numFmtId="0" fontId="3" fillId="0" borderId="1" xfId="2" applyFont="1" applyBorder="1"/>
    <xf numFmtId="0" fontId="1" fillId="0" borderId="1" xfId="2" applyFont="1" applyBorder="1"/>
    <xf numFmtId="166" fontId="3" fillId="0" borderId="1" xfId="2" applyNumberFormat="1" applyFont="1" applyBorder="1"/>
    <xf numFmtId="0" fontId="3" fillId="0" borderId="0" xfId="2" applyFont="1"/>
    <xf numFmtId="166" fontId="3" fillId="0" borderId="0" xfId="2" applyNumberFormat="1" applyFont="1"/>
    <xf numFmtId="0" fontId="11" fillId="0" borderId="0" xfId="2" applyFont="1" applyAlignment="1">
      <alignment horizontal="left" indent="2"/>
    </xf>
    <xf numFmtId="0" fontId="12" fillId="0" borderId="0" xfId="2" applyFont="1"/>
    <xf numFmtId="167" fontId="11" fillId="0" borderId="0" xfId="2" applyNumberFormat="1" applyFont="1"/>
    <xf numFmtId="167" fontId="13" fillId="0" borderId="0" xfId="2" applyNumberFormat="1" applyFont="1"/>
    <xf numFmtId="0" fontId="3" fillId="0" borderId="0" xfId="2" applyFont="1" applyAlignment="1">
      <alignment horizontal="left"/>
    </xf>
    <xf numFmtId="0" fontId="10" fillId="0" borderId="0" xfId="2" applyFont="1" applyAlignment="1">
      <alignment horizontal="right" indent="1"/>
    </xf>
    <xf numFmtId="0" fontId="1" fillId="0" borderId="0" xfId="2" applyFont="1" applyAlignment="1">
      <alignment horizontal="left" indent="2"/>
    </xf>
    <xf numFmtId="0" fontId="1" fillId="0" borderId="0" xfId="2" applyFont="1" applyAlignment="1">
      <alignment horizontal="left"/>
    </xf>
    <xf numFmtId="0" fontId="13" fillId="0" borderId="0" xfId="2" applyFont="1"/>
    <xf numFmtId="166" fontId="13" fillId="0" borderId="0" xfId="2" applyNumberFormat="1" applyFont="1"/>
    <xf numFmtId="0" fontId="13" fillId="0" borderId="0" xfId="2" applyFont="1" applyAlignment="1">
      <alignment horizontal="left"/>
    </xf>
    <xf numFmtId="0" fontId="14" fillId="0" borderId="0" xfId="0" applyFont="1" applyAlignment="1">
      <alignment vertical="center"/>
    </xf>
    <xf numFmtId="0" fontId="15" fillId="0" borderId="0" xfId="0" applyFont="1" applyAlignment="1">
      <alignment vertical="center"/>
    </xf>
    <xf numFmtId="168" fontId="16" fillId="0" borderId="0" xfId="0" applyNumberFormat="1" applyFont="1" applyAlignment="1">
      <alignment horizontal="right" vertical="center"/>
    </xf>
    <xf numFmtId="0" fontId="17" fillId="0" borderId="0" xfId="0" applyFont="1" applyAlignment="1">
      <alignment vertical="center"/>
    </xf>
    <xf numFmtId="0" fontId="18" fillId="2" borderId="0" xfId="0" applyFont="1" applyFill="1" applyAlignment="1">
      <alignment vertical="center"/>
    </xf>
    <xf numFmtId="0" fontId="19" fillId="2" borderId="0" xfId="0" applyFont="1" applyFill="1" applyAlignment="1">
      <alignment vertical="center"/>
    </xf>
    <xf numFmtId="168" fontId="19" fillId="2" borderId="0" xfId="0" applyNumberFormat="1" applyFont="1" applyFill="1" applyAlignment="1">
      <alignment horizontal="right" vertical="center"/>
    </xf>
    <xf numFmtId="169" fontId="19" fillId="2" borderId="0" xfId="0" applyNumberFormat="1" applyFont="1" applyFill="1" applyAlignment="1">
      <alignment horizontal="right" vertical="center"/>
    </xf>
    <xf numFmtId="0" fontId="20" fillId="2" borderId="0" xfId="0" applyFont="1" applyFill="1" applyAlignment="1">
      <alignment vertical="center"/>
    </xf>
    <xf numFmtId="168" fontId="18" fillId="2" borderId="0" xfId="0" applyNumberFormat="1" applyFont="1" applyFill="1" applyAlignment="1">
      <alignment horizontal="right" vertical="center"/>
    </xf>
    <xf numFmtId="0" fontId="21" fillId="0" borderId="0" xfId="0" applyFont="1" applyAlignment="1">
      <alignment vertical="center"/>
    </xf>
    <xf numFmtId="0" fontId="22" fillId="4" borderId="0" xfId="0" applyFont="1" applyFill="1" applyAlignment="1">
      <alignment vertical="center"/>
    </xf>
    <xf numFmtId="0" fontId="23" fillId="4" borderId="0" xfId="0" applyFont="1" applyFill="1" applyAlignment="1">
      <alignment vertical="center"/>
    </xf>
    <xf numFmtId="168" fontId="24" fillId="0" borderId="0" xfId="0" applyNumberFormat="1" applyFont="1" applyAlignment="1">
      <alignment horizontal="right" vertical="center"/>
    </xf>
    <xf numFmtId="170" fontId="25" fillId="5" borderId="0" xfId="0" applyNumberFormat="1" applyFont="1" applyFill="1" applyAlignment="1">
      <alignment vertical="center"/>
    </xf>
    <xf numFmtId="0" fontId="26" fillId="0" borderId="0" xfId="0" applyFont="1" applyAlignment="1">
      <alignment vertical="center"/>
    </xf>
    <xf numFmtId="0" fontId="27" fillId="0" borderId="0" xfId="0" applyFont="1" applyAlignment="1">
      <alignment vertical="center"/>
    </xf>
    <xf numFmtId="0" fontId="14" fillId="0" borderId="2" xfId="0" applyFont="1" applyBorder="1" applyAlignment="1">
      <alignment horizontal="center" vertical="center"/>
    </xf>
    <xf numFmtId="0" fontId="28" fillId="6" borderId="2" xfId="0" applyFont="1" applyFill="1" applyBorder="1" applyAlignment="1">
      <alignment vertical="center"/>
    </xf>
    <xf numFmtId="0" fontId="29" fillId="6" borderId="2" xfId="0" applyFont="1" applyFill="1" applyBorder="1" applyAlignment="1">
      <alignment vertical="center"/>
    </xf>
    <xf numFmtId="0" fontId="14" fillId="6" borderId="2" xfId="0" applyFont="1" applyFill="1" applyBorder="1" applyAlignment="1">
      <alignment vertical="center"/>
    </xf>
    <xf numFmtId="0" fontId="30"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33" fillId="0" borderId="0" xfId="0" applyFont="1" applyAlignment="1">
      <alignment horizontal="left" vertical="center"/>
    </xf>
    <xf numFmtId="0" fontId="34" fillId="0" borderId="0" xfId="0" applyFont="1" applyAlignment="1">
      <alignment horizontal="center" vertical="center"/>
    </xf>
    <xf numFmtId="49" fontId="35" fillId="0" borderId="0" xfId="0" applyNumberFormat="1" applyFont="1" applyAlignment="1">
      <alignment horizontal="centerContinuous" vertical="center"/>
    </xf>
    <xf numFmtId="0" fontId="36" fillId="0" borderId="3" xfId="0" applyFont="1" applyBorder="1" applyAlignment="1">
      <alignment horizontal="left" vertical="center"/>
    </xf>
    <xf numFmtId="0" fontId="33" fillId="0" borderId="3" xfId="0" applyFont="1" applyBorder="1" applyAlignment="1">
      <alignment horizontal="left" vertical="center"/>
    </xf>
    <xf numFmtId="171" fontId="34" fillId="0" borderId="3" xfId="0" applyNumberFormat="1" applyFont="1" applyBorder="1" applyAlignment="1">
      <alignment horizontal="center" vertical="center"/>
    </xf>
    <xf numFmtId="0" fontId="37" fillId="0" borderId="0" xfId="0" applyFont="1" applyAlignment="1">
      <alignment horizontal="left" vertical="center"/>
    </xf>
    <xf numFmtId="172" fontId="37" fillId="0" borderId="0" xfId="0" applyNumberFormat="1" applyFont="1" applyAlignment="1">
      <alignment horizontal="center" vertical="center"/>
    </xf>
    <xf numFmtId="173" fontId="21" fillId="0" borderId="0" xfId="0" applyNumberFormat="1" applyFont="1" applyAlignment="1">
      <alignment vertical="center"/>
    </xf>
    <xf numFmtId="174" fontId="27" fillId="4" borderId="0" xfId="0" applyNumberFormat="1" applyFont="1" applyFill="1" applyAlignment="1">
      <alignment vertical="center"/>
    </xf>
    <xf numFmtId="175" fontId="38" fillId="0" borderId="0" xfId="0" applyNumberFormat="1" applyFont="1" applyAlignment="1">
      <alignment vertical="center"/>
    </xf>
    <xf numFmtId="166" fontId="39" fillId="4" borderId="0" xfId="0" applyNumberFormat="1" applyFont="1" applyFill="1" applyAlignment="1">
      <alignment vertical="center"/>
    </xf>
    <xf numFmtId="0" fontId="38" fillId="0" borderId="4" xfId="0" applyFont="1" applyBorder="1" applyAlignment="1">
      <alignment vertical="center"/>
    </xf>
    <xf numFmtId="166" fontId="40" fillId="0" borderId="4" xfId="0" applyNumberFormat="1" applyFont="1" applyBorder="1" applyAlignment="1">
      <alignment vertical="center"/>
    </xf>
    <xf numFmtId="0" fontId="41" fillId="0" borderId="0" xfId="0" applyFont="1" applyAlignment="1">
      <alignment horizontal="left" vertical="center" indent="1"/>
    </xf>
    <xf numFmtId="0" fontId="38" fillId="0" borderId="0" xfId="0" applyFont="1" applyAlignment="1">
      <alignment vertical="center"/>
    </xf>
    <xf numFmtId="167" fontId="42" fillId="0" borderId="0" xfId="0" applyNumberFormat="1" applyFont="1" applyAlignment="1">
      <alignment horizontal="right" vertical="center"/>
    </xf>
    <xf numFmtId="0" fontId="21" fillId="0" borderId="4" xfId="0" applyFont="1" applyBorder="1" applyAlignment="1">
      <alignment vertical="center"/>
    </xf>
    <xf numFmtId="174" fontId="25" fillId="0" borderId="4" xfId="0" applyNumberFormat="1" applyFont="1" applyBorder="1" applyAlignment="1">
      <alignment vertical="center"/>
    </xf>
    <xf numFmtId="0" fontId="43" fillId="0" borderId="0" xfId="0" applyFont="1" applyAlignment="1">
      <alignment vertical="center"/>
    </xf>
    <xf numFmtId="167" fontId="44" fillId="0" borderId="0" xfId="0" applyNumberFormat="1" applyFont="1" applyAlignment="1">
      <alignment vertical="center"/>
    </xf>
    <xf numFmtId="175" fontId="38" fillId="0" borderId="0" xfId="0" applyNumberFormat="1" applyFont="1" applyAlignment="1">
      <alignment horizontal="left" vertical="center" indent="1"/>
    </xf>
    <xf numFmtId="170" fontId="39" fillId="0" borderId="0" xfId="0" applyNumberFormat="1" applyFont="1" applyAlignment="1">
      <alignment horizontal="right" vertical="center"/>
    </xf>
    <xf numFmtId="0" fontId="38" fillId="0" borderId="4" xfId="0" applyFont="1" applyBorder="1" applyAlignment="1">
      <alignment horizontal="left" vertical="center"/>
    </xf>
    <xf numFmtId="0" fontId="14" fillId="0" borderId="4" xfId="0" applyFont="1" applyBorder="1" applyAlignment="1">
      <alignment horizontal="left" vertical="center"/>
    </xf>
    <xf numFmtId="166" fontId="39" fillId="4" borderId="4" xfId="0" applyNumberFormat="1" applyFont="1" applyFill="1" applyBorder="1" applyAlignment="1">
      <alignment horizontal="right" vertical="center"/>
    </xf>
    <xf numFmtId="176" fontId="21" fillId="0" borderId="4" xfId="0" applyNumberFormat="1" applyFont="1" applyBorder="1" applyAlignment="1">
      <alignment vertical="center"/>
    </xf>
    <xf numFmtId="173" fontId="38" fillId="0" borderId="0" xfId="0" applyNumberFormat="1" applyFont="1" applyAlignment="1">
      <alignment vertical="center"/>
    </xf>
    <xf numFmtId="177" fontId="45" fillId="0" borderId="0" xfId="0" applyNumberFormat="1" applyFont="1" applyAlignment="1">
      <alignment vertical="center"/>
    </xf>
    <xf numFmtId="0" fontId="14" fillId="0" borderId="0" xfId="0" applyFont="1"/>
    <xf numFmtId="0" fontId="14" fillId="0" borderId="5" xfId="0" applyFont="1" applyBorder="1" applyAlignment="1">
      <alignment vertical="center"/>
    </xf>
    <xf numFmtId="0" fontId="20" fillId="2" borderId="6" xfId="0" applyFont="1" applyFill="1" applyBorder="1" applyAlignment="1">
      <alignment horizontal="left" vertical="center"/>
    </xf>
    <xf numFmtId="0" fontId="20" fillId="2" borderId="7" xfId="0" applyFont="1" applyFill="1" applyBorder="1" applyAlignment="1">
      <alignment horizontal="left" vertical="center" indent="1"/>
    </xf>
    <xf numFmtId="0" fontId="20" fillId="2" borderId="7" xfId="0" applyFont="1" applyFill="1" applyBorder="1" applyAlignment="1">
      <alignment horizontal="left" vertical="center"/>
    </xf>
    <xf numFmtId="0" fontId="20" fillId="2" borderId="8" xfId="0" applyFont="1" applyFill="1" applyBorder="1" applyAlignment="1">
      <alignment horizontal="left" vertical="center"/>
    </xf>
    <xf numFmtId="0" fontId="21" fillId="0" borderId="0" xfId="0" applyFont="1" applyAlignment="1">
      <alignment horizontal="left" vertical="center" indent="1"/>
    </xf>
    <xf numFmtId="174" fontId="27" fillId="4" borderId="0" xfId="0" applyNumberFormat="1" applyFont="1" applyFill="1" applyAlignment="1">
      <alignment horizontal="right" vertical="center"/>
    </xf>
    <xf numFmtId="178" fontId="14" fillId="0" borderId="0" xfId="0" applyNumberFormat="1" applyFont="1" applyAlignment="1">
      <alignment horizontal="right" vertical="center"/>
    </xf>
    <xf numFmtId="0" fontId="38" fillId="0" borderId="0" xfId="0" applyFont="1" applyAlignment="1">
      <alignment horizontal="left" vertical="center" indent="1"/>
    </xf>
    <xf numFmtId="166" fontId="39" fillId="4" borderId="0" xfId="0" applyNumberFormat="1" applyFont="1" applyFill="1" applyAlignment="1">
      <alignment horizontal="right" vertical="center"/>
    </xf>
    <xf numFmtId="166" fontId="38" fillId="0" borderId="4" xfId="0" applyNumberFormat="1" applyFont="1" applyBorder="1" applyAlignment="1">
      <alignment horizontal="right" vertical="center"/>
    </xf>
    <xf numFmtId="170" fontId="14" fillId="0" borderId="0" xfId="0" applyNumberFormat="1" applyFont="1" applyAlignment="1">
      <alignment horizontal="right" vertical="center"/>
    </xf>
    <xf numFmtId="0" fontId="14" fillId="0" borderId="0" xfId="0" applyFont="1" applyAlignment="1">
      <alignment horizontal="left" vertical="center"/>
    </xf>
    <xf numFmtId="166" fontId="39" fillId="0" borderId="0" xfId="0" applyNumberFormat="1" applyFont="1" applyAlignment="1">
      <alignment horizontal="right" vertical="center"/>
    </xf>
    <xf numFmtId="170" fontId="40" fillId="0" borderId="0" xfId="0" applyNumberFormat="1" applyFont="1" applyAlignment="1">
      <alignment horizontal="right" vertical="center"/>
    </xf>
    <xf numFmtId="0" fontId="38" fillId="0" borderId="0" xfId="0" applyFont="1" applyAlignment="1">
      <alignment horizontal="left" vertical="center"/>
    </xf>
    <xf numFmtId="166" fontId="45" fillId="0" borderId="0" xfId="0" applyNumberFormat="1" applyFont="1" applyAlignment="1">
      <alignment horizontal="right" vertical="center"/>
    </xf>
    <xf numFmtId="0" fontId="21" fillId="0" borderId="1" xfId="0" applyFont="1" applyBorder="1" applyAlignment="1">
      <alignment horizontal="left" vertical="center"/>
    </xf>
    <xf numFmtId="0" fontId="15" fillId="0" borderId="1" xfId="0" applyFont="1" applyBorder="1" applyAlignment="1">
      <alignment horizontal="left" vertical="center"/>
    </xf>
    <xf numFmtId="174" fontId="21" fillId="0" borderId="1" xfId="0" applyNumberFormat="1" applyFont="1" applyBorder="1" applyAlignment="1">
      <alignment horizontal="right" vertical="center"/>
    </xf>
    <xf numFmtId="178" fontId="15" fillId="0" borderId="0" xfId="0" applyNumberFormat="1" applyFont="1" applyAlignment="1">
      <alignment horizontal="right" vertical="center"/>
    </xf>
    <xf numFmtId="0" fontId="14" fillId="0" borderId="9" xfId="0" applyFont="1" applyBorder="1" applyAlignment="1">
      <alignment vertical="center"/>
    </xf>
    <xf numFmtId="179" fontId="21" fillId="0" borderId="1" xfId="0" applyNumberFormat="1" applyFont="1" applyBorder="1" applyAlignment="1">
      <alignment horizontal="right" vertical="center"/>
    </xf>
    <xf numFmtId="0" fontId="46" fillId="0" borderId="0" xfId="0" applyFont="1" applyAlignment="1">
      <alignment vertical="center"/>
    </xf>
    <xf numFmtId="0" fontId="47" fillId="0" borderId="0" xfId="0" applyFont="1" applyAlignment="1">
      <alignment horizontal="left" vertical="center" indent="1"/>
    </xf>
    <xf numFmtId="0" fontId="47" fillId="0" borderId="0" xfId="0" applyFont="1" applyAlignment="1">
      <alignment horizontal="left" vertical="center"/>
    </xf>
    <xf numFmtId="170" fontId="47" fillId="0" borderId="0" xfId="0" applyNumberFormat="1" applyFont="1" applyAlignment="1">
      <alignment horizontal="right" vertical="center"/>
    </xf>
    <xf numFmtId="0" fontId="48" fillId="0" borderId="0" xfId="0" applyFont="1" applyAlignment="1">
      <alignment vertical="center"/>
    </xf>
    <xf numFmtId="0" fontId="49" fillId="0" borderId="0" xfId="0" applyFont="1" applyAlignment="1">
      <alignment horizontal="left" vertical="center"/>
    </xf>
    <xf numFmtId="170" fontId="49" fillId="0" borderId="0" xfId="0" applyNumberFormat="1" applyFont="1" applyAlignment="1">
      <alignment horizontal="right" vertical="center"/>
    </xf>
    <xf numFmtId="180" fontId="49" fillId="0" borderId="0" xfId="0" applyNumberFormat="1" applyFont="1" applyAlignment="1">
      <alignment horizontal="right" vertical="center"/>
    </xf>
    <xf numFmtId="0" fontId="49" fillId="0" borderId="0" xfId="0" applyFont="1" applyAlignment="1">
      <alignment vertical="center"/>
    </xf>
    <xf numFmtId="0" fontId="38" fillId="0" borderId="5" xfId="0" applyFont="1" applyBorder="1" applyAlignment="1">
      <alignment vertical="center"/>
    </xf>
    <xf numFmtId="181" fontId="50" fillId="0" borderId="5" xfId="0" applyNumberFormat="1" applyFont="1" applyBorder="1" applyAlignment="1">
      <alignment vertical="center"/>
    </xf>
    <xf numFmtId="181" fontId="50" fillId="0" borderId="0" xfId="0" applyNumberFormat="1" applyFont="1" applyAlignment="1">
      <alignment vertical="center"/>
    </xf>
    <xf numFmtId="0" fontId="37" fillId="0" borderId="0" xfId="0" applyFont="1" applyAlignment="1">
      <alignment vertical="center"/>
    </xf>
    <xf numFmtId="0" fontId="51" fillId="0" borderId="0" xfId="0" applyFont="1"/>
    <xf numFmtId="0" fontId="52" fillId="0" borderId="0" xfId="0" applyFont="1"/>
    <xf numFmtId="0" fontId="46" fillId="0" borderId="0" xfId="0" applyFont="1"/>
    <xf numFmtId="41" fontId="14" fillId="0" borderId="0" xfId="0" applyNumberFormat="1" applyFont="1"/>
    <xf numFmtId="0" fontId="53" fillId="0" borderId="0" xfId="0" applyFont="1"/>
    <xf numFmtId="43" fontId="14" fillId="0" borderId="0" xfId="0" applyNumberFormat="1" applyFont="1"/>
    <xf numFmtId="0" fontId="14" fillId="7" borderId="0" xfId="0" applyFont="1" applyFill="1" applyAlignment="1">
      <alignment vertical="center"/>
    </xf>
    <xf numFmtId="174" fontId="27" fillId="0" borderId="0" xfId="0" applyNumberFormat="1" applyFont="1" applyAlignment="1">
      <alignment vertical="center"/>
    </xf>
    <xf numFmtId="174" fontId="21" fillId="4" borderId="0" xfId="0" applyNumberFormat="1" applyFont="1" applyFill="1" applyAlignment="1">
      <alignment vertical="center"/>
    </xf>
    <xf numFmtId="166" fontId="39" fillId="0" borderId="0" xfId="0" applyNumberFormat="1" applyFont="1" applyAlignment="1">
      <alignment vertical="center"/>
    </xf>
    <xf numFmtId="166" fontId="38" fillId="4" borderId="0" xfId="0" applyNumberFormat="1" applyFont="1" applyFill="1" applyAlignment="1">
      <alignment vertical="center"/>
    </xf>
    <xf numFmtId="166" fontId="45" fillId="4" borderId="0" xfId="0" applyNumberFormat="1" applyFont="1" applyFill="1" applyAlignment="1">
      <alignment vertical="center"/>
    </xf>
    <xf numFmtId="166" fontId="39" fillId="0" borderId="4" xfId="0" applyNumberFormat="1" applyFont="1" applyBorder="1" applyAlignment="1">
      <alignment horizontal="right" vertical="center"/>
    </xf>
    <xf numFmtId="177" fontId="40" fillId="0" borderId="0" xfId="0" applyNumberFormat="1" applyFont="1" applyAlignment="1">
      <alignment vertical="center"/>
    </xf>
    <xf numFmtId="0" fontId="41" fillId="0" borderId="0" xfId="0" applyFont="1" applyAlignment="1">
      <alignment vertical="center"/>
    </xf>
    <xf numFmtId="181" fontId="41" fillId="4" borderId="0" xfId="0" applyNumberFormat="1" applyFont="1" applyFill="1" applyAlignment="1">
      <alignment horizontal="right" vertical="center"/>
    </xf>
    <xf numFmtId="167" fontId="54" fillId="4" borderId="0" xfId="0" applyNumberFormat="1" applyFont="1" applyFill="1" applyAlignment="1">
      <alignment horizontal="right" vertical="center"/>
    </xf>
    <xf numFmtId="177" fontId="38" fillId="4" borderId="0" xfId="0" applyNumberFormat="1" applyFont="1" applyFill="1" applyAlignment="1">
      <alignment vertical="center"/>
    </xf>
    <xf numFmtId="177" fontId="45" fillId="4" borderId="0" xfId="0" applyNumberFormat="1" applyFont="1" applyFill="1" applyAlignment="1">
      <alignment vertical="center"/>
    </xf>
    <xf numFmtId="181" fontId="41" fillId="0" borderId="0" xfId="0" applyNumberFormat="1" applyFont="1" applyAlignment="1">
      <alignment horizontal="right" vertical="center"/>
    </xf>
    <xf numFmtId="167" fontId="54" fillId="0" borderId="0" xfId="0" applyNumberFormat="1" applyFont="1" applyAlignment="1">
      <alignment horizontal="right" vertical="center"/>
    </xf>
    <xf numFmtId="181" fontId="42" fillId="0" borderId="0" xfId="0" applyNumberFormat="1" applyFont="1" applyAlignment="1">
      <alignment horizontal="right" vertical="center"/>
    </xf>
    <xf numFmtId="174" fontId="27" fillId="0" borderId="0" xfId="0" applyNumberFormat="1" applyFont="1" applyAlignment="1">
      <alignment horizontal="right" vertical="center"/>
    </xf>
    <xf numFmtId="0" fontId="30" fillId="0" borderId="0" xfId="0" applyFont="1"/>
    <xf numFmtId="0" fontId="33" fillId="0" borderId="0" xfId="0" applyFont="1" applyAlignment="1">
      <alignment horizontal="center" vertical="center"/>
    </xf>
    <xf numFmtId="0" fontId="33" fillId="0" borderId="3" xfId="0" applyFont="1" applyBorder="1" applyAlignment="1">
      <alignment horizontal="center" vertical="center"/>
    </xf>
    <xf numFmtId="172" fontId="33" fillId="0" borderId="3" xfId="0" applyNumberFormat="1" applyFont="1" applyBorder="1" applyAlignment="1">
      <alignment horizontal="center" vertical="center"/>
    </xf>
    <xf numFmtId="171" fontId="38" fillId="0" borderId="0" xfId="0" applyNumberFormat="1" applyFont="1" applyAlignment="1">
      <alignment horizontal="left" vertical="center"/>
    </xf>
    <xf numFmtId="177" fontId="38" fillId="0" borderId="0" xfId="0" applyNumberFormat="1" applyFont="1" applyAlignment="1">
      <alignment vertical="center"/>
    </xf>
    <xf numFmtId="182" fontId="45" fillId="4" borderId="0" xfId="0" applyNumberFormat="1" applyFont="1" applyFill="1" applyAlignment="1">
      <alignment horizontal="center" vertical="center"/>
    </xf>
    <xf numFmtId="166" fontId="38" fillId="0" borderId="0" xfId="0" applyNumberFormat="1" applyFont="1" applyAlignment="1">
      <alignment vertical="center"/>
    </xf>
    <xf numFmtId="170" fontId="41" fillId="0" borderId="0" xfId="0" applyNumberFormat="1" applyFont="1" applyAlignment="1">
      <alignment horizontal="right" vertical="center"/>
    </xf>
    <xf numFmtId="170" fontId="38" fillId="4" borderId="0" xfId="0" applyNumberFormat="1" applyFont="1" applyFill="1" applyAlignment="1">
      <alignment vertical="center"/>
    </xf>
    <xf numFmtId="179" fontId="38" fillId="0" borderId="0" xfId="0" applyNumberFormat="1" applyFont="1" applyAlignment="1">
      <alignment vertical="center"/>
    </xf>
    <xf numFmtId="166" fontId="45" fillId="0" borderId="0" xfId="0" applyNumberFormat="1" applyFont="1" applyAlignment="1">
      <alignment horizontal="center" vertical="center"/>
    </xf>
    <xf numFmtId="170" fontId="38" fillId="0" borderId="0" xfId="0" applyNumberFormat="1" applyFont="1" applyAlignment="1">
      <alignment vertical="center"/>
    </xf>
    <xf numFmtId="177" fontId="14" fillId="0" borderId="0" xfId="0" applyNumberFormat="1" applyFont="1" applyAlignment="1">
      <alignment vertical="center"/>
    </xf>
    <xf numFmtId="170" fontId="21" fillId="0" borderId="1" xfId="0" applyNumberFormat="1" applyFont="1" applyBorder="1" applyAlignment="1">
      <alignment vertical="center"/>
    </xf>
    <xf numFmtId="0" fontId="37" fillId="0" borderId="5" xfId="0" applyFont="1" applyBorder="1" applyAlignment="1">
      <alignment vertical="center"/>
    </xf>
    <xf numFmtId="174" fontId="21" fillId="0" borderId="0" xfId="0" applyNumberFormat="1" applyFont="1" applyAlignment="1">
      <alignment vertical="center"/>
    </xf>
    <xf numFmtId="166" fontId="45" fillId="0" borderId="0" xfId="0" applyNumberFormat="1" applyFont="1" applyAlignment="1">
      <alignment vertical="center"/>
    </xf>
    <xf numFmtId="166" fontId="21" fillId="5" borderId="0" xfId="0" applyNumberFormat="1" applyFont="1" applyFill="1" applyAlignment="1">
      <alignment vertical="center"/>
    </xf>
    <xf numFmtId="177" fontId="39" fillId="4" borderId="0" xfId="0" applyNumberFormat="1" applyFont="1" applyFill="1" applyAlignment="1">
      <alignment vertical="center"/>
    </xf>
    <xf numFmtId="166" fontId="38" fillId="4" borderId="0" xfId="0" applyNumberFormat="1" applyFont="1" applyFill="1" applyAlignment="1">
      <alignment horizontal="center" vertical="center"/>
    </xf>
    <xf numFmtId="179" fontId="38" fillId="5" borderId="0" xfId="0" applyNumberFormat="1" applyFont="1" applyFill="1" applyAlignment="1">
      <alignment vertical="center"/>
    </xf>
    <xf numFmtId="0" fontId="14" fillId="7" borderId="0" xfId="0" applyFont="1" applyFill="1"/>
    <xf numFmtId="166" fontId="38" fillId="4" borderId="0" xfId="0" applyNumberFormat="1" applyFont="1" applyFill="1" applyAlignment="1">
      <alignment horizontal="right" vertical="center"/>
    </xf>
    <xf numFmtId="166" fontId="45" fillId="4" borderId="0" xfId="0" applyNumberFormat="1" applyFont="1" applyFill="1" applyAlignment="1">
      <alignment horizontal="right" vertical="center"/>
    </xf>
    <xf numFmtId="0" fontId="41" fillId="0" borderId="0" xfId="0" applyFont="1" applyAlignment="1">
      <alignment horizontal="left" vertical="center"/>
    </xf>
    <xf numFmtId="183" fontId="41" fillId="4" borderId="0" xfId="0" applyNumberFormat="1" applyFont="1" applyFill="1" applyAlignment="1">
      <alignment horizontal="right" vertical="center"/>
    </xf>
    <xf numFmtId="174" fontId="38" fillId="0" borderId="0" xfId="0" applyNumberFormat="1" applyFont="1" applyAlignment="1">
      <alignment horizontal="center" vertical="center"/>
    </xf>
    <xf numFmtId="182" fontId="45" fillId="0" borderId="0" xfId="0" applyNumberFormat="1" applyFont="1" applyAlignment="1">
      <alignment horizontal="center" vertical="center"/>
    </xf>
    <xf numFmtId="174" fontId="38" fillId="4" borderId="0" xfId="0" applyNumberFormat="1" applyFont="1" applyFill="1" applyAlignment="1">
      <alignment horizontal="center" vertical="center"/>
    </xf>
    <xf numFmtId="170" fontId="41" fillId="4" borderId="0" xfId="0" applyNumberFormat="1" applyFont="1" applyFill="1" applyAlignment="1">
      <alignment horizontal="right" vertical="center"/>
    </xf>
    <xf numFmtId="170" fontId="12" fillId="4" borderId="0" xfId="0" applyNumberFormat="1" applyFont="1" applyFill="1" applyAlignment="1">
      <alignment vertical="center"/>
    </xf>
    <xf numFmtId="0" fontId="12" fillId="4" borderId="0" xfId="0" applyFont="1" applyFill="1" applyAlignment="1">
      <alignment vertical="center"/>
    </xf>
    <xf numFmtId="177" fontId="39" fillId="0" borderId="0" xfId="0" applyNumberFormat="1" applyFont="1" applyAlignment="1">
      <alignment vertical="center"/>
    </xf>
    <xf numFmtId="166" fontId="38" fillId="0" borderId="0" xfId="0" applyNumberFormat="1" applyFont="1" applyAlignment="1">
      <alignment horizontal="center" vertical="center"/>
    </xf>
    <xf numFmtId="166" fontId="38" fillId="0" borderId="0" xfId="0" applyNumberFormat="1" applyFont="1" applyAlignment="1">
      <alignment horizontal="right" vertical="center"/>
    </xf>
    <xf numFmtId="183" fontId="41" fillId="0" borderId="0" xfId="0" applyNumberFormat="1" applyFont="1" applyAlignment="1">
      <alignment horizontal="right" vertical="center"/>
    </xf>
    <xf numFmtId="166" fontId="38" fillId="0" borderId="4" xfId="0" applyNumberFormat="1" applyFont="1" applyBorder="1" applyAlignment="1">
      <alignment vertical="center"/>
    </xf>
    <xf numFmtId="0" fontId="21" fillId="0" borderId="10" xfId="0" applyFont="1" applyBorder="1" applyAlignment="1">
      <alignment vertical="center"/>
    </xf>
    <xf numFmtId="166" fontId="21" fillId="0" borderId="10" xfId="0" applyNumberFormat="1" applyFont="1" applyBorder="1" applyAlignment="1">
      <alignment vertical="center"/>
    </xf>
    <xf numFmtId="166" fontId="21" fillId="0" borderId="0" xfId="0" applyNumberFormat="1" applyFont="1" applyAlignment="1">
      <alignment vertical="center"/>
    </xf>
    <xf numFmtId="166" fontId="21" fillId="4" borderId="0" xfId="0" applyNumberFormat="1" applyFont="1" applyFill="1" applyAlignment="1">
      <alignment vertical="center"/>
    </xf>
    <xf numFmtId="179" fontId="38" fillId="4" borderId="0" xfId="0" applyNumberFormat="1" applyFont="1" applyFill="1" applyAlignment="1">
      <alignment horizontal="right" vertical="center"/>
    </xf>
    <xf numFmtId="184" fontId="38" fillId="4" borderId="0" xfId="0" applyNumberFormat="1" applyFont="1" applyFill="1" applyAlignment="1">
      <alignment horizontal="right" vertical="center"/>
    </xf>
    <xf numFmtId="184" fontId="45" fillId="4" borderId="0" xfId="0" applyNumberFormat="1" applyFont="1" applyFill="1" applyAlignment="1">
      <alignment horizontal="right" vertical="center"/>
    </xf>
    <xf numFmtId="167" fontId="41" fillId="4" borderId="0" xfId="0" applyNumberFormat="1" applyFont="1" applyFill="1" applyAlignment="1">
      <alignment horizontal="right" vertical="center"/>
    </xf>
    <xf numFmtId="170" fontId="14" fillId="4" borderId="0" xfId="0" applyNumberFormat="1" applyFont="1" applyFill="1" applyAlignment="1">
      <alignment horizontal="right" vertical="center"/>
    </xf>
    <xf numFmtId="170" fontId="45" fillId="4" borderId="0" xfId="0" applyNumberFormat="1" applyFont="1" applyFill="1" applyAlignment="1">
      <alignment horizontal="right" vertical="center"/>
    </xf>
    <xf numFmtId="179" fontId="14" fillId="0" borderId="0" xfId="0" applyNumberFormat="1" applyFont="1" applyAlignment="1">
      <alignment vertical="center"/>
    </xf>
    <xf numFmtId="185" fontId="49" fillId="0" borderId="0" xfId="0" applyNumberFormat="1" applyFont="1" applyAlignment="1">
      <alignment horizontal="right" vertical="center"/>
    </xf>
    <xf numFmtId="185" fontId="42" fillId="0" borderId="0" xfId="0" applyNumberFormat="1" applyFont="1" applyAlignment="1">
      <alignment horizontal="right" vertical="center"/>
    </xf>
    <xf numFmtId="170" fontId="12" fillId="0" borderId="0" xfId="0" applyNumberFormat="1" applyFont="1" applyAlignment="1">
      <alignment vertical="center"/>
    </xf>
    <xf numFmtId="0" fontId="12" fillId="0" borderId="0" xfId="0" applyFont="1" applyAlignment="1">
      <alignment vertical="center"/>
    </xf>
    <xf numFmtId="0" fontId="55" fillId="0" borderId="0" xfId="0" applyFont="1" applyAlignment="1">
      <alignment horizontal="left" vertical="center" indent="2" readingOrder="1"/>
    </xf>
    <xf numFmtId="179" fontId="21" fillId="4" borderId="0" xfId="0" applyNumberFormat="1" applyFont="1" applyFill="1" applyAlignment="1">
      <alignment vertical="center"/>
    </xf>
    <xf numFmtId="170" fontId="38" fillId="0" borderId="4" xfId="0" applyNumberFormat="1" applyFont="1" applyBorder="1" applyAlignment="1">
      <alignment vertical="center"/>
    </xf>
    <xf numFmtId="179" fontId="21" fillId="0" borderId="4" xfId="0" applyNumberFormat="1" applyFont="1" applyBorder="1" applyAlignment="1">
      <alignment vertical="center"/>
    </xf>
    <xf numFmtId="177" fontId="25" fillId="0" borderId="10" xfId="0" applyNumberFormat="1" applyFont="1" applyBorder="1" applyAlignment="1">
      <alignment vertical="center"/>
    </xf>
    <xf numFmtId="179" fontId="21" fillId="0" borderId="10" xfId="0" applyNumberFormat="1" applyFont="1" applyBorder="1" applyAlignment="1">
      <alignment vertical="center"/>
    </xf>
    <xf numFmtId="0" fontId="21" fillId="2" borderId="7" xfId="0" applyFont="1" applyFill="1" applyBorder="1" applyAlignment="1">
      <alignment horizontal="left" vertical="center"/>
    </xf>
    <xf numFmtId="0" fontId="21" fillId="2" borderId="8" xfId="0" applyFont="1" applyFill="1" applyBorder="1" applyAlignment="1">
      <alignment horizontal="left" vertical="center"/>
    </xf>
    <xf numFmtId="177" fontId="21" fillId="4" borderId="0" xfId="0" applyNumberFormat="1" applyFont="1" applyFill="1" applyAlignment="1">
      <alignment vertical="center"/>
    </xf>
    <xf numFmtId="0" fontId="57" fillId="7" borderId="0" xfId="0" applyFont="1" applyFill="1" applyAlignment="1">
      <alignment vertical="center"/>
    </xf>
    <xf numFmtId="0" fontId="57" fillId="0" borderId="0" xfId="0" applyFont="1" applyAlignment="1">
      <alignment vertical="center"/>
    </xf>
    <xf numFmtId="166" fontId="38" fillId="5" borderId="0" xfId="0" applyNumberFormat="1" applyFont="1" applyFill="1" applyAlignment="1">
      <alignment vertical="center"/>
    </xf>
    <xf numFmtId="170" fontId="40" fillId="0" borderId="0" xfId="0" applyNumberFormat="1" applyFont="1" applyAlignment="1">
      <alignment vertical="center"/>
    </xf>
    <xf numFmtId="177" fontId="25" fillId="0" borderId="0" xfId="0" applyNumberFormat="1" applyFont="1" applyAlignment="1">
      <alignment vertical="center"/>
    </xf>
    <xf numFmtId="179" fontId="38" fillId="0" borderId="0" xfId="0" applyNumberFormat="1" applyFont="1" applyAlignment="1">
      <alignment horizontal="right" vertical="center"/>
    </xf>
    <xf numFmtId="184" fontId="38" fillId="0" borderId="0" xfId="0" applyNumberFormat="1" applyFont="1" applyAlignment="1">
      <alignment horizontal="right" vertical="center"/>
    </xf>
    <xf numFmtId="184" fontId="45" fillId="0" borderId="0" xfId="0" applyNumberFormat="1" applyFont="1" applyAlignment="1">
      <alignment horizontal="right" vertical="center"/>
    </xf>
    <xf numFmtId="167" fontId="41" fillId="0" borderId="0" xfId="0" applyNumberFormat="1" applyFont="1" applyAlignment="1">
      <alignment horizontal="right" vertical="center"/>
    </xf>
    <xf numFmtId="170" fontId="45" fillId="0" borderId="0" xfId="0" applyNumberFormat="1" applyFont="1" applyAlignment="1">
      <alignment horizontal="right" vertical="center"/>
    </xf>
    <xf numFmtId="179" fontId="21" fillId="0" borderId="0" xfId="0" applyNumberFormat="1" applyFont="1" applyAlignment="1">
      <alignment vertical="center"/>
    </xf>
    <xf numFmtId="177" fontId="21" fillId="0" borderId="0" xfId="0" applyNumberFormat="1" applyFont="1" applyAlignment="1">
      <alignment vertical="center"/>
    </xf>
    <xf numFmtId="0" fontId="58" fillId="0" borderId="11" xfId="0" applyFont="1" applyBorder="1" applyAlignment="1">
      <alignment horizontal="left" vertical="center"/>
    </xf>
    <xf numFmtId="0" fontId="37" fillId="0" borderId="11" xfId="0" applyFont="1" applyBorder="1" applyAlignment="1">
      <alignment vertical="center"/>
    </xf>
    <xf numFmtId="0" fontId="14" fillId="0" borderId="11" xfId="0" applyFont="1" applyBorder="1" applyAlignment="1">
      <alignment vertical="center"/>
    </xf>
    <xf numFmtId="0" fontId="38" fillId="0" borderId="11" xfId="0" applyFont="1" applyBorder="1" applyAlignment="1">
      <alignment vertical="center"/>
    </xf>
    <xf numFmtId="176" fontId="38" fillId="0" borderId="11" xfId="0" applyNumberFormat="1" applyFont="1" applyBorder="1" applyAlignment="1">
      <alignment vertical="center"/>
    </xf>
    <xf numFmtId="179" fontId="38" fillId="4" borderId="0" xfId="0" applyNumberFormat="1" applyFont="1" applyFill="1" applyAlignment="1">
      <alignment vertical="center"/>
    </xf>
    <xf numFmtId="179" fontId="38" fillId="4" borderId="4" xfId="0" applyNumberFormat="1" applyFont="1" applyFill="1" applyBorder="1" applyAlignment="1">
      <alignment vertical="center"/>
    </xf>
    <xf numFmtId="0" fontId="40" fillId="0" borderId="0" xfId="0" applyFont="1" applyAlignment="1">
      <alignment horizontal="left" vertical="center"/>
    </xf>
    <xf numFmtId="176" fontId="38" fillId="0" borderId="11" xfId="0" applyNumberFormat="1" applyFont="1" applyBorder="1" applyAlignment="1">
      <alignment horizontal="right" vertical="center"/>
    </xf>
    <xf numFmtId="0" fontId="38" fillId="0" borderId="11" xfId="0" applyFont="1" applyBorder="1" applyAlignment="1">
      <alignment horizontal="right" vertical="center"/>
    </xf>
    <xf numFmtId="166" fontId="38" fillId="5" borderId="0" xfId="0" applyNumberFormat="1" applyFont="1" applyFill="1" applyAlignment="1">
      <alignment horizontal="right" vertical="center"/>
    </xf>
    <xf numFmtId="179" fontId="38" fillId="4" borderId="4" xfId="0" applyNumberFormat="1" applyFont="1" applyFill="1" applyBorder="1" applyAlignment="1">
      <alignment horizontal="right" vertical="center"/>
    </xf>
    <xf numFmtId="178" fontId="38" fillId="0" borderId="0" xfId="0" applyNumberFormat="1" applyFont="1" applyAlignment="1">
      <alignment vertical="center"/>
    </xf>
    <xf numFmtId="178" fontId="38" fillId="4" borderId="0" xfId="0" applyNumberFormat="1" applyFont="1" applyFill="1" applyAlignment="1">
      <alignment vertical="center"/>
    </xf>
    <xf numFmtId="170" fontId="38" fillId="4" borderId="0" xfId="0" applyNumberFormat="1" applyFont="1" applyFill="1" applyAlignment="1">
      <alignment horizontal="right" vertical="center"/>
    </xf>
    <xf numFmtId="170" fontId="38" fillId="5" borderId="0" xfId="0" applyNumberFormat="1" applyFont="1" applyFill="1" applyAlignment="1">
      <alignment horizontal="right" vertical="center"/>
    </xf>
    <xf numFmtId="177" fontId="38" fillId="4" borderId="4" xfId="0" applyNumberFormat="1" applyFont="1" applyFill="1" applyBorder="1" applyAlignment="1">
      <alignment vertical="center"/>
    </xf>
    <xf numFmtId="177" fontId="38" fillId="4" borderId="4" xfId="0" applyNumberFormat="1" applyFont="1" applyFill="1" applyBorder="1" applyAlignment="1">
      <alignment horizontal="right" vertical="center"/>
    </xf>
    <xf numFmtId="0" fontId="20" fillId="2" borderId="7" xfId="0" applyFont="1" applyFill="1" applyBorder="1" applyAlignment="1">
      <alignment horizontal="right" vertical="center"/>
    </xf>
    <xf numFmtId="0" fontId="59" fillId="0" borderId="0" xfId="0" applyFont="1" applyAlignment="1">
      <alignment horizontal="right" vertical="center"/>
    </xf>
    <xf numFmtId="0" fontId="59" fillId="0" borderId="0" xfId="0" applyFont="1" applyAlignment="1">
      <alignment horizontal="centerContinuous" vertical="center"/>
    </xf>
    <xf numFmtId="0" fontId="14" fillId="0" borderId="0" xfId="0" applyFont="1" applyAlignment="1">
      <alignment horizontal="centerContinuous" vertical="center"/>
    </xf>
    <xf numFmtId="181" fontId="54" fillId="4" borderId="0" xfId="0" applyNumberFormat="1" applyFont="1" applyFill="1" applyAlignment="1">
      <alignment vertical="center"/>
    </xf>
    <xf numFmtId="0" fontId="21" fillId="0" borderId="0" xfId="0" applyFont="1" applyAlignment="1">
      <alignment horizontal="center" vertical="center"/>
    </xf>
    <xf numFmtId="0" fontId="60" fillId="0" borderId="0" xfId="0" applyFont="1" applyAlignment="1">
      <alignment horizontal="center" vertical="center"/>
    </xf>
    <xf numFmtId="0" fontId="21" fillId="0" borderId="3" xfId="0" applyFont="1" applyBorder="1" applyAlignment="1">
      <alignment horizontal="center" vertical="center"/>
    </xf>
    <xf numFmtId="0" fontId="60" fillId="0" borderId="3" xfId="0" applyFont="1" applyBorder="1" applyAlignment="1">
      <alignment horizontal="center" vertical="center"/>
    </xf>
    <xf numFmtId="0" fontId="34" fillId="0" borderId="3" xfId="0" applyFont="1" applyBorder="1" applyAlignment="1">
      <alignment horizontal="center" vertical="center"/>
    </xf>
    <xf numFmtId="0" fontId="34" fillId="0" borderId="3" xfId="0" applyFont="1" applyBorder="1" applyAlignment="1">
      <alignment horizontal="right" vertical="center"/>
    </xf>
    <xf numFmtId="176" fontId="14" fillId="0" borderId="0" xfId="0" applyNumberFormat="1" applyFont="1" applyAlignment="1">
      <alignment vertical="center"/>
    </xf>
    <xf numFmtId="186" fontId="45" fillId="4" borderId="0" xfId="0" applyNumberFormat="1" applyFont="1" applyFill="1" applyAlignment="1">
      <alignment horizontal="right" vertical="center"/>
    </xf>
    <xf numFmtId="185" fontId="54" fillId="4" borderId="0" xfId="0" applyNumberFormat="1" applyFont="1" applyFill="1" applyAlignment="1">
      <alignment horizontal="right" vertical="center"/>
    </xf>
    <xf numFmtId="185" fontId="41" fillId="4" borderId="0" xfId="0" applyNumberFormat="1" applyFont="1" applyFill="1" applyAlignment="1">
      <alignment horizontal="right" vertical="center"/>
    </xf>
    <xf numFmtId="181" fontId="54" fillId="4" borderId="0" xfId="0" applyNumberFormat="1" applyFont="1" applyFill="1" applyAlignment="1">
      <alignment horizontal="right" vertical="center"/>
    </xf>
    <xf numFmtId="170" fontId="14" fillId="0" borderId="0" xfId="0" applyNumberFormat="1" applyFont="1" applyAlignment="1">
      <alignment vertical="center"/>
    </xf>
    <xf numFmtId="166" fontId="38" fillId="4" borderId="4" xfId="0" applyNumberFormat="1" applyFont="1" applyFill="1" applyBorder="1" applyAlignment="1">
      <alignment vertical="center"/>
    </xf>
    <xf numFmtId="170" fontId="21" fillId="0" borderId="4" xfId="0" applyNumberFormat="1" applyFont="1" applyBorder="1" applyAlignment="1">
      <alignment vertical="center"/>
    </xf>
    <xf numFmtId="179" fontId="21" fillId="4" borderId="4" xfId="0" applyNumberFormat="1" applyFont="1" applyFill="1" applyBorder="1" applyAlignment="1">
      <alignment vertical="center"/>
    </xf>
    <xf numFmtId="179" fontId="21" fillId="4" borderId="10" xfId="0" applyNumberFormat="1" applyFont="1" applyFill="1" applyBorder="1" applyAlignment="1">
      <alignment vertical="center"/>
    </xf>
    <xf numFmtId="172" fontId="21" fillId="4" borderId="0" xfId="0" applyNumberFormat="1" applyFont="1" applyFill="1" applyAlignment="1">
      <alignment horizontal="center" vertical="center"/>
    </xf>
    <xf numFmtId="0" fontId="38" fillId="4" borderId="0" xfId="0" applyFont="1" applyFill="1" applyAlignment="1">
      <alignment vertical="center"/>
    </xf>
    <xf numFmtId="177" fontId="38" fillId="0" borderId="4" xfId="0" applyNumberFormat="1" applyFont="1" applyBorder="1" applyAlignment="1">
      <alignment vertical="center"/>
    </xf>
    <xf numFmtId="0" fontId="36" fillId="0" borderId="0" xfId="0" applyFont="1" applyAlignment="1">
      <alignment horizontal="left" vertical="center"/>
    </xf>
    <xf numFmtId="171" fontId="34" fillId="0" borderId="0" xfId="0" applyNumberFormat="1" applyFont="1" applyAlignment="1">
      <alignment horizontal="center" vertical="center"/>
    </xf>
    <xf numFmtId="179" fontId="38" fillId="0" borderId="4" xfId="0" applyNumberFormat="1" applyFont="1" applyBorder="1" applyAlignment="1">
      <alignment vertical="center"/>
    </xf>
    <xf numFmtId="179" fontId="38" fillId="0" borderId="4" xfId="0" applyNumberFormat="1" applyFont="1" applyBorder="1" applyAlignment="1">
      <alignment horizontal="right" vertical="center"/>
    </xf>
    <xf numFmtId="177" fontId="38" fillId="0" borderId="4" xfId="0" applyNumberFormat="1" applyFont="1" applyBorder="1" applyAlignment="1">
      <alignment horizontal="right" vertical="center"/>
    </xf>
    <xf numFmtId="181" fontId="54" fillId="0" borderId="0" xfId="0" applyNumberFormat="1" applyFont="1" applyAlignment="1">
      <alignment vertical="center"/>
    </xf>
    <xf numFmtId="186" fontId="45" fillId="0" borderId="0" xfId="0" applyNumberFormat="1" applyFont="1" applyAlignment="1">
      <alignment horizontal="right" vertical="center"/>
    </xf>
    <xf numFmtId="185" fontId="54" fillId="0" borderId="0" xfId="0" applyNumberFormat="1" applyFont="1" applyAlignment="1">
      <alignment horizontal="right" vertical="center"/>
    </xf>
    <xf numFmtId="185" fontId="41" fillId="0" borderId="0" xfId="0" applyNumberFormat="1" applyFont="1" applyAlignment="1">
      <alignment horizontal="right" vertical="center"/>
    </xf>
    <xf numFmtId="181" fontId="54" fillId="0" borderId="0" xfId="0" applyNumberFormat="1" applyFont="1" applyAlignment="1">
      <alignment horizontal="right" vertical="center"/>
    </xf>
    <xf numFmtId="172" fontId="21" fillId="0" borderId="0" xfId="0" applyNumberFormat="1" applyFont="1" applyAlignment="1">
      <alignment horizontal="center" vertical="center"/>
    </xf>
    <xf numFmtId="10" fontId="41" fillId="4" borderId="0" xfId="0" applyNumberFormat="1" applyFont="1" applyFill="1" applyAlignment="1">
      <alignment vertical="center"/>
    </xf>
    <xf numFmtId="10" fontId="54" fillId="4" borderId="0" xfId="0" applyNumberFormat="1" applyFont="1" applyFill="1" applyAlignment="1">
      <alignment vertical="center"/>
    </xf>
  </cellXfs>
  <cellStyles count="3">
    <cellStyle name="Normal" xfId="0" builtinId="0"/>
    <cellStyle name="Normal 10 2" xfId="1" xr:uid="{72F8DEEC-2B71-4EE8-BD43-13F79DC7B708}"/>
    <cellStyle name="Normal 5 2" xfId="2" xr:uid="{0E6D6010-9EC5-49A6-AAD7-94F09F30B2AE}"/>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12</xdr:col>
      <xdr:colOff>480391</xdr:colOff>
      <xdr:row>5</xdr:row>
      <xdr:rowOff>165651</xdr:rowOff>
    </xdr:from>
    <xdr:to>
      <xdr:col>21</xdr:col>
      <xdr:colOff>461759</xdr:colOff>
      <xdr:row>37</xdr:row>
      <xdr:rowOff>66260</xdr:rowOff>
    </xdr:to>
    <xdr:sp macro="" textlink="">
      <xdr:nvSpPr>
        <xdr:cNvPr id="2" name="TextBox 14">
          <a:extLst>
            <a:ext uri="{FF2B5EF4-FFF2-40B4-BE49-F238E27FC236}">
              <a16:creationId xmlns:a16="http://schemas.microsoft.com/office/drawing/2014/main" id="{887A9F52-D4C3-450B-9DE3-B1F7A5A3384F}"/>
            </a:ext>
          </a:extLst>
        </xdr:cNvPr>
        <xdr:cNvSpPr txBox="1"/>
      </xdr:nvSpPr>
      <xdr:spPr>
        <a:xfrm>
          <a:off x="9281491" y="1118151"/>
          <a:ext cx="5467768" cy="5148884"/>
        </a:xfrm>
        <a:prstGeom prst="rect">
          <a:avLst/>
        </a:prstGeom>
        <a:solidFill>
          <a:srgbClr val="416D89"/>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Once upon a midnight dreary as I pondered weak and weary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Over many a quaint and curious volume of accounting lore,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Seeking gimmicks (without scruple) to squeeze through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Some new tax loophole,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Suddenly I heard a knock upon my door,</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Only this, and nothing more.</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Then I felt a queasy tingling and I heard the cash a-jingling</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As a fearsome banker entered whom I’d often seen before.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His face was money-green and in his eyes there could be seen</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Dollar-signs that seemed to glitter as he reckoned up the score.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“Cash flow,” the banker said, and nothing more.</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I had always thought it fine to show a jet black bottom line.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the banker sounded a resounding, “No.</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Your receivables are high, mounting upward toward the sky;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Write-offs loom.  What matters is cash flow.”</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repeated, “Watch cash flow.”</a:t>
          </a:r>
        </a:p>
      </xdr:txBody>
    </xdr:sp>
    <xdr:clientData/>
  </xdr:twoCellAnchor>
  <xdr:twoCellAnchor>
    <xdr:from>
      <xdr:col>22</xdr:col>
      <xdr:colOff>0</xdr:colOff>
      <xdr:row>5</xdr:row>
      <xdr:rowOff>173933</xdr:rowOff>
    </xdr:from>
    <xdr:to>
      <xdr:col>30</xdr:col>
      <xdr:colOff>594281</xdr:colOff>
      <xdr:row>37</xdr:row>
      <xdr:rowOff>91108</xdr:rowOff>
    </xdr:to>
    <xdr:sp macro="" textlink="">
      <xdr:nvSpPr>
        <xdr:cNvPr id="3" name="TextBox 10">
          <a:extLst>
            <a:ext uri="{FF2B5EF4-FFF2-40B4-BE49-F238E27FC236}">
              <a16:creationId xmlns:a16="http://schemas.microsoft.com/office/drawing/2014/main" id="{715A4A47-6B7B-40C2-964F-3BB85F444AC1}"/>
            </a:ext>
          </a:extLst>
        </xdr:cNvPr>
        <xdr:cNvSpPr txBox="1"/>
      </xdr:nvSpPr>
      <xdr:spPr>
        <a:xfrm>
          <a:off x="14897100" y="1126433"/>
          <a:ext cx="5471081" cy="5165450"/>
        </a:xfrm>
        <a:prstGeom prst="rect">
          <a:avLst/>
        </a:prstGeom>
        <a:solidFill>
          <a:srgbClr val="416D89"/>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Then I tried to tell the story of our lovely inventory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Which, though large, is full of most delightful stuff.</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the banker saw its growth, and with a might oath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waved his arms and shouted, “Stop!  Enough!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Pay the interest, and don’t give me any guff!”</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Next I looked for noncash items which could add ad infinitum</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To replace the ever-outward flow of cash,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to keep my statement black I’d held depreciation back,</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And my banker said that I’d done something rash.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quivered, and his teeth began to gnash.</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When I asked him for a loan, he responded, with a groan,</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That the interest rate would be just prime plus eight,</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And to guarantee my purity he’d insist on some security—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All my assets plus the scalp upon my pate.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Only this, a standard rate.</a:t>
          </a:r>
        </a:p>
      </xdr:txBody>
    </xdr:sp>
    <xdr:clientData/>
  </xdr:twoCellAnchor>
  <xdr:twoCellAnchor>
    <xdr:from>
      <xdr:col>12</xdr:col>
      <xdr:colOff>488675</xdr:colOff>
      <xdr:row>38</xdr:row>
      <xdr:rowOff>80671</xdr:rowOff>
    </xdr:from>
    <xdr:to>
      <xdr:col>31</xdr:col>
      <xdr:colOff>8284</xdr:colOff>
      <xdr:row>43</xdr:row>
      <xdr:rowOff>91109</xdr:rowOff>
    </xdr:to>
    <xdr:sp macro="" textlink="">
      <xdr:nvSpPr>
        <xdr:cNvPr id="4" name="TextBox 11">
          <a:extLst>
            <a:ext uri="{FF2B5EF4-FFF2-40B4-BE49-F238E27FC236}">
              <a16:creationId xmlns:a16="http://schemas.microsoft.com/office/drawing/2014/main" id="{72275CDA-812A-4277-BCD7-39275D38FA08}"/>
            </a:ext>
          </a:extLst>
        </xdr:cNvPr>
        <xdr:cNvSpPr txBox="1"/>
      </xdr:nvSpPr>
      <xdr:spPr>
        <a:xfrm>
          <a:off x="9289775" y="6452896"/>
          <a:ext cx="11102009" cy="867688"/>
        </a:xfrm>
        <a:prstGeom prst="rect">
          <a:avLst/>
        </a:prstGeom>
        <a:solidFill>
          <a:srgbClr val="002447"/>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Bef>
              <a:spcPts val="1125"/>
            </a:spcBef>
            <a:spcAft>
              <a:spcPts val="1125"/>
            </a:spcAft>
          </a:pP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Though my bottom line is black, I am flat upon my back,</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My cash flows out and customers pay slow.</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The growth of my receivables is almost unbelievable:</a:t>
          </a:r>
        </a:p>
      </xdr:txBody>
    </xdr:sp>
    <xdr:clientData/>
  </xdr:twoCellAnchor>
  <xdr:twoCellAnchor>
    <xdr:from>
      <xdr:col>23</xdr:col>
      <xdr:colOff>223639</xdr:colOff>
      <xdr:row>38</xdr:row>
      <xdr:rowOff>88954</xdr:rowOff>
    </xdr:from>
    <xdr:to>
      <xdr:col>30</xdr:col>
      <xdr:colOff>604635</xdr:colOff>
      <xdr:row>43</xdr:row>
      <xdr:rowOff>45083</xdr:rowOff>
    </xdr:to>
    <xdr:sp macro="" textlink="">
      <xdr:nvSpPr>
        <xdr:cNvPr id="5" name="TextBox 16">
          <a:extLst>
            <a:ext uri="{FF2B5EF4-FFF2-40B4-BE49-F238E27FC236}">
              <a16:creationId xmlns:a16="http://schemas.microsoft.com/office/drawing/2014/main" id="{D0845A86-247F-4775-B6A8-0290980DCCE9}"/>
            </a:ext>
          </a:extLst>
        </xdr:cNvPr>
        <xdr:cNvSpPr txBox="1"/>
      </xdr:nvSpPr>
      <xdr:spPr>
        <a:xfrm>
          <a:off x="15730339" y="6461179"/>
          <a:ext cx="4648196" cy="813379"/>
        </a:xfrm>
        <a:prstGeom prst="rect">
          <a:avLst/>
        </a:prstGeom>
        <a:solidFill>
          <a:srgbClr val="002447"/>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Bef>
              <a:spcPts val="1125"/>
            </a:spcBef>
            <a:spcAft>
              <a:spcPts val="1125"/>
            </a:spcAft>
          </a:pP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The result is certain—unremitting woe!</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And I hear the banker utter an ominous low mutter,</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“Watch cash flow.”</a:t>
          </a:r>
        </a:p>
      </xdr:txBody>
    </xdr:sp>
    <xdr:clientData/>
  </xdr:twoCellAnchor>
  <xdr:twoCellAnchor editAs="oneCell">
    <xdr:from>
      <xdr:col>13</xdr:col>
      <xdr:colOff>455543</xdr:colOff>
      <xdr:row>9</xdr:row>
      <xdr:rowOff>132521</xdr:rowOff>
    </xdr:from>
    <xdr:to>
      <xdr:col>20</xdr:col>
      <xdr:colOff>215545</xdr:colOff>
      <xdr:row>33</xdr:row>
      <xdr:rowOff>124436</xdr:rowOff>
    </xdr:to>
    <xdr:pic>
      <xdr:nvPicPr>
        <xdr:cNvPr id="6" name="Graphic 13" descr="Badge 1 outline">
          <a:extLst>
            <a:ext uri="{FF2B5EF4-FFF2-40B4-BE49-F238E27FC236}">
              <a16:creationId xmlns:a16="http://schemas.microsoft.com/office/drawing/2014/main" id="{0DF1E998-8E61-4777-8294-61B4A443EE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7" name="Graphic 18" descr="Badge outline">
          <a:extLst>
            <a:ext uri="{FF2B5EF4-FFF2-40B4-BE49-F238E27FC236}">
              <a16:creationId xmlns:a16="http://schemas.microsoft.com/office/drawing/2014/main" id="{D78374A3-172D-4A36-97B6-D60782E566A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94424</xdr:rowOff>
    </xdr:to>
    <xdr:pic>
      <xdr:nvPicPr>
        <xdr:cNvPr id="8" name="Graphic 20" descr="Badge 3 outline">
          <a:extLst>
            <a:ext uri="{FF2B5EF4-FFF2-40B4-BE49-F238E27FC236}">
              <a16:creationId xmlns:a16="http://schemas.microsoft.com/office/drawing/2014/main" id="{D315886D-8E62-432E-9658-D0025F247FC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19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480391</xdr:colOff>
      <xdr:row>5</xdr:row>
      <xdr:rowOff>165651</xdr:rowOff>
    </xdr:from>
    <xdr:to>
      <xdr:col>21</xdr:col>
      <xdr:colOff>461759</xdr:colOff>
      <xdr:row>37</xdr:row>
      <xdr:rowOff>66260</xdr:rowOff>
    </xdr:to>
    <xdr:sp macro="" textlink="">
      <xdr:nvSpPr>
        <xdr:cNvPr id="2" name="TextBox 14">
          <a:extLst>
            <a:ext uri="{FF2B5EF4-FFF2-40B4-BE49-F238E27FC236}">
              <a16:creationId xmlns:a16="http://schemas.microsoft.com/office/drawing/2014/main" id="{E83E8E1F-2B57-474A-820A-89E82BA4D31A}"/>
            </a:ext>
          </a:extLst>
        </xdr:cNvPr>
        <xdr:cNvSpPr txBox="1"/>
      </xdr:nvSpPr>
      <xdr:spPr>
        <a:xfrm>
          <a:off x="9281491" y="1118151"/>
          <a:ext cx="5467768" cy="5148884"/>
        </a:xfrm>
        <a:prstGeom prst="rect">
          <a:avLst/>
        </a:prstGeom>
        <a:solidFill>
          <a:srgbClr val="416D89"/>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Once upon a midnight dreary as I pondered weak and weary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Over many a quaint and curious volume of accounting lore,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Seeking gimmicks (without scruple) to squeeze through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Some new tax loophole,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Suddenly I heard a knock upon my door,</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Only this, and nothing more.</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Then I felt a queasy tingling and I heard the cash a-jingling</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As a fearsome banker entered whom I’d often seen before.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His face was money-green and in his eyes there could be seen</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Dollar-signs that seemed to glitter as he reckoned up the score.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“Cash flow,” the banker said, and nothing more.</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I had always thought it fine to show a jet black bottom line.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the banker sounded a resounding, “No.</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Your receivables are high, mounting upward toward the sky;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Write-offs loom.  What matters is cash flow.”</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repeated, “Watch cash flow.”</a:t>
          </a:r>
        </a:p>
      </xdr:txBody>
    </xdr:sp>
    <xdr:clientData/>
  </xdr:twoCellAnchor>
  <xdr:twoCellAnchor>
    <xdr:from>
      <xdr:col>22</xdr:col>
      <xdr:colOff>0</xdr:colOff>
      <xdr:row>5</xdr:row>
      <xdr:rowOff>173933</xdr:rowOff>
    </xdr:from>
    <xdr:to>
      <xdr:col>30</xdr:col>
      <xdr:colOff>594281</xdr:colOff>
      <xdr:row>37</xdr:row>
      <xdr:rowOff>91108</xdr:rowOff>
    </xdr:to>
    <xdr:sp macro="" textlink="">
      <xdr:nvSpPr>
        <xdr:cNvPr id="3" name="TextBox 10">
          <a:extLst>
            <a:ext uri="{FF2B5EF4-FFF2-40B4-BE49-F238E27FC236}">
              <a16:creationId xmlns:a16="http://schemas.microsoft.com/office/drawing/2014/main" id="{C9455443-BDE4-4191-9083-1BB4B994ACE7}"/>
            </a:ext>
          </a:extLst>
        </xdr:cNvPr>
        <xdr:cNvSpPr txBox="1"/>
      </xdr:nvSpPr>
      <xdr:spPr>
        <a:xfrm>
          <a:off x="14897100" y="1126433"/>
          <a:ext cx="5471081" cy="5165450"/>
        </a:xfrm>
        <a:prstGeom prst="rect">
          <a:avLst/>
        </a:prstGeom>
        <a:solidFill>
          <a:srgbClr val="416D89"/>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Then I tried to tell the story of our lovely inventory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Which, though large, is full of most delightful stuff.</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the banker saw its growth, and with a might oath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waved his arms and shouted, “Stop!  Enough!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Pay the interest, and don’t give me any guff!”</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Next I looked for noncash items which could add ad infinitum</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To replace the ever-outward flow of cash,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to keep my statement black I’d held depreciation back,</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And my banker said that I’d done something rash.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quivered, and his teeth began to gnash.</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When I asked him for a loan, he responded, with a groan,</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That the interest rate would be just prime plus eight,</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And to guarantee my purity he’d insist on some security—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All my assets plus the scalp upon my pate.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Only this, a standard rate.</a:t>
          </a:r>
        </a:p>
      </xdr:txBody>
    </xdr:sp>
    <xdr:clientData/>
  </xdr:twoCellAnchor>
  <xdr:twoCellAnchor>
    <xdr:from>
      <xdr:col>12</xdr:col>
      <xdr:colOff>488675</xdr:colOff>
      <xdr:row>38</xdr:row>
      <xdr:rowOff>80671</xdr:rowOff>
    </xdr:from>
    <xdr:to>
      <xdr:col>31</xdr:col>
      <xdr:colOff>8284</xdr:colOff>
      <xdr:row>43</xdr:row>
      <xdr:rowOff>91109</xdr:rowOff>
    </xdr:to>
    <xdr:sp macro="" textlink="">
      <xdr:nvSpPr>
        <xdr:cNvPr id="4" name="TextBox 11">
          <a:extLst>
            <a:ext uri="{FF2B5EF4-FFF2-40B4-BE49-F238E27FC236}">
              <a16:creationId xmlns:a16="http://schemas.microsoft.com/office/drawing/2014/main" id="{BCDAC16A-E8DC-4E0B-B1B5-45B0AECBFA25}"/>
            </a:ext>
          </a:extLst>
        </xdr:cNvPr>
        <xdr:cNvSpPr txBox="1"/>
      </xdr:nvSpPr>
      <xdr:spPr>
        <a:xfrm>
          <a:off x="9289775" y="6452896"/>
          <a:ext cx="11102009" cy="867688"/>
        </a:xfrm>
        <a:prstGeom prst="rect">
          <a:avLst/>
        </a:prstGeom>
        <a:solidFill>
          <a:srgbClr val="002447"/>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Bef>
              <a:spcPts val="1125"/>
            </a:spcBef>
            <a:spcAft>
              <a:spcPts val="1125"/>
            </a:spcAft>
          </a:pP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Though my bottom line is black, I am flat upon my back,</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My cash flows out and customers pay slow.</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The growth of my receivables is almost unbelievable:</a:t>
          </a:r>
        </a:p>
      </xdr:txBody>
    </xdr:sp>
    <xdr:clientData/>
  </xdr:twoCellAnchor>
  <xdr:twoCellAnchor>
    <xdr:from>
      <xdr:col>23</xdr:col>
      <xdr:colOff>223639</xdr:colOff>
      <xdr:row>38</xdr:row>
      <xdr:rowOff>88954</xdr:rowOff>
    </xdr:from>
    <xdr:to>
      <xdr:col>30</xdr:col>
      <xdr:colOff>604635</xdr:colOff>
      <xdr:row>43</xdr:row>
      <xdr:rowOff>45083</xdr:rowOff>
    </xdr:to>
    <xdr:sp macro="" textlink="">
      <xdr:nvSpPr>
        <xdr:cNvPr id="5" name="TextBox 16">
          <a:extLst>
            <a:ext uri="{FF2B5EF4-FFF2-40B4-BE49-F238E27FC236}">
              <a16:creationId xmlns:a16="http://schemas.microsoft.com/office/drawing/2014/main" id="{40EAC733-F73D-49FF-BA1F-9A8647780187}"/>
            </a:ext>
          </a:extLst>
        </xdr:cNvPr>
        <xdr:cNvSpPr txBox="1"/>
      </xdr:nvSpPr>
      <xdr:spPr>
        <a:xfrm>
          <a:off x="15730339" y="6461179"/>
          <a:ext cx="4648196" cy="813379"/>
        </a:xfrm>
        <a:prstGeom prst="rect">
          <a:avLst/>
        </a:prstGeom>
        <a:solidFill>
          <a:srgbClr val="002447"/>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Bef>
              <a:spcPts val="1125"/>
            </a:spcBef>
            <a:spcAft>
              <a:spcPts val="1125"/>
            </a:spcAft>
          </a:pP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The result is certain—unremitting woe!</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And I hear the banker utter an ominous low mutter,</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“Watch cash flow.”</a:t>
          </a:r>
        </a:p>
      </xdr:txBody>
    </xdr:sp>
    <xdr:clientData/>
  </xdr:twoCellAnchor>
  <xdr:twoCellAnchor editAs="oneCell">
    <xdr:from>
      <xdr:col>13</xdr:col>
      <xdr:colOff>455543</xdr:colOff>
      <xdr:row>9</xdr:row>
      <xdr:rowOff>132521</xdr:rowOff>
    </xdr:from>
    <xdr:to>
      <xdr:col>20</xdr:col>
      <xdr:colOff>215545</xdr:colOff>
      <xdr:row>33</xdr:row>
      <xdr:rowOff>124436</xdr:rowOff>
    </xdr:to>
    <xdr:pic>
      <xdr:nvPicPr>
        <xdr:cNvPr id="6" name="Graphic 13" descr="Badge 1 outline">
          <a:extLst>
            <a:ext uri="{FF2B5EF4-FFF2-40B4-BE49-F238E27FC236}">
              <a16:creationId xmlns:a16="http://schemas.microsoft.com/office/drawing/2014/main" id="{33F46D55-9EDB-4274-A0E2-CB24EA8CFE1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7" name="Graphic 18" descr="Badge outline">
          <a:extLst>
            <a:ext uri="{FF2B5EF4-FFF2-40B4-BE49-F238E27FC236}">
              <a16:creationId xmlns:a16="http://schemas.microsoft.com/office/drawing/2014/main" id="{02BF79D0-5ABE-46EA-9A10-9EFE8F842BE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94424</xdr:rowOff>
    </xdr:to>
    <xdr:pic>
      <xdr:nvPicPr>
        <xdr:cNvPr id="8" name="Graphic 20" descr="Badge 3 outline">
          <a:extLst>
            <a:ext uri="{FF2B5EF4-FFF2-40B4-BE49-F238E27FC236}">
              <a16:creationId xmlns:a16="http://schemas.microsoft.com/office/drawing/2014/main" id="{6E8DC76D-B89E-48DA-8F12-8CFF2F7159A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19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455543</xdr:colOff>
      <xdr:row>9</xdr:row>
      <xdr:rowOff>132521</xdr:rowOff>
    </xdr:from>
    <xdr:to>
      <xdr:col>20</xdr:col>
      <xdr:colOff>215545</xdr:colOff>
      <xdr:row>33</xdr:row>
      <xdr:rowOff>124436</xdr:rowOff>
    </xdr:to>
    <xdr:pic>
      <xdr:nvPicPr>
        <xdr:cNvPr id="2" name="Graphic 13" descr="Badge 1 outline">
          <a:extLst>
            <a:ext uri="{FF2B5EF4-FFF2-40B4-BE49-F238E27FC236}">
              <a16:creationId xmlns:a16="http://schemas.microsoft.com/office/drawing/2014/main" id="{109AF180-6C0A-43FF-858E-EBE381E7387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3" name="Graphic 18" descr="Badge outline">
          <a:extLst>
            <a:ext uri="{FF2B5EF4-FFF2-40B4-BE49-F238E27FC236}">
              <a16:creationId xmlns:a16="http://schemas.microsoft.com/office/drawing/2014/main" id="{2E3E76AB-1834-4D7B-ACAD-A52AE8E3451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94424</xdr:rowOff>
    </xdr:to>
    <xdr:pic>
      <xdr:nvPicPr>
        <xdr:cNvPr id="4" name="Graphic 20" descr="Badge 3 outline">
          <a:extLst>
            <a:ext uri="{FF2B5EF4-FFF2-40B4-BE49-F238E27FC236}">
              <a16:creationId xmlns:a16="http://schemas.microsoft.com/office/drawing/2014/main" id="{720B53E0-1548-49D2-B5DA-CC6E0521764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19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455543</xdr:colOff>
      <xdr:row>9</xdr:row>
      <xdr:rowOff>132521</xdr:rowOff>
    </xdr:from>
    <xdr:to>
      <xdr:col>20</xdr:col>
      <xdr:colOff>215545</xdr:colOff>
      <xdr:row>33</xdr:row>
      <xdr:rowOff>124436</xdr:rowOff>
    </xdr:to>
    <xdr:pic>
      <xdr:nvPicPr>
        <xdr:cNvPr id="2" name="Graphic 13" descr="Badge 1 outline">
          <a:extLst>
            <a:ext uri="{FF2B5EF4-FFF2-40B4-BE49-F238E27FC236}">
              <a16:creationId xmlns:a16="http://schemas.microsoft.com/office/drawing/2014/main" id="{2355F946-D288-4CB9-973B-8A49634D5E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3" name="Graphic 18" descr="Badge outline">
          <a:extLst>
            <a:ext uri="{FF2B5EF4-FFF2-40B4-BE49-F238E27FC236}">
              <a16:creationId xmlns:a16="http://schemas.microsoft.com/office/drawing/2014/main" id="{C2B3D1A3-C580-4D6C-AF25-B1215A38C3F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94424</xdr:rowOff>
    </xdr:to>
    <xdr:pic>
      <xdr:nvPicPr>
        <xdr:cNvPr id="4" name="Graphic 20" descr="Badge 3 outline">
          <a:extLst>
            <a:ext uri="{FF2B5EF4-FFF2-40B4-BE49-F238E27FC236}">
              <a16:creationId xmlns:a16="http://schemas.microsoft.com/office/drawing/2014/main" id="{67BD5259-08AF-4D9D-8DC1-680B5CBD118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19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455543</xdr:colOff>
      <xdr:row>9</xdr:row>
      <xdr:rowOff>132521</xdr:rowOff>
    </xdr:from>
    <xdr:to>
      <xdr:col>20</xdr:col>
      <xdr:colOff>215545</xdr:colOff>
      <xdr:row>33</xdr:row>
      <xdr:rowOff>124436</xdr:rowOff>
    </xdr:to>
    <xdr:pic>
      <xdr:nvPicPr>
        <xdr:cNvPr id="2" name="Graphic 13" descr="Badge 1 outline">
          <a:extLst>
            <a:ext uri="{FF2B5EF4-FFF2-40B4-BE49-F238E27FC236}">
              <a16:creationId xmlns:a16="http://schemas.microsoft.com/office/drawing/2014/main" id="{69609FA5-8618-45F8-A571-1896312629F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3" name="Graphic 18" descr="Badge outline">
          <a:extLst>
            <a:ext uri="{FF2B5EF4-FFF2-40B4-BE49-F238E27FC236}">
              <a16:creationId xmlns:a16="http://schemas.microsoft.com/office/drawing/2014/main" id="{9C112EC7-0D82-4104-B8E5-8AAD20FE7DE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94424</xdr:rowOff>
    </xdr:to>
    <xdr:pic>
      <xdr:nvPicPr>
        <xdr:cNvPr id="4" name="Graphic 20" descr="Badge 3 outline">
          <a:extLst>
            <a:ext uri="{FF2B5EF4-FFF2-40B4-BE49-F238E27FC236}">
              <a16:creationId xmlns:a16="http://schemas.microsoft.com/office/drawing/2014/main" id="{C0535C31-54FB-442C-8654-A213BD06813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197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455543</xdr:colOff>
      <xdr:row>9</xdr:row>
      <xdr:rowOff>132521</xdr:rowOff>
    </xdr:from>
    <xdr:to>
      <xdr:col>20</xdr:col>
      <xdr:colOff>215545</xdr:colOff>
      <xdr:row>33</xdr:row>
      <xdr:rowOff>124436</xdr:rowOff>
    </xdr:to>
    <xdr:pic>
      <xdr:nvPicPr>
        <xdr:cNvPr id="2" name="Graphic 13" descr="Badge 1 outline">
          <a:extLst>
            <a:ext uri="{FF2B5EF4-FFF2-40B4-BE49-F238E27FC236}">
              <a16:creationId xmlns:a16="http://schemas.microsoft.com/office/drawing/2014/main" id="{2229B430-BA6A-41F2-ABAB-1390F47819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3" name="Graphic 18" descr="Badge outline">
          <a:extLst>
            <a:ext uri="{FF2B5EF4-FFF2-40B4-BE49-F238E27FC236}">
              <a16:creationId xmlns:a16="http://schemas.microsoft.com/office/drawing/2014/main" id="{BBE938AF-E9BF-49E4-9B36-A4D942EE309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94424</xdr:rowOff>
    </xdr:to>
    <xdr:pic>
      <xdr:nvPicPr>
        <xdr:cNvPr id="4" name="Graphic 20" descr="Badge 3 outline">
          <a:extLst>
            <a:ext uri="{FF2B5EF4-FFF2-40B4-BE49-F238E27FC236}">
              <a16:creationId xmlns:a16="http://schemas.microsoft.com/office/drawing/2014/main" id="{14D712EC-54BE-4A4F-9454-8EA52D894A5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197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455543</xdr:colOff>
      <xdr:row>9</xdr:row>
      <xdr:rowOff>132521</xdr:rowOff>
    </xdr:from>
    <xdr:to>
      <xdr:col>20</xdr:col>
      <xdr:colOff>215545</xdr:colOff>
      <xdr:row>33</xdr:row>
      <xdr:rowOff>124436</xdr:rowOff>
    </xdr:to>
    <xdr:pic>
      <xdr:nvPicPr>
        <xdr:cNvPr id="2" name="Graphic 13" descr="Badge 1 outline">
          <a:extLst>
            <a:ext uri="{FF2B5EF4-FFF2-40B4-BE49-F238E27FC236}">
              <a16:creationId xmlns:a16="http://schemas.microsoft.com/office/drawing/2014/main" id="{330AD1C6-CD06-461E-92D6-B6D787AD1E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3" name="Graphic 18" descr="Badge outline">
          <a:extLst>
            <a:ext uri="{FF2B5EF4-FFF2-40B4-BE49-F238E27FC236}">
              <a16:creationId xmlns:a16="http://schemas.microsoft.com/office/drawing/2014/main" id="{345CAF11-6AA5-4386-BF29-2FA7959397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77859</xdr:rowOff>
    </xdr:to>
    <xdr:pic>
      <xdr:nvPicPr>
        <xdr:cNvPr id="4" name="Graphic 20" descr="Badge 3 outline">
          <a:extLst>
            <a:ext uri="{FF2B5EF4-FFF2-40B4-BE49-F238E27FC236}">
              <a16:creationId xmlns:a16="http://schemas.microsoft.com/office/drawing/2014/main" id="{DA62790C-C444-4181-AC56-8F15081AE32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446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thenape.sharepoint.com/sites/AthenaDocuments/Shared%20Documents/_DOCS/_Teaching%20Content/Model%20Examples/Nine%20Step%20Model%20Valuation%20Build%20-%20VIDEO.xlsx" TargetMode="External"/><Relationship Id="rId1" Type="http://schemas.openxmlformats.org/officeDocument/2006/relationships/externalLinkPath" Target="/sites/AthenaDocuments/Shared%20Documents/_DOCS/_Teaching%20Content/Model%20Examples/Nine%20Step%20Model%20Valuation%20Build%20-%20VIDE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T I - MODEL BUILD &gt;&gt;&gt;"/>
      <sheetName val="Financials from CIP"/>
      <sheetName val="Step 1"/>
      <sheetName val="Step 1 Answer Key"/>
      <sheetName val="Step 2"/>
      <sheetName val="Step 2 Answer Key"/>
      <sheetName val="Step 3"/>
      <sheetName val="Step 3 Answer Key"/>
      <sheetName val="Step 4"/>
      <sheetName val="Step 4 Answer Key"/>
      <sheetName val="Step 5"/>
      <sheetName val="Step 5 Answer Key"/>
      <sheetName val="Step 6"/>
      <sheetName val="Step 6 Answer Key"/>
      <sheetName val="Step 7"/>
      <sheetName val="Step 7 Answer Key"/>
      <sheetName val="Step 8"/>
      <sheetName val="Step 8 Answer Key"/>
      <sheetName val="Step 9"/>
      <sheetName val="Step 9 Answer Key"/>
      <sheetName val="PART II - VALUATION BUILD &gt;&gt;&gt;"/>
      <sheetName val="Step 1 - Replacement Valuation"/>
      <sheetName val="Step 1 - Replacement Answer Key"/>
      <sheetName val="Step 2 - Comps"/>
      <sheetName val="Step 2 - Comps Answer Key"/>
      <sheetName val="Step 3 - DCF"/>
      <sheetName val="Step 3 - DCF Answer Key"/>
      <sheetName val="Step 4 - LBO"/>
      <sheetName val="Step 4 - LBO Answer Key"/>
      <sheetName val="Step 5 - Football Field Answ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B19BC-DD9B-4D57-9654-3FDAD3E08DF1}">
  <sheetPr>
    <tabColor theme="1"/>
  </sheetPr>
  <dimension ref="A1"/>
  <sheetViews>
    <sheetView topLeftCell="XFD1" zoomScaleNormal="100" workbookViewId="0">
      <selection activeCell="C2" sqref="C2"/>
    </sheetView>
  </sheetViews>
  <sheetFormatPr defaultColWidth="0" defaultRowHeight="12.75"/>
  <cols>
    <col min="1" max="16384" width="9.140625" hidden="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8DE9A-0426-44D7-B00D-61E95F7DD0BB}">
  <sheetPr>
    <tabColor rgb="FF005A9F"/>
    <pageSetUpPr fitToPage="1"/>
  </sheetPr>
  <dimension ref="B1:O94"/>
  <sheetViews>
    <sheetView showGridLines="0" view="pageBreakPreview" zoomScaleNormal="85" zoomScaleSheetLayoutView="100" workbookViewId="0">
      <pane xSplit="3" ySplit="10" topLeftCell="D11" activePane="bottomRight" state="frozen"/>
      <selection activeCell="C2" sqref="C2"/>
      <selection pane="topRight" activeCell="C2" sqref="C2"/>
      <selection pane="bottomLeft" activeCell="C2" sqref="C2"/>
      <selection pane="bottomRight" activeCell="B3" sqref="B3"/>
    </sheetView>
  </sheetViews>
  <sheetFormatPr defaultRowHeight="16.5" outlineLevelRow="1"/>
  <cols>
    <col min="1" max="1" width="9.140625" style="2"/>
    <col min="2" max="2" width="47" style="2" customWidth="1"/>
    <col min="3" max="3" width="3" style="2" customWidth="1"/>
    <col min="4" max="4" width="14.5703125" style="2" bestFit="1" customWidth="1"/>
    <col min="5" max="5" width="12.85546875" style="2" bestFit="1" customWidth="1"/>
    <col min="6" max="6" width="3" style="2" customWidth="1"/>
    <col min="7" max="7" width="2.85546875" style="2" customWidth="1"/>
    <col min="8" max="8" width="9.140625" style="2"/>
    <col min="9" max="9" width="12.5703125" style="2" bestFit="1" customWidth="1"/>
    <col min="10" max="10" width="18.5703125" style="2" bestFit="1" customWidth="1"/>
    <col min="11" max="11" width="12.5703125" style="2" bestFit="1" customWidth="1"/>
    <col min="12" max="12" width="9.140625" style="2"/>
    <col min="13" max="13" width="12.5703125" style="2" bestFit="1" customWidth="1"/>
    <col min="14" max="16384" width="9.140625" style="2"/>
  </cols>
  <sheetData>
    <row r="1" spans="2:11">
      <c r="B1" s="1"/>
    </row>
    <row r="3" spans="2:11">
      <c r="B3" s="3" t="s">
        <v>0</v>
      </c>
      <c r="C3" s="3"/>
      <c r="D3" s="3"/>
      <c r="E3" s="3"/>
      <c r="F3" s="3"/>
    </row>
    <row r="4" spans="2:11">
      <c r="B4" s="3" t="s">
        <v>1</v>
      </c>
      <c r="C4" s="3"/>
      <c r="D4" s="3"/>
      <c r="E4" s="3"/>
      <c r="F4" s="3"/>
    </row>
    <row r="5" spans="2:11">
      <c r="B5" s="4" t="s">
        <v>2</v>
      </c>
      <c r="C5" s="4"/>
      <c r="D5" s="4"/>
      <c r="E5" s="4"/>
      <c r="F5" s="4"/>
    </row>
    <row r="7" spans="2:11">
      <c r="B7" s="5" t="s">
        <v>3</v>
      </c>
      <c r="C7" s="6"/>
      <c r="D7" s="6"/>
      <c r="E7" s="6"/>
      <c r="F7" s="6"/>
      <c r="H7" s="7"/>
      <c r="I7" s="7"/>
      <c r="J7" s="7"/>
      <c r="K7" s="7"/>
    </row>
    <row r="8" spans="2:11">
      <c r="H8" s="7"/>
      <c r="I8" s="7"/>
      <c r="J8" s="7"/>
      <c r="K8" s="7"/>
    </row>
    <row r="9" spans="2:11">
      <c r="D9" s="8" t="s">
        <v>4</v>
      </c>
      <c r="E9" s="8" t="s">
        <v>4</v>
      </c>
    </row>
    <row r="10" spans="2:11">
      <c r="D10" s="8">
        <v>2023</v>
      </c>
      <c r="E10" s="8">
        <v>2024</v>
      </c>
      <c r="F10" s="9"/>
    </row>
    <row r="11" spans="2:11">
      <c r="B11" s="10" t="s">
        <v>5</v>
      </c>
      <c r="D11" s="11">
        <v>67988.161999999997</v>
      </c>
      <c r="E11" s="11">
        <v>74320.331999999995</v>
      </c>
      <c r="I11" s="12"/>
      <c r="J11" s="12"/>
      <c r="K11" s="12"/>
    </row>
    <row r="12" spans="2:11">
      <c r="B12" s="10" t="s">
        <v>6</v>
      </c>
      <c r="D12" s="11">
        <v>10577.513999999999</v>
      </c>
      <c r="E12" s="11">
        <v>16293.675999999999</v>
      </c>
      <c r="I12" s="12"/>
      <c r="J12" s="12"/>
      <c r="K12" s="12"/>
    </row>
    <row r="13" spans="2:11">
      <c r="B13" s="13" t="s">
        <v>7</v>
      </c>
      <c r="C13" s="14"/>
      <c r="D13" s="15">
        <f>+SUM(D11:D12)</f>
        <v>78565.675999999992</v>
      </c>
      <c r="E13" s="15">
        <f>+SUM(E11:E12)</f>
        <v>90614.008000000002</v>
      </c>
    </row>
    <row r="15" spans="2:11">
      <c r="B15" s="10" t="s">
        <v>8</v>
      </c>
      <c r="D15" s="11">
        <v>41584.93</v>
      </c>
      <c r="E15" s="11">
        <v>49665.089</v>
      </c>
      <c r="I15" s="12"/>
      <c r="J15" s="12"/>
      <c r="K15" s="12"/>
    </row>
    <row r="16" spans="2:11">
      <c r="B16" s="10" t="s">
        <v>9</v>
      </c>
      <c r="D16" s="11">
        <v>8321.4680000000008</v>
      </c>
      <c r="E16" s="11">
        <v>9548.8639999999996</v>
      </c>
      <c r="I16" s="12"/>
      <c r="J16" s="12"/>
      <c r="K16" s="12"/>
    </row>
    <row r="17" spans="2:15">
      <c r="B17" s="10" t="s">
        <v>10</v>
      </c>
      <c r="D17" s="11">
        <v>1655.7909999999999</v>
      </c>
      <c r="E17" s="11">
        <v>2404.723</v>
      </c>
      <c r="I17" s="12"/>
      <c r="J17" s="12"/>
      <c r="K17" s="12"/>
    </row>
    <row r="18" spans="2:15" ht="5.0999999999999996" customHeight="1">
      <c r="B18" s="10"/>
      <c r="D18" s="11"/>
      <c r="E18" s="11"/>
    </row>
    <row r="19" spans="2:15">
      <c r="B19" s="13" t="s">
        <v>11</v>
      </c>
      <c r="C19" s="14"/>
      <c r="D19" s="15">
        <f>+D13-SUM(D15:D18)</f>
        <v>27003.486999999994</v>
      </c>
      <c r="E19" s="15">
        <f t="shared" ref="E19" si="0">+E13-SUM(E15:E18)</f>
        <v>28995.332000000002</v>
      </c>
    </row>
    <row r="20" spans="2:15" ht="5.0999999999999996" customHeight="1">
      <c r="B20" s="16"/>
      <c r="D20" s="17"/>
      <c r="E20" s="17"/>
    </row>
    <row r="21" spans="2:15" s="19" customFormat="1" ht="15">
      <c r="B21" s="18" t="s">
        <v>12</v>
      </c>
      <c r="D21" s="20">
        <f>+D19/D$13</f>
        <v>0.34370590790818112</v>
      </c>
      <c r="E21" s="20">
        <f>+E19/E$13</f>
        <v>0.31998730262543956</v>
      </c>
    </row>
    <row r="22" spans="2:15" ht="5.0999999999999996" customHeight="1"/>
    <row r="23" spans="2:15">
      <c r="B23" s="10" t="s">
        <v>13</v>
      </c>
      <c r="D23" s="11">
        <v>10567.612999999999</v>
      </c>
      <c r="E23" s="11">
        <v>11023.057000000001</v>
      </c>
      <c r="I23" s="12"/>
      <c r="J23" s="12"/>
      <c r="K23" s="12"/>
      <c r="M23" s="12"/>
      <c r="N23" s="12"/>
      <c r="O23" s="12"/>
    </row>
    <row r="24" spans="2:15">
      <c r="B24" s="10" t="s">
        <v>14</v>
      </c>
      <c r="D24" s="11">
        <v>3246.1469999999999</v>
      </c>
      <c r="E24" s="11">
        <v>4150.1989395000001</v>
      </c>
      <c r="I24" s="12"/>
      <c r="J24" s="12"/>
      <c r="K24" s="12"/>
    </row>
    <row r="25" spans="2:15">
      <c r="B25" s="10" t="s">
        <v>15</v>
      </c>
      <c r="D25" s="11">
        <v>1180.1621</v>
      </c>
      <c r="E25" s="11">
        <v>1161.7642799999999</v>
      </c>
      <c r="I25" s="12"/>
      <c r="J25" s="12"/>
      <c r="K25" s="12"/>
    </row>
    <row r="26" spans="2:15">
      <c r="B26" s="10" t="s">
        <v>16</v>
      </c>
      <c r="D26" s="11">
        <v>208.26400000000001</v>
      </c>
      <c r="E26" s="11">
        <v>237.952</v>
      </c>
      <c r="I26" s="12"/>
      <c r="J26" s="12"/>
      <c r="K26" s="12"/>
    </row>
    <row r="27" spans="2:15">
      <c r="B27" s="10" t="s">
        <v>17</v>
      </c>
      <c r="D27" s="11">
        <v>2224.9549999999999</v>
      </c>
      <c r="E27" s="11">
        <v>1472.7629999999999</v>
      </c>
      <c r="I27" s="12"/>
      <c r="J27" s="12"/>
      <c r="K27" s="12"/>
    </row>
    <row r="28" spans="2:15">
      <c r="B28" s="10" t="s">
        <v>18</v>
      </c>
      <c r="D28" s="11">
        <v>366.15499999999997</v>
      </c>
      <c r="E28" s="11">
        <v>263.43299999999999</v>
      </c>
      <c r="I28" s="12"/>
      <c r="J28" s="12"/>
      <c r="K28" s="12"/>
      <c r="M28" s="12"/>
      <c r="N28" s="12"/>
      <c r="O28" s="12"/>
    </row>
    <row r="29" spans="2:15">
      <c r="B29" s="10" t="s">
        <v>19</v>
      </c>
      <c r="D29" s="11">
        <v>3201.0390000000002</v>
      </c>
      <c r="E29" s="11">
        <v>2809.107</v>
      </c>
      <c r="I29" s="12"/>
      <c r="J29" s="12"/>
      <c r="K29" s="12"/>
    </row>
    <row r="30" spans="2:15">
      <c r="B30" s="13" t="s">
        <v>20</v>
      </c>
      <c r="C30" s="14"/>
      <c r="D30" s="15">
        <f>+SUM(D23:D29)</f>
        <v>20994.335099999997</v>
      </c>
      <c r="E30" s="15">
        <f>+SUM(E23:E29)</f>
        <v>21118.275219499999</v>
      </c>
    </row>
    <row r="32" spans="2:15">
      <c r="B32" s="10" t="s">
        <v>21</v>
      </c>
      <c r="D32" s="11">
        <v>147.37100000000001</v>
      </c>
      <c r="E32" s="11">
        <v>273.43900000000002</v>
      </c>
      <c r="I32" s="12"/>
      <c r="J32" s="12"/>
      <c r="K32" s="12"/>
    </row>
    <row r="33" spans="2:11" ht="5.0999999999999996" customHeight="1"/>
    <row r="34" spans="2:11">
      <c r="B34" s="13" t="s">
        <v>22</v>
      </c>
      <c r="C34" s="14"/>
      <c r="D34" s="15">
        <f>+D19-D30-D32</f>
        <v>5861.780899999997</v>
      </c>
      <c r="E34" s="15">
        <f>+E19-E30-E32</f>
        <v>7603.6177805000025</v>
      </c>
      <c r="I34" s="21"/>
      <c r="J34" s="21"/>
      <c r="K34" s="21"/>
    </row>
    <row r="36" spans="2:11">
      <c r="B36" s="22" t="s">
        <v>23</v>
      </c>
      <c r="D36" s="17">
        <f>+D34+D25+D27+D29+D26+D32</f>
        <v>12823.571999999996</v>
      </c>
      <c r="E36" s="17">
        <f t="shared" ref="E36" si="1">+E34+E25+E27+E29+E26+E32</f>
        <v>13558.643060500002</v>
      </c>
      <c r="I36" s="21"/>
      <c r="J36" s="21"/>
      <c r="K36" s="21"/>
    </row>
    <row r="37" spans="2:11" ht="5.0999999999999996" customHeight="1">
      <c r="B37" s="22"/>
      <c r="D37" s="17"/>
      <c r="E37" s="17"/>
    </row>
    <row r="38" spans="2:11" ht="5.0999999999999996" customHeight="1">
      <c r="B38" s="16"/>
      <c r="D38" s="17"/>
      <c r="E38" s="17"/>
    </row>
    <row r="39" spans="2:11" s="19" customFormat="1" ht="15">
      <c r="B39" s="18" t="s">
        <v>24</v>
      </c>
      <c r="D39" s="20">
        <f>D34/D$13</f>
        <v>7.4609946715153294E-2</v>
      </c>
      <c r="E39" s="20">
        <f t="shared" ref="E39" si="2">E34/E$13</f>
        <v>8.3912167095621715E-2</v>
      </c>
    </row>
    <row r="40" spans="2:11" s="19" customFormat="1" ht="15">
      <c r="B40" s="18" t="s">
        <v>25</v>
      </c>
      <c r="D40" s="20">
        <f>D36/D$13</f>
        <v>0.16322104833668075</v>
      </c>
      <c r="E40" s="20">
        <f t="shared" ref="E40" si="3">E36/E$13</f>
        <v>0.14963076195128686</v>
      </c>
    </row>
    <row r="42" spans="2:11">
      <c r="B42" s="5" t="s">
        <v>26</v>
      </c>
      <c r="C42" s="6"/>
      <c r="D42" s="6"/>
      <c r="E42" s="6"/>
      <c r="F42" s="6"/>
    </row>
    <row r="44" spans="2:11">
      <c r="D44" s="8" t="s">
        <v>27</v>
      </c>
      <c r="E44" s="8" t="s">
        <v>27</v>
      </c>
    </row>
    <row r="45" spans="2:11">
      <c r="D45" s="23">
        <f>+D10</f>
        <v>2023</v>
      </c>
      <c r="E45" s="23">
        <f>+D45+1</f>
        <v>2024</v>
      </c>
    </row>
    <row r="46" spans="2:11">
      <c r="B46" s="10" t="s">
        <v>28</v>
      </c>
      <c r="D46" s="11">
        <v>7105.652</v>
      </c>
      <c r="E46" s="11">
        <v>2957.9920000000002</v>
      </c>
      <c r="I46" s="11"/>
    </row>
    <row r="47" spans="2:11">
      <c r="B47" s="10" t="s">
        <v>29</v>
      </c>
      <c r="D47" s="11">
        <v>17300.432000000001</v>
      </c>
      <c r="E47" s="11">
        <v>22973.94</v>
      </c>
      <c r="I47" s="12"/>
      <c r="J47" s="12"/>
      <c r="K47" s="12"/>
    </row>
    <row r="48" spans="2:11">
      <c r="B48" s="24" t="s">
        <v>30</v>
      </c>
      <c r="D48" s="11">
        <v>-519.01300000000003</v>
      </c>
      <c r="E48" s="11">
        <v>-689.21799999999996</v>
      </c>
      <c r="I48" s="12"/>
      <c r="J48" s="12"/>
      <c r="K48" s="12"/>
    </row>
    <row r="49" spans="2:11">
      <c r="B49" s="10" t="s">
        <v>31</v>
      </c>
      <c r="D49" s="11">
        <v>804.90099999999995</v>
      </c>
      <c r="E49" s="11">
        <v>1161.057</v>
      </c>
      <c r="I49" s="12"/>
      <c r="J49" s="12"/>
      <c r="K49" s="12"/>
    </row>
    <row r="50" spans="2:11">
      <c r="B50" s="10" t="s">
        <v>32</v>
      </c>
      <c r="D50" s="11">
        <v>269.78399999999999</v>
      </c>
      <c r="E50" s="11">
        <v>344.91899999999998</v>
      </c>
      <c r="I50" s="12"/>
      <c r="J50" s="12"/>
      <c r="K50" s="12"/>
    </row>
    <row r="51" spans="2:11">
      <c r="B51" s="13" t="s">
        <v>33</v>
      </c>
      <c r="C51" s="14"/>
      <c r="D51" s="15">
        <f>+SUM(D46:D50)</f>
        <v>24961.756000000005</v>
      </c>
      <c r="E51" s="15">
        <f>+SUM(E46:E50)</f>
        <v>26748.690000000002</v>
      </c>
    </row>
    <row r="52" spans="2:11">
      <c r="B52" s="25"/>
    </row>
    <row r="53" spans="2:11">
      <c r="B53" s="10" t="s">
        <v>34</v>
      </c>
      <c r="D53" s="11">
        <v>54584.7</v>
      </c>
      <c r="E53" s="11">
        <v>55684.983999999997</v>
      </c>
      <c r="I53" s="12"/>
      <c r="J53" s="12"/>
      <c r="K53" s="12"/>
    </row>
    <row r="54" spans="2:11">
      <c r="B54" s="10" t="s">
        <v>35</v>
      </c>
      <c r="D54" s="11">
        <v>4378.482</v>
      </c>
      <c r="E54" s="11">
        <v>4504.37</v>
      </c>
      <c r="I54" s="12"/>
      <c r="J54" s="12"/>
      <c r="K54" s="12"/>
    </row>
    <row r="55" spans="2:11" ht="5.0999999999999996" customHeight="1">
      <c r="B55" s="25"/>
    </row>
    <row r="56" spans="2:11">
      <c r="B56" s="13" t="s">
        <v>36</v>
      </c>
      <c r="C56" s="14"/>
      <c r="D56" s="15">
        <f t="shared" ref="D56:E56" si="4">+SUM(D51:D55)</f>
        <v>83924.938000000009</v>
      </c>
      <c r="E56" s="15">
        <f t="shared" si="4"/>
        <v>86938.043999999994</v>
      </c>
    </row>
    <row r="57" spans="2:11">
      <c r="B57" s="25"/>
    </row>
    <row r="58" spans="2:11">
      <c r="B58" s="10" t="s">
        <v>37</v>
      </c>
      <c r="D58" s="11">
        <v>2805.817</v>
      </c>
      <c r="E58" s="11">
        <v>2360.71</v>
      </c>
      <c r="I58" s="12"/>
      <c r="J58" s="12"/>
      <c r="K58" s="12"/>
    </row>
    <row r="59" spans="2:11">
      <c r="B59" s="10" t="s">
        <v>38</v>
      </c>
      <c r="D59" s="11">
        <v>2383.933</v>
      </c>
      <c r="E59" s="11">
        <v>2788.038</v>
      </c>
      <c r="I59" s="12"/>
      <c r="J59" s="12"/>
      <c r="K59" s="12"/>
    </row>
    <row r="60" spans="2:11">
      <c r="B60" s="10" t="s">
        <v>39</v>
      </c>
      <c r="D60" s="11">
        <v>2057.9079999999999</v>
      </c>
      <c r="E60" s="11">
        <v>3202.0309999999999</v>
      </c>
      <c r="I60" s="12"/>
      <c r="J60" s="12"/>
      <c r="K60" s="12"/>
    </row>
    <row r="61" spans="2:11">
      <c r="B61" s="13" t="s">
        <v>40</v>
      </c>
      <c r="C61" s="14"/>
      <c r="D61" s="15">
        <f t="shared" ref="D61:E61" si="5">+SUM(D58:D60)</f>
        <v>7247.6579999999994</v>
      </c>
      <c r="E61" s="15">
        <f t="shared" si="5"/>
        <v>8350.7789999999986</v>
      </c>
    </row>
    <row r="62" spans="2:11">
      <c r="B62" s="25"/>
    </row>
    <row r="63" spans="2:11">
      <c r="B63" s="25" t="s">
        <v>41</v>
      </c>
      <c r="D63" s="11">
        <v>645.88300000000004</v>
      </c>
      <c r="E63" s="11">
        <v>1289.3</v>
      </c>
    </row>
    <row r="64" spans="2:11">
      <c r="B64" s="25" t="s">
        <v>42</v>
      </c>
      <c r="D64" s="11">
        <v>18943.222000000002</v>
      </c>
      <c r="E64" s="11">
        <v>12001.450999999999</v>
      </c>
    </row>
    <row r="65" spans="2:5">
      <c r="B65" s="25" t="s">
        <v>43</v>
      </c>
      <c r="D65" s="11">
        <v>545.33299999999997</v>
      </c>
      <c r="E65" s="11">
        <v>85.337999999999994</v>
      </c>
    </row>
    <row r="66" spans="2:5">
      <c r="B66" s="25" t="s">
        <v>44</v>
      </c>
      <c r="D66" s="11">
        <v>92.447999999999993</v>
      </c>
      <c r="E66" s="11">
        <v>12.667</v>
      </c>
    </row>
    <row r="67" spans="2:5">
      <c r="B67" s="25" t="s">
        <v>45</v>
      </c>
      <c r="D67" s="11">
        <v>417.87400000000002</v>
      </c>
      <c r="E67" s="11">
        <v>429.88799999999998</v>
      </c>
    </row>
    <row r="68" spans="2:5" ht="5.0999999999999996" customHeight="1">
      <c r="B68" s="25"/>
    </row>
    <row r="69" spans="2:5">
      <c r="B69" s="13" t="s">
        <v>46</v>
      </c>
      <c r="C69" s="14"/>
      <c r="D69" s="15">
        <f>+SUM(D61:D68)</f>
        <v>27892.417999999998</v>
      </c>
      <c r="E69" s="15">
        <f>+SUM(E61:E68)</f>
        <v>22169.422999999999</v>
      </c>
    </row>
    <row r="70" spans="2:5">
      <c r="B70" s="25"/>
    </row>
    <row r="71" spans="2:5">
      <c r="B71" s="10" t="s">
        <v>47</v>
      </c>
      <c r="D71" s="11">
        <v>7783.6338279007268</v>
      </c>
      <c r="E71" s="11">
        <v>8916.115715308184</v>
      </c>
    </row>
    <row r="72" spans="2:5">
      <c r="B72" s="10" t="s">
        <v>48</v>
      </c>
      <c r="D72" s="11">
        <v>48248.887000000002</v>
      </c>
      <c r="E72" s="11">
        <v>55852.504780500007</v>
      </c>
    </row>
    <row r="73" spans="2:5">
      <c r="B73" s="13" t="s">
        <v>49</v>
      </c>
      <c r="C73" s="14"/>
      <c r="D73" s="15">
        <f>+SUM(D71:D72)</f>
        <v>56032.520827900727</v>
      </c>
      <c r="E73" s="15">
        <f>+SUM(E71:E72)</f>
        <v>64768.620495808194</v>
      </c>
    </row>
    <row r="74" spans="2:5">
      <c r="B74" s="16"/>
      <c r="D74" s="11"/>
      <c r="E74" s="11"/>
    </row>
    <row r="75" spans="2:5" ht="5.0999999999999996" customHeight="1">
      <c r="B75" s="25"/>
    </row>
    <row r="76" spans="2:5">
      <c r="B76" s="13" t="s">
        <v>50</v>
      </c>
      <c r="C76" s="14"/>
      <c r="D76" s="15">
        <f>+D73+D69</f>
        <v>83924.938827900725</v>
      </c>
      <c r="E76" s="15">
        <f>+E73+E69</f>
        <v>86938.04349580819</v>
      </c>
    </row>
    <row r="77" spans="2:5">
      <c r="B77" s="16"/>
      <c r="D77" s="17"/>
      <c r="E77" s="17"/>
    </row>
    <row r="78" spans="2:5">
      <c r="B78" s="26" t="s">
        <v>51</v>
      </c>
      <c r="C78" s="26"/>
      <c r="D78" s="27">
        <f>D51-D61</f>
        <v>17714.098000000005</v>
      </c>
      <c r="E78" s="27">
        <f>E51-E61</f>
        <v>18397.911000000004</v>
      </c>
    </row>
    <row r="79" spans="2:5">
      <c r="B79" s="26" t="s">
        <v>52</v>
      </c>
      <c r="D79" s="27">
        <f>(D51-D46)-D61</f>
        <v>10608.446000000007</v>
      </c>
      <c r="E79" s="27">
        <f>(E51-E46)-E61</f>
        <v>15439.919000000005</v>
      </c>
    </row>
    <row r="80" spans="2:5">
      <c r="B80" s="25"/>
    </row>
    <row r="81" spans="2:5" hidden="1" outlineLevel="1">
      <c r="B81" s="28" t="s">
        <v>53</v>
      </c>
      <c r="C81" s="26"/>
      <c r="D81" s="27">
        <f>+D76-D56</f>
        <v>8.2790071610361338E-4</v>
      </c>
      <c r="E81" s="27">
        <f>+E76-E56</f>
        <v>-5.0419180479366332E-4</v>
      </c>
    </row>
    <row r="82" spans="2:5" hidden="1" outlineLevel="1">
      <c r="B82" s="25"/>
      <c r="E82" s="11"/>
    </row>
    <row r="83" spans="2:5" collapsed="1"/>
    <row r="85" spans="2:5">
      <c r="E85" s="11"/>
    </row>
    <row r="86" spans="2:5">
      <c r="D86" s="12"/>
      <c r="E86" s="12"/>
    </row>
    <row r="87" spans="2:5">
      <c r="E87" s="11"/>
    </row>
    <row r="88" spans="2:5">
      <c r="E88" s="11"/>
    </row>
    <row r="89" spans="2:5">
      <c r="E89" s="11"/>
    </row>
    <row r="90" spans="2:5">
      <c r="E90" s="12"/>
    </row>
    <row r="91" spans="2:5">
      <c r="E91" s="11"/>
    </row>
    <row r="92" spans="2:5">
      <c r="E92" s="11"/>
    </row>
    <row r="93" spans="2:5">
      <c r="E93" s="11"/>
    </row>
    <row r="94" spans="2:5">
      <c r="E94" s="11"/>
    </row>
  </sheetData>
  <conditionalFormatting sqref="B1">
    <cfRule type="cellIs" dxfId="2" priority="1" operator="equal">
      <formula>0</formula>
    </cfRule>
    <cfRule type="cellIs" dxfId="1" priority="2" operator="lessThan">
      <formula>0</formula>
    </cfRule>
    <cfRule type="cellIs" dxfId="0" priority="3" operator="greaterThan">
      <formula>0</formula>
    </cfRule>
  </conditionalFormatting>
  <pageMargins left="0.7" right="0.7" top="0.75" bottom="0.75" header="0.3" footer="0.3"/>
  <pageSetup scale="59" orientation="portrait" r:id="rId1"/>
  <ignoredErrors>
    <ignoredError sqref="D13:E13"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60E2E-DF97-40B3-BA9A-098A9D128BEC}">
  <sheetPr>
    <outlinePr summaryBelow="0"/>
    <pageSetUpPr fitToPage="1"/>
  </sheetPr>
  <dimension ref="A1:S11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4" width="11.710937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55</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t="s">
        <v>62</v>
      </c>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62"/>
      <c r="G13" s="62"/>
      <c r="H13" s="60"/>
      <c r="I13" s="60"/>
      <c r="J13" s="60"/>
      <c r="K13" s="60"/>
      <c r="L13" s="60"/>
      <c r="M13" s="60"/>
    </row>
    <row r="14" spans="2:13" ht="13.5" customHeight="1" outlineLevel="1">
      <c r="C14" s="63" t="s">
        <v>66</v>
      </c>
      <c r="D14" s="63"/>
      <c r="E14" s="63"/>
      <c r="F14" s="64"/>
      <c r="G14" s="64"/>
      <c r="H14" s="60"/>
      <c r="I14" s="60"/>
      <c r="J14" s="60"/>
      <c r="K14" s="60"/>
      <c r="L14" s="60"/>
      <c r="M14" s="60"/>
    </row>
    <row r="15" spans="2:13" ht="13.5" customHeight="1" outlineLevel="1">
      <c r="C15" s="65" t="s">
        <v>67</v>
      </c>
      <c r="D15" s="65"/>
      <c r="E15" s="65"/>
      <c r="F15" s="66">
        <f t="shared" ref="F15:G15" si="1">F13-F14</f>
        <v>0</v>
      </c>
      <c r="G15" s="66">
        <f t="shared" si="1"/>
        <v>0</v>
      </c>
      <c r="H15" s="60"/>
      <c r="I15" s="60"/>
      <c r="J15" s="60"/>
      <c r="K15" s="60"/>
      <c r="L15" s="60"/>
      <c r="M15" s="60"/>
    </row>
    <row r="16" spans="2:13" ht="13.5" customHeight="1" outlineLevel="1">
      <c r="C16" s="67" t="s">
        <v>68</v>
      </c>
      <c r="D16" s="68"/>
      <c r="E16" s="68"/>
      <c r="F16" s="69" t="str">
        <f>IFERROR(F15/F$13,"N/M")</f>
        <v>N/M</v>
      </c>
      <c r="G16" s="69" t="str">
        <f>IFERROR(G15/G$13,"N/M")</f>
        <v>N/M</v>
      </c>
      <c r="H16" s="60"/>
      <c r="I16" s="60"/>
      <c r="J16" s="60"/>
      <c r="K16" s="60"/>
      <c r="L16" s="60"/>
      <c r="M16" s="60"/>
    </row>
    <row r="17" spans="3:13" ht="13.5" customHeight="1" outlineLevel="1">
      <c r="C17" s="63" t="s">
        <v>69</v>
      </c>
      <c r="D17" s="63"/>
      <c r="E17" s="63"/>
      <c r="F17" s="64"/>
      <c r="G17" s="64"/>
      <c r="H17" s="60"/>
      <c r="I17" s="60"/>
      <c r="J17" s="60"/>
      <c r="K17" s="60"/>
      <c r="L17" s="60"/>
      <c r="M17" s="60"/>
    </row>
    <row r="18" spans="3:13" ht="13.5" customHeight="1" outlineLevel="1">
      <c r="C18" s="70" t="s">
        <v>70</v>
      </c>
      <c r="D18" s="70"/>
      <c r="E18" s="70"/>
      <c r="F18" s="71">
        <f t="shared" ref="F18:G18" si="2">F15-F17</f>
        <v>0</v>
      </c>
      <c r="G18" s="71">
        <f t="shared" si="2"/>
        <v>0</v>
      </c>
      <c r="H18" s="60"/>
      <c r="I18" s="60"/>
      <c r="J18" s="60"/>
      <c r="K18" s="60"/>
      <c r="L18" s="60"/>
      <c r="M18" s="60"/>
    </row>
    <row r="19" spans="3:13" ht="13.5" customHeight="1" outlineLevel="1">
      <c r="C19" s="67" t="s">
        <v>71</v>
      </c>
      <c r="D19" s="39"/>
      <c r="E19" s="39"/>
      <c r="F19" s="69" t="str">
        <f>IFERROR(F18/F$13,"N/M")</f>
        <v>N/M</v>
      </c>
      <c r="G19" s="69" t="str">
        <f>IFERROR(G18/G$13,"N/M")</f>
        <v>N/M</v>
      </c>
      <c r="H19" s="60"/>
      <c r="I19" s="60"/>
      <c r="J19" s="60"/>
      <c r="K19" s="60"/>
      <c r="L19" s="60"/>
      <c r="M19" s="60"/>
    </row>
    <row r="20" spans="3:13" ht="13.5" customHeight="1" outlineLevel="1">
      <c r="C20" s="63" t="s">
        <v>15</v>
      </c>
      <c r="D20" s="63"/>
      <c r="E20" s="63"/>
      <c r="F20" s="64"/>
      <c r="G20" s="64"/>
      <c r="H20" s="60"/>
      <c r="I20" s="60"/>
      <c r="J20" s="60"/>
      <c r="K20" s="60"/>
      <c r="L20" s="60"/>
      <c r="M20" s="60"/>
    </row>
    <row r="21" spans="3:13" ht="13.5" customHeight="1" outlineLevel="1">
      <c r="C21" s="63" t="s">
        <v>16</v>
      </c>
      <c r="D21" s="63"/>
      <c r="E21" s="63"/>
      <c r="F21" s="64"/>
      <c r="G21" s="64"/>
      <c r="H21" s="60"/>
      <c r="I21" s="60"/>
      <c r="J21" s="60"/>
      <c r="K21" s="60"/>
      <c r="L21" s="60"/>
      <c r="M21" s="60"/>
    </row>
    <row r="22" spans="3:13" ht="13.5" customHeight="1" outlineLevel="1">
      <c r="C22" s="70" t="s">
        <v>72</v>
      </c>
      <c r="D22" s="70"/>
      <c r="E22" s="70"/>
      <c r="F22" s="71">
        <f>F18-SUM(F20:F21)</f>
        <v>0</v>
      </c>
      <c r="G22" s="71">
        <f>G18-SUM(G20:G21)</f>
        <v>0</v>
      </c>
      <c r="H22" s="60"/>
      <c r="I22" s="60"/>
      <c r="J22" s="60"/>
      <c r="K22" s="60"/>
      <c r="L22" s="60"/>
      <c r="M22" s="60"/>
    </row>
    <row r="23" spans="3:13" ht="13.5" customHeight="1" outlineLevel="1">
      <c r="C23" s="72" t="s">
        <v>73</v>
      </c>
      <c r="D23" s="39"/>
      <c r="E23" s="39"/>
      <c r="F23" s="45"/>
      <c r="G23" s="73"/>
      <c r="H23" s="60"/>
      <c r="I23" s="60"/>
      <c r="J23" s="60"/>
      <c r="K23" s="60"/>
      <c r="L23" s="60"/>
      <c r="M23" s="60"/>
    </row>
    <row r="24" spans="3:13" ht="13.5" customHeight="1" outlineLevel="1">
      <c r="C24" s="74" t="s">
        <v>74</v>
      </c>
      <c r="D24" s="39"/>
      <c r="E24" s="39"/>
      <c r="F24" s="45"/>
      <c r="G24" s="75"/>
      <c r="H24" s="60"/>
      <c r="I24" s="60"/>
      <c r="J24" s="60"/>
      <c r="K24" s="60"/>
      <c r="L24" s="60"/>
      <c r="M24" s="60"/>
    </row>
    <row r="25" spans="3:13" ht="13.5" customHeight="1" outlineLevel="1">
      <c r="C25" s="74" t="s">
        <v>75</v>
      </c>
      <c r="D25" s="39"/>
      <c r="E25" s="39"/>
      <c r="F25" s="45"/>
      <c r="G25" s="75"/>
      <c r="H25" s="60"/>
      <c r="I25" s="60"/>
      <c r="J25" s="60"/>
      <c r="K25" s="60"/>
      <c r="L25" s="60"/>
      <c r="M25" s="60"/>
    </row>
    <row r="26" spans="3:13" ht="13.5" customHeight="1" outlineLevel="1">
      <c r="C26" s="74" t="str">
        <f>+C66</f>
        <v>Term Loan A</v>
      </c>
      <c r="D26" s="39"/>
      <c r="E26" s="39"/>
      <c r="F26" s="45"/>
      <c r="G26" s="75"/>
      <c r="H26" s="60"/>
      <c r="I26" s="60"/>
      <c r="J26" s="60"/>
      <c r="K26" s="60"/>
      <c r="L26" s="60"/>
      <c r="M26" s="60"/>
    </row>
    <row r="27" spans="3:13" ht="13.5" customHeight="1" outlineLevel="1">
      <c r="C27" s="74" t="str">
        <f>+C67</f>
        <v>Subordinated - Note 1</v>
      </c>
      <c r="D27" s="39"/>
      <c r="E27" s="39"/>
      <c r="F27" s="45"/>
      <c r="G27" s="75"/>
      <c r="H27" s="60"/>
      <c r="I27" s="60"/>
      <c r="J27" s="60"/>
      <c r="K27" s="60"/>
      <c r="L27" s="60"/>
      <c r="M27" s="60"/>
    </row>
    <row r="28" spans="3:13" ht="13.5" customHeight="1" outlineLevel="1">
      <c r="C28" s="74" t="str">
        <f>+C68</f>
        <v>Subordinated - Note 2</v>
      </c>
      <c r="D28" s="39"/>
      <c r="E28" s="39"/>
      <c r="F28" s="45"/>
      <c r="G28" s="75"/>
      <c r="H28" s="60"/>
      <c r="I28" s="60"/>
      <c r="J28" s="60"/>
      <c r="K28" s="60"/>
      <c r="L28" s="60"/>
      <c r="M28" s="60"/>
    </row>
    <row r="29" spans="3:13" ht="13.5" customHeight="1" outlineLevel="1">
      <c r="C29" s="76" t="s">
        <v>73</v>
      </c>
      <c r="D29" s="77"/>
      <c r="E29" s="77"/>
      <c r="F29" s="78"/>
      <c r="G29" s="78"/>
      <c r="H29" s="60"/>
      <c r="I29" s="60"/>
      <c r="J29" s="60"/>
      <c r="K29" s="60"/>
      <c r="L29" s="60"/>
      <c r="M29" s="60"/>
    </row>
    <row r="30" spans="3:13" ht="13.5" customHeight="1" outlineLevel="1">
      <c r="C30" s="63" t="s">
        <v>76</v>
      </c>
      <c r="D30" s="63"/>
      <c r="E30" s="63"/>
      <c r="F30" s="64"/>
      <c r="G30" s="64"/>
      <c r="H30" s="60"/>
      <c r="I30" s="60"/>
      <c r="J30" s="60"/>
      <c r="K30" s="60"/>
      <c r="L30" s="60"/>
      <c r="M30" s="60"/>
    </row>
    <row r="31" spans="3:13" ht="13.5" customHeight="1" outlineLevel="1">
      <c r="C31" s="65" t="s">
        <v>77</v>
      </c>
      <c r="D31" s="65"/>
      <c r="E31" s="65"/>
      <c r="F31" s="66">
        <f>F22-F29-F30</f>
        <v>0</v>
      </c>
      <c r="G31" s="66">
        <f>G22-G29-G30</f>
        <v>0</v>
      </c>
      <c r="H31" s="60"/>
      <c r="I31" s="60"/>
      <c r="J31" s="60"/>
      <c r="K31" s="60"/>
      <c r="L31" s="60"/>
      <c r="M31" s="60"/>
    </row>
    <row r="32" spans="3:13" ht="13.5" customHeight="1" outlineLevel="1">
      <c r="C32" s="63" t="s">
        <v>78</v>
      </c>
      <c r="D32" s="63"/>
      <c r="E32" s="63"/>
      <c r="F32" s="64"/>
      <c r="G32" s="64"/>
      <c r="H32" s="60"/>
      <c r="I32" s="60"/>
      <c r="J32" s="60"/>
      <c r="K32" s="60"/>
      <c r="L32" s="60"/>
      <c r="M32" s="60"/>
    </row>
    <row r="33" spans="1:13" ht="13.5" customHeight="1" outlineLevel="1">
      <c r="C33" s="79" t="s">
        <v>22</v>
      </c>
      <c r="D33" s="79"/>
      <c r="E33" s="79"/>
      <c r="F33" s="71">
        <f>F31-F32</f>
        <v>0</v>
      </c>
      <c r="G33" s="71">
        <f>G31-G32</f>
        <v>0</v>
      </c>
      <c r="H33" s="60"/>
      <c r="I33" s="60"/>
      <c r="J33" s="60"/>
      <c r="K33" s="60"/>
      <c r="L33" s="60"/>
      <c r="M33" s="60"/>
    </row>
    <row r="34" spans="1:13" ht="13.5" customHeight="1" outlineLevel="1">
      <c r="C34" s="67" t="s">
        <v>79</v>
      </c>
      <c r="D34" s="39"/>
      <c r="E34" s="39"/>
      <c r="F34" s="69" t="str">
        <f>IFERROR(F33/F$13,"N/M")</f>
        <v>N/M</v>
      </c>
      <c r="G34" s="69" t="str">
        <f>IFERROR(G33/G$13,"N/M")</f>
        <v>N/M</v>
      </c>
      <c r="H34" s="60"/>
      <c r="I34" s="60"/>
      <c r="J34" s="60"/>
      <c r="K34" s="60"/>
      <c r="L34" s="60"/>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thickBot="1"/>
    <row r="40" spans="1:13" ht="21.75" thickTop="1">
      <c r="A40" s="82"/>
      <c r="B40" s="46" t="s">
        <v>61</v>
      </c>
      <c r="C40" s="47" t="s">
        <v>26</v>
      </c>
      <c r="D40" s="48"/>
      <c r="E40" s="49"/>
      <c r="F40" s="49"/>
      <c r="G40" s="49"/>
      <c r="H40" s="49"/>
      <c r="I40" s="49"/>
      <c r="J40" s="49"/>
      <c r="K40" s="49"/>
      <c r="L40" s="49"/>
    </row>
    <row r="41" spans="1:13" ht="5.0999999999999996" customHeight="1" outlineLevel="1">
      <c r="A41" s="82"/>
      <c r="C41" s="51"/>
      <c r="D41" s="52"/>
    </row>
    <row r="42" spans="1:13" ht="13.5" customHeight="1" outlineLevel="1">
      <c r="A42" s="82"/>
      <c r="C42" s="53"/>
      <c r="D42" s="53"/>
      <c r="E42" s="53"/>
      <c r="F42" s="54" t="s">
        <v>63</v>
      </c>
      <c r="G42" s="54" t="s">
        <v>63</v>
      </c>
      <c r="H42" s="55" t="s">
        <v>64</v>
      </c>
      <c r="I42" s="55"/>
      <c r="J42" s="55"/>
      <c r="K42" s="55"/>
      <c r="L42" s="55"/>
    </row>
    <row r="43" spans="1:13" ht="13.5" customHeight="1" outlineLevel="1" thickBot="1">
      <c r="A43" s="82"/>
      <c r="C43" s="56" t="s">
        <v>65</v>
      </c>
      <c r="D43" s="57"/>
      <c r="E43" s="57"/>
      <c r="F43" s="58">
        <f>EOMONTH(G43,-12)</f>
        <v>45291</v>
      </c>
      <c r="G43" s="58">
        <f t="shared" ref="G43:L43" si="3">G$11</f>
        <v>45657</v>
      </c>
      <c r="H43" s="58">
        <f t="shared" si="3"/>
        <v>46022</v>
      </c>
      <c r="I43" s="58">
        <f t="shared" si="3"/>
        <v>46387</v>
      </c>
      <c r="J43" s="58">
        <f t="shared" si="3"/>
        <v>46752</v>
      </c>
      <c r="K43" s="58">
        <f t="shared" si="3"/>
        <v>47118</v>
      </c>
      <c r="L43" s="58">
        <f t="shared" si="3"/>
        <v>47483</v>
      </c>
    </row>
    <row r="44" spans="1:13" ht="5.0999999999999996" customHeight="1" outlineLevel="1">
      <c r="A44" s="82"/>
      <c r="C44" s="59"/>
      <c r="D44" s="59"/>
      <c r="E44" s="59"/>
      <c r="F44" s="60"/>
      <c r="G44" s="60"/>
      <c r="H44" s="60"/>
      <c r="I44" s="60"/>
      <c r="J44" s="60"/>
      <c r="K44" s="60"/>
    </row>
    <row r="45" spans="1:13" ht="13.5" customHeight="1" outlineLevel="1">
      <c r="A45" s="82"/>
      <c r="C45" s="84" t="s">
        <v>81</v>
      </c>
      <c r="D45" s="85"/>
      <c r="E45" s="86"/>
      <c r="F45" s="86"/>
      <c r="G45" s="86"/>
      <c r="H45" s="86"/>
      <c r="I45" s="86"/>
      <c r="J45" s="86"/>
      <c r="K45" s="86"/>
      <c r="L45" s="87"/>
    </row>
    <row r="46" spans="1:13" ht="13.5" customHeight="1" outlineLevel="1">
      <c r="A46" s="82"/>
      <c r="C46" s="59"/>
      <c r="D46" s="59"/>
      <c r="E46" s="59"/>
      <c r="F46" s="60"/>
      <c r="G46" s="60"/>
      <c r="H46" s="60"/>
      <c r="I46" s="60"/>
      <c r="J46" s="60"/>
      <c r="K46" s="60"/>
    </row>
    <row r="47" spans="1:13" ht="13.5" customHeight="1" outlineLevel="1">
      <c r="A47" s="82"/>
      <c r="C47" s="88" t="s">
        <v>82</v>
      </c>
      <c r="F47" s="89"/>
      <c r="G47" s="89"/>
      <c r="H47" s="90"/>
      <c r="I47" s="90"/>
      <c r="J47" s="90"/>
      <c r="K47" s="90"/>
      <c r="L47" s="90"/>
    </row>
    <row r="48" spans="1:13" ht="13.5" customHeight="1" outlineLevel="1">
      <c r="A48" s="82"/>
      <c r="C48" s="91" t="s">
        <v>83</v>
      </c>
      <c r="F48" s="92"/>
      <c r="G48" s="92"/>
      <c r="H48" s="90"/>
      <c r="I48" s="90"/>
      <c r="J48" s="90"/>
      <c r="K48" s="90"/>
      <c r="L48" s="90"/>
    </row>
    <row r="49" spans="1:12" ht="13.5" customHeight="1" outlineLevel="1">
      <c r="A49" s="82"/>
      <c r="C49" s="91" t="s">
        <v>31</v>
      </c>
      <c r="F49" s="92"/>
      <c r="G49" s="92"/>
      <c r="H49" s="90"/>
      <c r="I49" s="90"/>
      <c r="J49" s="90"/>
      <c r="K49" s="90"/>
      <c r="L49" s="90"/>
    </row>
    <row r="50" spans="1:12" ht="13.5" customHeight="1" outlineLevel="1">
      <c r="A50" s="82"/>
      <c r="C50" s="91" t="s">
        <v>84</v>
      </c>
      <c r="F50" s="92"/>
      <c r="G50" s="92"/>
      <c r="H50" s="90"/>
      <c r="I50" s="90"/>
      <c r="J50" s="90"/>
      <c r="K50" s="90"/>
      <c r="L50" s="90"/>
    </row>
    <row r="51" spans="1:12" ht="13.5" customHeight="1" outlineLevel="1">
      <c r="A51" s="82"/>
      <c r="C51" s="76" t="s">
        <v>33</v>
      </c>
      <c r="D51" s="77"/>
      <c r="E51" s="77"/>
      <c r="F51" s="93">
        <f>SUM(F47:F50)</f>
        <v>0</v>
      </c>
      <c r="G51" s="93">
        <f>SUM(G47:G50)</f>
        <v>0</v>
      </c>
      <c r="H51" s="94"/>
      <c r="I51" s="94"/>
      <c r="J51" s="94"/>
      <c r="K51" s="94"/>
      <c r="L51" s="94"/>
    </row>
    <row r="52" spans="1:12" ht="13.5" customHeight="1" outlineLevel="1">
      <c r="A52" s="82"/>
      <c r="C52" s="91" t="s">
        <v>85</v>
      </c>
      <c r="D52" s="95"/>
      <c r="E52" s="95"/>
      <c r="F52" s="96"/>
      <c r="G52" s="96"/>
      <c r="H52" s="97"/>
      <c r="I52" s="97"/>
      <c r="J52" s="97"/>
      <c r="K52" s="97"/>
      <c r="L52" s="97"/>
    </row>
    <row r="53" spans="1:12" ht="13.5" customHeight="1" outlineLevel="1">
      <c r="A53" s="82"/>
      <c r="C53" s="91" t="s">
        <v>86</v>
      </c>
      <c r="D53" s="95"/>
      <c r="E53" s="95"/>
      <c r="F53" s="96"/>
      <c r="G53" s="96"/>
      <c r="H53" s="94"/>
      <c r="I53" s="94"/>
      <c r="J53" s="94"/>
      <c r="K53" s="94"/>
      <c r="L53" s="94"/>
    </row>
    <row r="54" spans="1:12" ht="13.5" customHeight="1" outlineLevel="1">
      <c r="A54" s="82"/>
      <c r="C54" s="76" t="s">
        <v>34</v>
      </c>
      <c r="D54" s="77"/>
      <c r="E54" s="77"/>
      <c r="F54" s="78"/>
      <c r="G54" s="78"/>
      <c r="H54" s="94"/>
      <c r="I54" s="94"/>
      <c r="J54" s="94"/>
      <c r="K54" s="94"/>
      <c r="L54" s="94"/>
    </row>
    <row r="55" spans="1:12" ht="13.5" customHeight="1" outlineLevel="1">
      <c r="A55" s="82"/>
      <c r="C55" s="98" t="s">
        <v>87</v>
      </c>
      <c r="D55" s="95"/>
      <c r="E55" s="95"/>
      <c r="F55" s="99">
        <v>0</v>
      </c>
      <c r="G55" s="99">
        <v>0</v>
      </c>
      <c r="H55" s="94"/>
      <c r="I55" s="94"/>
      <c r="J55" s="94"/>
      <c r="K55" s="94"/>
      <c r="L55" s="94"/>
    </row>
    <row r="56" spans="1:12" ht="13.5" customHeight="1" outlineLevel="1">
      <c r="A56" s="82"/>
      <c r="C56" s="98" t="s">
        <v>88</v>
      </c>
      <c r="D56" s="95"/>
      <c r="E56" s="95"/>
      <c r="F56" s="92"/>
      <c r="G56" s="92"/>
      <c r="H56" s="94"/>
      <c r="I56" s="94"/>
      <c r="J56" s="94"/>
      <c r="K56" s="94"/>
      <c r="L56" s="94"/>
    </row>
    <row r="57" spans="1:12" ht="13.5" customHeight="1" outlineLevel="1">
      <c r="A57" s="82"/>
      <c r="C57" s="100" t="s">
        <v>36</v>
      </c>
      <c r="D57" s="101"/>
      <c r="E57" s="101"/>
      <c r="F57" s="102">
        <f>SUM(F51,F54:F56)</f>
        <v>0</v>
      </c>
      <c r="G57" s="102">
        <f>SUM(G51,G54:G56)</f>
        <v>0</v>
      </c>
      <c r="H57" s="103"/>
      <c r="I57" s="103"/>
      <c r="J57" s="103"/>
      <c r="K57" s="103"/>
      <c r="L57" s="103"/>
    </row>
    <row r="58" spans="1:12" ht="13.5" customHeight="1" outlineLevel="1">
      <c r="A58" s="82"/>
      <c r="H58" s="104"/>
      <c r="I58" s="104"/>
      <c r="J58" s="104"/>
      <c r="K58" s="104"/>
      <c r="L58" s="104"/>
    </row>
    <row r="59" spans="1:12" ht="13.5" customHeight="1" outlineLevel="1">
      <c r="A59" s="82"/>
      <c r="C59" s="84" t="s">
        <v>89</v>
      </c>
      <c r="D59" s="85"/>
      <c r="E59" s="86"/>
      <c r="F59" s="86"/>
      <c r="G59" s="86"/>
      <c r="H59" s="86"/>
      <c r="I59" s="86"/>
      <c r="J59" s="86"/>
      <c r="K59" s="86"/>
      <c r="L59" s="87"/>
    </row>
    <row r="60" spans="1:12" ht="13.5" customHeight="1" outlineLevel="1">
      <c r="A60" s="82"/>
      <c r="C60" s="59"/>
      <c r="D60" s="59"/>
      <c r="E60" s="59"/>
      <c r="F60" s="60"/>
      <c r="G60" s="60"/>
      <c r="H60" s="60"/>
      <c r="I60" s="60"/>
      <c r="J60" s="60"/>
      <c r="K60" s="60"/>
    </row>
    <row r="61" spans="1:12" ht="13.5" customHeight="1" outlineLevel="1">
      <c r="A61" s="82"/>
      <c r="C61" s="91" t="s">
        <v>37</v>
      </c>
      <c r="D61" s="95"/>
      <c r="E61" s="95"/>
      <c r="F61" s="92"/>
      <c r="G61" s="92"/>
      <c r="H61" s="90"/>
      <c r="I61" s="90"/>
      <c r="J61" s="90"/>
      <c r="K61" s="90"/>
      <c r="L61" s="90"/>
    </row>
    <row r="62" spans="1:12" ht="13.5" customHeight="1" outlineLevel="1">
      <c r="A62" s="82"/>
      <c r="C62" s="91" t="s">
        <v>38</v>
      </c>
      <c r="D62" s="95"/>
      <c r="E62" s="95"/>
      <c r="F62" s="92"/>
      <c r="G62" s="92"/>
      <c r="H62" s="90"/>
      <c r="I62" s="90"/>
      <c r="J62" s="90"/>
      <c r="K62" s="90"/>
      <c r="L62" s="90"/>
    </row>
    <row r="63" spans="1:12" ht="13.5" customHeight="1" outlineLevel="1">
      <c r="A63" s="82"/>
      <c r="C63" s="91" t="s">
        <v>39</v>
      </c>
      <c r="D63" s="95"/>
      <c r="E63" s="95"/>
      <c r="F63" s="92"/>
      <c r="G63" s="92"/>
      <c r="H63" s="90"/>
      <c r="I63" s="90"/>
      <c r="J63" s="90"/>
      <c r="K63" s="90"/>
      <c r="L63" s="90"/>
    </row>
    <row r="64" spans="1:12" ht="13.5" customHeight="1" outlineLevel="1">
      <c r="A64" s="82"/>
      <c r="C64" s="76" t="s">
        <v>40</v>
      </c>
      <c r="D64" s="77"/>
      <c r="E64" s="77"/>
      <c r="F64" s="93">
        <f>SUM(F61:F63)</f>
        <v>0</v>
      </c>
      <c r="G64" s="93">
        <f>SUM(G61:G63)</f>
        <v>0</v>
      </c>
      <c r="H64" s="94"/>
      <c r="I64" s="94"/>
      <c r="J64" s="94"/>
      <c r="K64" s="94"/>
      <c r="L64" s="94"/>
    </row>
    <row r="65" spans="1:19" ht="13.5" customHeight="1" outlineLevel="1">
      <c r="A65" s="82"/>
      <c r="C65" s="91" t="s">
        <v>41</v>
      </c>
      <c r="D65" s="95"/>
      <c r="E65" s="95"/>
      <c r="F65" s="92"/>
      <c r="G65" s="92"/>
      <c r="H65" s="97"/>
      <c r="I65" s="97"/>
      <c r="J65" s="97"/>
      <c r="K65" s="97"/>
      <c r="L65" s="97"/>
    </row>
    <row r="66" spans="1:19" ht="13.5" customHeight="1" outlineLevel="1">
      <c r="A66" s="82"/>
      <c r="C66" s="91" t="s">
        <v>42</v>
      </c>
      <c r="D66" s="95"/>
      <c r="E66" s="95"/>
      <c r="F66" s="92"/>
      <c r="G66" s="92"/>
      <c r="H66" s="94"/>
      <c r="I66" s="94"/>
      <c r="J66" s="94"/>
      <c r="K66" s="94"/>
      <c r="L66" s="94"/>
    </row>
    <row r="67" spans="1:19" ht="13.5" customHeight="1" outlineLevel="1">
      <c r="A67" s="82"/>
      <c r="C67" s="91" t="s">
        <v>90</v>
      </c>
      <c r="D67" s="95"/>
      <c r="E67" s="95"/>
      <c r="F67" s="92"/>
      <c r="G67" s="92"/>
      <c r="H67" s="97"/>
      <c r="I67" s="97"/>
      <c r="J67" s="97"/>
      <c r="K67" s="97"/>
      <c r="L67" s="97"/>
    </row>
    <row r="68" spans="1:19" ht="13.5" customHeight="1" outlineLevel="1">
      <c r="A68" s="82"/>
      <c r="C68" s="91" t="s">
        <v>91</v>
      </c>
      <c r="D68" s="95"/>
      <c r="E68" s="95"/>
      <c r="F68" s="92"/>
      <c r="G68" s="92"/>
      <c r="H68" s="97"/>
      <c r="I68" s="97"/>
      <c r="J68" s="97"/>
      <c r="K68" s="97"/>
      <c r="L68" s="97"/>
    </row>
    <row r="69" spans="1:19" ht="13.5" customHeight="1" outlineLevel="1">
      <c r="A69" s="82"/>
      <c r="C69" s="76" t="s">
        <v>92</v>
      </c>
      <c r="D69" s="77"/>
      <c r="E69" s="77"/>
      <c r="F69" s="93">
        <f>SUM(F65:F68)</f>
        <v>0</v>
      </c>
      <c r="G69" s="93">
        <f>SUM(G65:G68)</f>
        <v>0</v>
      </c>
      <c r="H69" s="94"/>
      <c r="I69" s="94"/>
      <c r="J69" s="94"/>
      <c r="K69" s="94"/>
      <c r="L69" s="94"/>
    </row>
    <row r="70" spans="1:19" ht="13.5" customHeight="1" outlineLevel="1">
      <c r="A70" s="82"/>
      <c r="C70" s="68" t="s">
        <v>93</v>
      </c>
      <c r="F70" s="92"/>
      <c r="G70" s="92"/>
      <c r="H70" s="97"/>
      <c r="I70" s="97"/>
      <c r="J70" s="97"/>
      <c r="K70" s="97"/>
      <c r="L70" s="97"/>
      <c r="M70" s="82"/>
    </row>
    <row r="71" spans="1:19" ht="13.5" customHeight="1" outlineLevel="1">
      <c r="A71" s="82"/>
      <c r="C71" s="76" t="s">
        <v>94</v>
      </c>
      <c r="D71" s="77"/>
      <c r="E71" s="77"/>
      <c r="F71" s="93">
        <f>SUM(F64,F69:F70)</f>
        <v>0</v>
      </c>
      <c r="G71" s="93">
        <f>SUM(G64,G69:G70)</f>
        <v>0</v>
      </c>
      <c r="H71" s="94"/>
      <c r="I71" s="94"/>
      <c r="J71" s="94"/>
      <c r="K71" s="94"/>
      <c r="L71" s="94"/>
      <c r="M71" s="82"/>
    </row>
    <row r="72" spans="1:19" ht="13.5" customHeight="1" outlineLevel="1">
      <c r="A72" s="82"/>
      <c r="C72" s="98" t="s">
        <v>47</v>
      </c>
      <c r="F72" s="92"/>
      <c r="G72" s="92"/>
      <c r="H72" s="97"/>
      <c r="I72" s="97"/>
      <c r="J72" s="97"/>
      <c r="K72" s="97"/>
      <c r="L72" s="97"/>
      <c r="M72" s="82"/>
    </row>
    <row r="73" spans="1:19" ht="13.5" customHeight="1" outlineLevel="1">
      <c r="A73" s="82"/>
      <c r="C73" s="98" t="s">
        <v>48</v>
      </c>
      <c r="F73" s="92"/>
      <c r="G73" s="92"/>
      <c r="H73" s="97"/>
      <c r="I73" s="97"/>
      <c r="J73" s="97"/>
      <c r="K73" s="97"/>
      <c r="L73" s="97"/>
      <c r="M73" s="82"/>
    </row>
    <row r="74" spans="1:19" ht="13.5" customHeight="1" outlineLevel="1">
      <c r="A74" s="82"/>
      <c r="C74" s="100" t="s">
        <v>95</v>
      </c>
      <c r="D74" s="101"/>
      <c r="E74" s="101"/>
      <c r="F74" s="105">
        <f>SUM(F71:F73)</f>
        <v>0</v>
      </c>
      <c r="G74" s="105">
        <f>SUM(G71:G73)</f>
        <v>0</v>
      </c>
      <c r="H74" s="103"/>
      <c r="I74" s="103"/>
      <c r="J74" s="103"/>
      <c r="K74" s="103"/>
      <c r="L74" s="103"/>
      <c r="M74" s="82"/>
    </row>
    <row r="75" spans="1:19" s="106" customFormat="1" ht="13.5" customHeight="1" outlineLevel="1">
      <c r="A75" s="82"/>
      <c r="C75" s="107"/>
      <c r="D75" s="108"/>
      <c r="E75" s="108"/>
      <c r="F75" s="109"/>
      <c r="G75" s="109"/>
      <c r="H75" s="109"/>
      <c r="I75" s="109"/>
      <c r="J75" s="109"/>
      <c r="K75" s="109"/>
      <c r="L75" s="109"/>
      <c r="M75" s="82"/>
    </row>
    <row r="76" spans="1:19" s="114" customFormat="1" ht="13.5" customHeight="1" outlineLevel="1">
      <c r="A76" s="82"/>
      <c r="B76" s="110"/>
      <c r="C76" s="111"/>
      <c r="D76" s="111"/>
      <c r="E76" s="111"/>
      <c r="F76" s="112"/>
      <c r="G76" s="113"/>
      <c r="H76" s="113"/>
      <c r="I76" s="113"/>
      <c r="J76" s="113"/>
      <c r="K76" s="113"/>
      <c r="L76" s="113"/>
      <c r="M76" s="82"/>
    </row>
    <row r="77" spans="1:19" ht="5.0999999999999996" customHeight="1" outlineLevel="1" thickBot="1">
      <c r="A77" s="82"/>
      <c r="C77" s="115"/>
      <c r="D77" s="115"/>
      <c r="E77" s="115"/>
      <c r="F77" s="116"/>
      <c r="G77" s="116"/>
      <c r="H77" s="117"/>
      <c r="I77" s="117"/>
      <c r="J77" s="117"/>
      <c r="K77" s="117"/>
      <c r="L77" s="117"/>
    </row>
    <row r="78" spans="1:19" ht="13.5" customHeight="1" outlineLevel="1" thickBot="1">
      <c r="A78" s="82"/>
      <c r="C78" s="118"/>
      <c r="D78" s="118"/>
      <c r="E78" s="118"/>
    </row>
    <row r="79" spans="1:19" ht="13.5" customHeight="1" thickTop="1">
      <c r="A79" s="82"/>
      <c r="B79" s="46" t="s">
        <v>61</v>
      </c>
      <c r="C79" s="119" t="s">
        <v>96</v>
      </c>
      <c r="D79" s="82"/>
      <c r="E79" s="82"/>
      <c r="F79" s="82"/>
      <c r="G79" s="82"/>
      <c r="H79" s="82"/>
      <c r="I79" s="82"/>
      <c r="J79" s="82"/>
      <c r="K79" s="82"/>
      <c r="L79" s="82"/>
      <c r="M79" s="82"/>
      <c r="N79" s="82"/>
      <c r="O79" s="82"/>
      <c r="P79" s="82"/>
      <c r="Q79" s="82"/>
      <c r="R79" s="82"/>
      <c r="S79" s="82"/>
    </row>
    <row r="80" spans="1:19" ht="15" outlineLevel="1">
      <c r="A80" s="82"/>
      <c r="B80" s="82"/>
      <c r="C80" s="120" t="s">
        <v>3</v>
      </c>
      <c r="D80" s="82"/>
      <c r="E80" s="82"/>
      <c r="F80" s="82"/>
      <c r="G80" s="82"/>
      <c r="H80" s="82"/>
      <c r="I80" s="82"/>
      <c r="J80" s="82"/>
      <c r="K80" s="82"/>
      <c r="L80" s="82"/>
      <c r="M80" s="82"/>
      <c r="N80" s="82"/>
      <c r="O80" s="82"/>
      <c r="P80" s="82"/>
      <c r="Q80" s="82"/>
      <c r="R80" s="82"/>
      <c r="S80" s="82"/>
    </row>
    <row r="81" spans="1:19" ht="15" outlineLevel="1">
      <c r="A81" s="82"/>
      <c r="B81" s="82"/>
      <c r="C81" s="121" t="s">
        <v>97</v>
      </c>
      <c r="D81" s="82"/>
      <c r="E81" s="82"/>
      <c r="F81" s="122"/>
      <c r="G81" s="122"/>
      <c r="H81" s="82"/>
      <c r="I81" s="82"/>
      <c r="J81" s="82"/>
      <c r="K81" s="82"/>
      <c r="L81" s="82"/>
      <c r="M81" s="82"/>
      <c r="N81" s="82"/>
      <c r="O81" s="82"/>
      <c r="P81" s="82"/>
      <c r="Q81" s="82"/>
      <c r="R81" s="82"/>
      <c r="S81" s="82"/>
    </row>
    <row r="82" spans="1:19" ht="15" outlineLevel="1">
      <c r="A82" s="82"/>
      <c r="B82" s="82"/>
      <c r="C82" s="121" t="s">
        <v>67</v>
      </c>
      <c r="D82" s="82"/>
      <c r="E82" s="82"/>
      <c r="F82" s="122"/>
      <c r="G82" s="122"/>
      <c r="H82" s="82"/>
      <c r="I82" s="82"/>
      <c r="J82" s="82"/>
      <c r="K82" s="82"/>
      <c r="L82" s="82"/>
      <c r="M82" s="82"/>
      <c r="N82" s="82"/>
      <c r="O82" s="82"/>
      <c r="P82" s="82"/>
      <c r="Q82" s="82"/>
      <c r="R82" s="82"/>
      <c r="S82" s="82"/>
    </row>
    <row r="83" spans="1:19" ht="15" outlineLevel="1">
      <c r="A83" s="82"/>
      <c r="B83" s="82"/>
      <c r="C83" s="121" t="s">
        <v>70</v>
      </c>
      <c r="D83" s="82"/>
      <c r="E83" s="82"/>
      <c r="F83" s="122"/>
      <c r="G83" s="122"/>
      <c r="H83" s="82"/>
      <c r="I83" s="82"/>
      <c r="J83" s="82"/>
      <c r="K83" s="82"/>
      <c r="L83" s="82"/>
      <c r="M83" s="82"/>
      <c r="N83" s="82"/>
      <c r="O83" s="82"/>
      <c r="P83" s="82"/>
      <c r="Q83" s="82"/>
      <c r="R83" s="82"/>
      <c r="S83" s="82"/>
    </row>
    <row r="84" spans="1:19" ht="15" outlineLevel="1">
      <c r="A84" s="82"/>
      <c r="B84" s="82"/>
      <c r="C84" s="121" t="s">
        <v>22</v>
      </c>
      <c r="D84" s="82"/>
      <c r="E84" s="82"/>
      <c r="F84" s="122"/>
      <c r="G84" s="122"/>
      <c r="H84" s="82"/>
      <c r="I84" s="82"/>
      <c r="J84" s="82"/>
      <c r="K84" s="82"/>
      <c r="L84" s="82"/>
      <c r="M84" s="82"/>
      <c r="N84" s="82"/>
      <c r="O84" s="82"/>
      <c r="P84" s="82"/>
      <c r="Q84" s="82"/>
      <c r="R84" s="82"/>
      <c r="S84" s="82"/>
    </row>
    <row r="85" spans="1:19" ht="15" outlineLevel="1">
      <c r="A85" s="82"/>
      <c r="B85" s="82"/>
      <c r="C85" s="121"/>
      <c r="D85" s="82"/>
      <c r="E85" s="82"/>
      <c r="F85" s="122"/>
      <c r="G85" s="122"/>
      <c r="H85" s="82"/>
      <c r="I85" s="82"/>
      <c r="J85" s="82"/>
      <c r="K85" s="82"/>
      <c r="L85" s="82"/>
      <c r="M85" s="82"/>
      <c r="N85" s="82"/>
      <c r="O85" s="82"/>
      <c r="P85" s="82"/>
      <c r="Q85" s="82"/>
      <c r="R85" s="82"/>
      <c r="S85" s="82"/>
    </row>
    <row r="86" spans="1:19" ht="15" outlineLevel="1">
      <c r="A86" s="82"/>
      <c r="B86" s="82"/>
      <c r="C86" s="120" t="s">
        <v>26</v>
      </c>
      <c r="D86" s="82"/>
      <c r="E86" s="82"/>
      <c r="F86" s="122"/>
      <c r="G86" s="122"/>
      <c r="H86" s="82"/>
      <c r="I86" s="82"/>
      <c r="J86" s="82"/>
      <c r="K86" s="82"/>
      <c r="L86" s="82"/>
      <c r="M86" s="82"/>
      <c r="N86" s="82"/>
      <c r="O86" s="82"/>
      <c r="P86" s="82"/>
      <c r="Q86" s="82"/>
      <c r="R86" s="82"/>
      <c r="S86" s="82"/>
    </row>
    <row r="87" spans="1:19" ht="15" outlineLevel="1">
      <c r="A87" s="82"/>
      <c r="B87" s="82"/>
      <c r="C87" s="121" t="s">
        <v>98</v>
      </c>
      <c r="D87" s="82"/>
      <c r="E87" s="82"/>
      <c r="F87" s="122"/>
      <c r="G87" s="122"/>
      <c r="H87" s="82"/>
      <c r="I87" s="82"/>
      <c r="J87" s="82"/>
      <c r="K87" s="82"/>
      <c r="L87" s="82"/>
      <c r="M87" s="82"/>
      <c r="N87" s="82"/>
      <c r="O87" s="82"/>
      <c r="P87" s="82"/>
      <c r="Q87" s="82"/>
      <c r="R87" s="82"/>
      <c r="S87" s="82"/>
    </row>
    <row r="88" spans="1:19" ht="15" outlineLevel="1">
      <c r="A88" s="82"/>
      <c r="B88" s="82"/>
      <c r="C88" s="121" t="s">
        <v>99</v>
      </c>
      <c r="D88" s="82"/>
      <c r="E88" s="82"/>
      <c r="F88" s="122"/>
      <c r="G88" s="122"/>
      <c r="H88" s="82"/>
      <c r="I88" s="82"/>
      <c r="J88" s="82"/>
      <c r="K88" s="82"/>
      <c r="L88" s="82"/>
      <c r="M88" s="82"/>
      <c r="N88" s="82"/>
      <c r="O88" s="82"/>
      <c r="P88" s="82"/>
      <c r="Q88" s="82"/>
      <c r="R88" s="82"/>
      <c r="S88" s="82"/>
    </row>
    <row r="89" spans="1:19" ht="15" outlineLevel="1">
      <c r="A89" s="82"/>
      <c r="B89" s="82"/>
      <c r="C89" s="121" t="s">
        <v>36</v>
      </c>
      <c r="D89" s="82"/>
      <c r="E89" s="82"/>
      <c r="F89" s="122"/>
      <c r="G89" s="122"/>
      <c r="H89" s="82"/>
      <c r="I89" s="82"/>
      <c r="J89" s="82"/>
      <c r="K89" s="82"/>
      <c r="L89" s="82"/>
      <c r="M89" s="82"/>
      <c r="N89" s="82"/>
      <c r="O89" s="82"/>
      <c r="P89" s="82"/>
      <c r="Q89" s="82"/>
      <c r="R89" s="82"/>
      <c r="S89" s="82"/>
    </row>
    <row r="90" spans="1:19" ht="15" outlineLevel="1">
      <c r="A90" s="82"/>
      <c r="B90" s="82"/>
      <c r="C90" s="121" t="s">
        <v>100</v>
      </c>
      <c r="D90" s="82"/>
      <c r="E90" s="82"/>
      <c r="F90" s="122"/>
      <c r="G90" s="122"/>
      <c r="H90" s="82"/>
      <c r="I90" s="82"/>
      <c r="J90" s="82"/>
      <c r="K90" s="82"/>
      <c r="L90" s="82"/>
      <c r="M90" s="82"/>
      <c r="N90" s="82"/>
      <c r="O90" s="82"/>
      <c r="P90" s="82"/>
      <c r="Q90" s="82"/>
      <c r="R90" s="82"/>
      <c r="S90" s="82"/>
    </row>
    <row r="91" spans="1:19" ht="15" outlineLevel="1">
      <c r="A91" s="82"/>
      <c r="B91" s="82"/>
      <c r="C91" s="121" t="s">
        <v>101</v>
      </c>
      <c r="D91" s="82"/>
      <c r="E91" s="82"/>
      <c r="F91" s="122"/>
      <c r="G91" s="122"/>
      <c r="H91" s="82"/>
      <c r="I91" s="82"/>
      <c r="J91" s="82"/>
      <c r="K91" s="82"/>
      <c r="L91" s="82"/>
      <c r="M91" s="82"/>
      <c r="N91" s="82"/>
      <c r="O91" s="82"/>
      <c r="P91" s="82"/>
      <c r="Q91" s="82"/>
      <c r="R91" s="82"/>
      <c r="S91" s="82"/>
    </row>
    <row r="92" spans="1:19" ht="15" outlineLevel="1">
      <c r="A92" s="82"/>
      <c r="B92" s="82"/>
      <c r="C92" s="121" t="s">
        <v>49</v>
      </c>
      <c r="D92" s="82"/>
      <c r="E92" s="82"/>
      <c r="F92" s="122"/>
      <c r="G92" s="122"/>
      <c r="H92" s="82"/>
      <c r="I92" s="82"/>
      <c r="J92" s="82"/>
      <c r="K92" s="82"/>
      <c r="L92" s="82"/>
      <c r="M92" s="82"/>
      <c r="N92" s="82"/>
      <c r="O92" s="82"/>
      <c r="P92" s="82"/>
      <c r="Q92" s="82"/>
      <c r="R92" s="82"/>
      <c r="S92" s="82"/>
    </row>
    <row r="93" spans="1:19" ht="15" outlineLevel="1">
      <c r="A93" s="82"/>
      <c r="B93" s="82"/>
      <c r="C93" s="121"/>
      <c r="D93" s="82"/>
      <c r="E93" s="82"/>
      <c r="F93" s="122"/>
      <c r="G93" s="122"/>
      <c r="H93" s="82"/>
      <c r="I93" s="82"/>
      <c r="J93" s="82"/>
      <c r="K93" s="82"/>
      <c r="L93" s="82"/>
      <c r="M93" s="82"/>
      <c r="N93" s="82"/>
      <c r="O93" s="82"/>
      <c r="P93" s="82"/>
      <c r="Q93" s="82"/>
      <c r="R93" s="82"/>
      <c r="S93" s="82"/>
    </row>
    <row r="94" spans="1:19" ht="15" outlineLevel="1">
      <c r="A94" s="82"/>
      <c r="B94" s="82"/>
      <c r="C94" s="119" t="s">
        <v>102</v>
      </c>
      <c r="D94" s="82"/>
      <c r="E94" s="82"/>
      <c r="F94" s="122"/>
      <c r="G94" s="122"/>
      <c r="H94" s="82"/>
      <c r="I94" s="82"/>
      <c r="J94" s="82"/>
      <c r="K94" s="82"/>
      <c r="L94" s="82"/>
      <c r="M94" s="82"/>
      <c r="N94" s="82"/>
      <c r="O94" s="82"/>
      <c r="P94" s="82"/>
      <c r="Q94" s="82"/>
      <c r="R94" s="82"/>
      <c r="S94" s="82"/>
    </row>
    <row r="95" spans="1:19" ht="15" outlineLevel="1">
      <c r="A95" s="82"/>
      <c r="B95" s="82"/>
      <c r="C95" s="121" t="s">
        <v>103</v>
      </c>
      <c r="D95" s="82"/>
      <c r="E95" s="82"/>
      <c r="F95" s="122"/>
      <c r="G95" s="122"/>
      <c r="H95" s="82"/>
      <c r="I95" s="82"/>
      <c r="J95" s="82"/>
      <c r="K95" s="82"/>
      <c r="L95" s="82"/>
      <c r="M95" s="82"/>
      <c r="N95" s="82"/>
      <c r="O95" s="82"/>
      <c r="P95" s="82"/>
      <c r="Q95" s="82"/>
      <c r="R95" s="82"/>
      <c r="S95" s="82"/>
    </row>
    <row r="96" spans="1:19" ht="19.5" customHeight="1" outlineLevel="1">
      <c r="A96" s="82"/>
      <c r="B96" s="82"/>
      <c r="C96" s="121"/>
      <c r="D96" s="82"/>
      <c r="E96" s="82"/>
      <c r="F96" s="122"/>
      <c r="G96" s="122"/>
      <c r="H96" s="82"/>
      <c r="I96" s="82"/>
      <c r="J96" s="82"/>
      <c r="K96" s="82"/>
      <c r="L96" s="82"/>
      <c r="M96" s="82"/>
      <c r="N96" s="82"/>
      <c r="O96" s="82"/>
      <c r="P96" s="82"/>
      <c r="Q96" s="82"/>
      <c r="R96" s="82"/>
      <c r="S96" s="82"/>
    </row>
    <row r="97" spans="1:19" ht="19.5" customHeight="1">
      <c r="A97" s="82"/>
      <c r="B97" s="82"/>
      <c r="C97" s="121"/>
      <c r="D97" s="82"/>
      <c r="E97" s="82"/>
      <c r="F97" s="82"/>
      <c r="G97" s="82"/>
      <c r="H97" s="82"/>
      <c r="I97" s="82"/>
      <c r="J97" s="82"/>
      <c r="K97" s="82"/>
      <c r="L97" s="82"/>
      <c r="M97" s="82"/>
      <c r="N97" s="82"/>
      <c r="O97" s="82"/>
      <c r="P97" s="82"/>
      <c r="Q97" s="82"/>
      <c r="R97" s="82"/>
      <c r="S97" s="82"/>
    </row>
    <row r="98" spans="1:19" ht="19.5" customHeight="1">
      <c r="A98" s="82"/>
      <c r="B98" s="82"/>
      <c r="C98" s="121"/>
      <c r="D98" s="82"/>
      <c r="E98" s="82"/>
      <c r="F98" s="82"/>
      <c r="G98" s="82"/>
      <c r="H98" s="82"/>
      <c r="I98" s="82"/>
      <c r="J98" s="82"/>
      <c r="K98" s="82"/>
      <c r="L98" s="82"/>
      <c r="M98" s="82"/>
      <c r="N98" s="82"/>
      <c r="O98" s="82"/>
      <c r="P98" s="82"/>
      <c r="Q98" s="82"/>
      <c r="R98" s="82"/>
      <c r="S98" s="82"/>
    </row>
    <row r="99" spans="1:19" ht="5.0999999999999996" customHeight="1">
      <c r="A99" s="82"/>
      <c r="B99" s="82"/>
      <c r="C99" s="82"/>
      <c r="D99" s="82"/>
      <c r="E99" s="82"/>
      <c r="F99" s="82"/>
      <c r="G99" s="82"/>
      <c r="H99" s="82"/>
      <c r="I99" s="82"/>
      <c r="J99" s="82"/>
      <c r="K99" s="82"/>
      <c r="L99" s="82"/>
      <c r="M99" s="82"/>
      <c r="N99" s="82"/>
      <c r="O99" s="82"/>
      <c r="P99" s="82"/>
      <c r="Q99" s="82"/>
      <c r="R99" s="82"/>
      <c r="S99" s="82"/>
    </row>
    <row r="100" spans="1:19" ht="13.5" customHeight="1">
      <c r="A100" s="82"/>
      <c r="B100" s="82"/>
      <c r="C100" s="123"/>
      <c r="D100" s="82"/>
      <c r="E100" s="82"/>
      <c r="F100" s="82"/>
      <c r="G100" s="82"/>
      <c r="H100" s="82"/>
      <c r="I100" s="82"/>
      <c r="J100" s="82"/>
      <c r="K100" s="82"/>
      <c r="L100" s="82"/>
      <c r="M100" s="82"/>
      <c r="N100" s="82"/>
      <c r="O100" s="82"/>
      <c r="P100" s="82"/>
      <c r="Q100" s="82"/>
      <c r="R100" s="82"/>
      <c r="S100" s="82"/>
    </row>
    <row r="101" spans="1:19" ht="13.5" customHeight="1">
      <c r="A101" s="82"/>
      <c r="B101" s="82"/>
      <c r="C101" s="82"/>
      <c r="D101" s="82"/>
      <c r="E101" s="82"/>
      <c r="F101" s="124"/>
      <c r="G101" s="124"/>
      <c r="H101" s="82"/>
      <c r="I101" s="82"/>
      <c r="J101" s="82"/>
      <c r="K101" s="82"/>
      <c r="L101" s="82"/>
      <c r="M101" s="82"/>
      <c r="N101" s="82"/>
      <c r="O101" s="82"/>
      <c r="P101" s="82"/>
      <c r="Q101" s="82"/>
      <c r="R101" s="82"/>
      <c r="S101" s="82"/>
    </row>
    <row r="102" spans="1:19" ht="13.5" customHeight="1">
      <c r="A102" s="82"/>
      <c r="B102" s="82"/>
      <c r="C102" s="82"/>
      <c r="D102" s="82"/>
      <c r="E102" s="82"/>
      <c r="F102" s="124"/>
      <c r="G102" s="124"/>
      <c r="H102" s="82"/>
      <c r="I102" s="82"/>
      <c r="J102" s="82"/>
      <c r="K102" s="82"/>
      <c r="L102" s="82"/>
      <c r="M102" s="82"/>
      <c r="N102" s="82"/>
      <c r="O102" s="82"/>
      <c r="P102" s="82"/>
      <c r="Q102" s="82"/>
      <c r="R102" s="82"/>
      <c r="S102" s="82"/>
    </row>
    <row r="103" spans="1:19" ht="13.5" customHeight="1">
      <c r="A103" s="82"/>
      <c r="B103" s="82"/>
      <c r="C103" s="82"/>
      <c r="D103" s="82"/>
      <c r="E103" s="82"/>
      <c r="F103" s="124"/>
      <c r="G103" s="124"/>
      <c r="H103" s="82"/>
      <c r="I103" s="82"/>
      <c r="J103" s="82"/>
      <c r="K103" s="82"/>
      <c r="L103" s="82"/>
      <c r="M103" s="82"/>
      <c r="N103" s="82"/>
      <c r="O103" s="82"/>
      <c r="P103" s="82"/>
      <c r="Q103" s="82"/>
      <c r="R103" s="82"/>
      <c r="S103" s="82"/>
    </row>
    <row r="104" spans="1:19" ht="13.5" customHeight="1">
      <c r="A104" s="82"/>
      <c r="B104" s="82"/>
      <c r="C104" s="82"/>
      <c r="D104" s="82"/>
      <c r="E104" s="82"/>
      <c r="F104" s="124"/>
      <c r="G104" s="124"/>
      <c r="H104" s="82"/>
      <c r="I104" s="82"/>
      <c r="J104" s="82"/>
      <c r="K104" s="82"/>
      <c r="L104" s="82"/>
      <c r="M104" s="82"/>
      <c r="N104" s="82"/>
      <c r="O104" s="82"/>
      <c r="P104" s="82"/>
      <c r="Q104" s="82"/>
      <c r="R104" s="82"/>
      <c r="S104" s="82"/>
    </row>
    <row r="105" spans="1:19" ht="13.5" customHeight="1">
      <c r="A105" s="82"/>
      <c r="B105" s="82"/>
      <c r="C105" s="82"/>
      <c r="D105" s="82"/>
      <c r="E105" s="82"/>
      <c r="F105" s="82"/>
      <c r="G105" s="82"/>
      <c r="H105" s="82"/>
      <c r="I105" s="82"/>
      <c r="J105" s="82"/>
      <c r="K105" s="82"/>
      <c r="L105" s="82"/>
      <c r="M105" s="82"/>
      <c r="N105" s="82"/>
      <c r="O105" s="82"/>
      <c r="P105" s="82"/>
      <c r="Q105" s="82"/>
      <c r="R105" s="82"/>
      <c r="S105" s="82"/>
    </row>
    <row r="106" spans="1:19" ht="13.5" customHeight="1">
      <c r="A106" s="82"/>
      <c r="B106" s="82"/>
      <c r="C106" s="123"/>
      <c r="D106" s="82"/>
      <c r="E106" s="82"/>
      <c r="F106" s="82"/>
      <c r="G106" s="82"/>
      <c r="H106" s="82"/>
      <c r="I106" s="82"/>
      <c r="J106" s="82"/>
      <c r="K106" s="82"/>
      <c r="L106" s="82"/>
      <c r="M106" s="82"/>
      <c r="N106" s="82"/>
      <c r="O106" s="82"/>
      <c r="P106" s="82"/>
      <c r="Q106" s="82"/>
      <c r="R106" s="82"/>
      <c r="S106" s="82"/>
    </row>
    <row r="107" spans="1:19" ht="13.5" customHeight="1">
      <c r="A107" s="82"/>
      <c r="B107" s="82"/>
      <c r="C107" s="82"/>
      <c r="D107" s="82"/>
      <c r="E107" s="82"/>
      <c r="F107" s="124"/>
      <c r="G107" s="124"/>
      <c r="H107" s="82"/>
      <c r="I107" s="82"/>
      <c r="J107" s="82"/>
      <c r="K107" s="82"/>
      <c r="L107" s="82"/>
      <c r="M107" s="82"/>
      <c r="N107" s="82"/>
      <c r="O107" s="82"/>
      <c r="P107" s="82"/>
      <c r="Q107" s="82"/>
      <c r="R107" s="82"/>
      <c r="S107" s="82"/>
    </row>
    <row r="108" spans="1:19" ht="13.5" customHeight="1">
      <c r="A108" s="82"/>
      <c r="B108" s="82"/>
      <c r="C108" s="82"/>
      <c r="D108" s="82"/>
      <c r="E108" s="82"/>
      <c r="F108" s="124"/>
      <c r="G108" s="124"/>
      <c r="H108" s="82"/>
      <c r="I108" s="82"/>
      <c r="J108" s="82"/>
      <c r="K108" s="82"/>
      <c r="L108" s="82"/>
      <c r="M108" s="82"/>
      <c r="N108" s="82"/>
      <c r="O108" s="82"/>
      <c r="P108" s="82"/>
      <c r="Q108" s="82"/>
      <c r="R108" s="82"/>
      <c r="S108" s="82"/>
    </row>
    <row r="109" spans="1:19" ht="13.5" customHeight="1">
      <c r="A109" s="82"/>
      <c r="B109" s="82"/>
      <c r="C109" s="82"/>
      <c r="D109" s="82"/>
      <c r="E109" s="82"/>
      <c r="F109" s="124"/>
      <c r="G109" s="124"/>
      <c r="H109" s="82"/>
      <c r="I109" s="82"/>
      <c r="J109" s="82"/>
      <c r="K109" s="82"/>
      <c r="L109" s="82"/>
      <c r="M109" s="82"/>
      <c r="N109" s="82"/>
      <c r="O109" s="82"/>
      <c r="P109" s="82"/>
      <c r="Q109" s="82"/>
      <c r="R109" s="82"/>
      <c r="S109" s="82"/>
    </row>
    <row r="110" spans="1:19" ht="13.5" customHeight="1">
      <c r="A110" s="82"/>
      <c r="B110" s="82"/>
      <c r="C110" s="82"/>
      <c r="D110" s="82"/>
      <c r="E110" s="82"/>
      <c r="F110" s="124"/>
      <c r="G110" s="124"/>
      <c r="H110" s="82"/>
      <c r="I110" s="82"/>
      <c r="J110" s="82"/>
      <c r="K110" s="82"/>
      <c r="L110" s="82"/>
      <c r="M110" s="82"/>
      <c r="N110" s="82"/>
      <c r="O110" s="82"/>
      <c r="P110" s="82"/>
      <c r="Q110" s="82"/>
      <c r="R110" s="82"/>
      <c r="S110" s="82"/>
    </row>
    <row r="111" spans="1:19" ht="5.0999999999999996" customHeight="1">
      <c r="A111" s="82"/>
      <c r="B111" s="82"/>
      <c r="C111" s="82"/>
      <c r="D111" s="82"/>
      <c r="E111" s="82"/>
      <c r="F111" s="82"/>
      <c r="G111" s="82"/>
      <c r="H111" s="82"/>
      <c r="I111" s="82"/>
      <c r="J111" s="82"/>
      <c r="K111" s="82"/>
      <c r="L111" s="82"/>
      <c r="M111" s="82"/>
      <c r="N111" s="82"/>
      <c r="O111" s="82"/>
      <c r="P111" s="82"/>
      <c r="Q111" s="82"/>
      <c r="R111" s="82"/>
      <c r="S111" s="82"/>
    </row>
    <row r="112" spans="1:19" ht="13.5" customHeight="1">
      <c r="A112" s="82"/>
      <c r="B112" s="82"/>
      <c r="C112" s="82"/>
      <c r="D112" s="82"/>
      <c r="E112" s="82"/>
      <c r="F112" s="124"/>
      <c r="G112" s="124"/>
      <c r="H112" s="82"/>
      <c r="I112" s="82"/>
      <c r="J112" s="82"/>
      <c r="K112" s="82"/>
      <c r="L112" s="82"/>
      <c r="M112" s="82"/>
      <c r="N112" s="82"/>
      <c r="O112" s="82"/>
      <c r="P112" s="82"/>
      <c r="Q112" s="82"/>
      <c r="R112" s="82"/>
      <c r="S112" s="82"/>
    </row>
    <row r="113" spans="1:19" ht="13.5" customHeight="1">
      <c r="A113" s="82"/>
      <c r="B113" s="82"/>
      <c r="C113" s="82"/>
      <c r="D113" s="82"/>
      <c r="E113" s="82"/>
      <c r="F113" s="124"/>
      <c r="G113" s="124"/>
      <c r="H113" s="82"/>
      <c r="I113" s="82"/>
      <c r="J113" s="82"/>
      <c r="K113" s="82"/>
      <c r="L113" s="82"/>
      <c r="M113" s="82"/>
      <c r="N113" s="82"/>
      <c r="O113" s="82"/>
      <c r="P113" s="82"/>
      <c r="Q113" s="82"/>
      <c r="R113" s="82"/>
      <c r="S113" s="82"/>
    </row>
    <row r="114" spans="1:19" ht="13.5" customHeight="1">
      <c r="A114" s="82"/>
      <c r="B114" s="82"/>
      <c r="C114" s="82"/>
      <c r="D114" s="82"/>
      <c r="E114" s="82"/>
      <c r="F114" s="82"/>
      <c r="G114" s="82"/>
      <c r="H114" s="82"/>
      <c r="I114" s="82"/>
      <c r="J114" s="82"/>
      <c r="K114" s="82"/>
      <c r="L114" s="82"/>
      <c r="M114" s="82"/>
      <c r="N114" s="82"/>
      <c r="O114" s="82"/>
      <c r="P114" s="82"/>
      <c r="Q114" s="82"/>
      <c r="R114" s="82"/>
      <c r="S114" s="82"/>
    </row>
    <row r="115" spans="1:19" ht="13.5" customHeight="1">
      <c r="F115" s="124"/>
      <c r="G115" s="124"/>
    </row>
  </sheetData>
  <pageMargins left="0.25" right="0.25" top="0.75" bottom="0.75" header="0.3" footer="0.3"/>
  <pageSetup scale="47" orientation="landscape" r:id="rId1"/>
  <headerFooter alignWithMargins="0">
    <oddHeader>&amp;A</oddHeader>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8FBEC-8EEE-4548-9B29-89D1651F8910}">
  <sheetPr>
    <tabColor rgb="FF416D89"/>
    <outlinePr summaryBelow="0"/>
    <pageSetUpPr fitToPage="1"/>
  </sheetPr>
  <dimension ref="A1:S11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4" width="11.7109375" style="29" customWidth="1"/>
    <col min="5" max="5" width="14.85546875" style="29" customWidth="1"/>
    <col min="6" max="7" width="11.7109375" style="29" customWidth="1"/>
    <col min="8" max="12" width="13" style="29" customWidth="1"/>
    <col min="13" max="16384" width="9.140625" style="29"/>
  </cols>
  <sheetData>
    <row r="1" spans="1:13" ht="13.5" customHeight="1">
      <c r="C1" s="30"/>
      <c r="E1" s="31"/>
      <c r="F1" s="31"/>
      <c r="G1" s="31"/>
    </row>
    <row r="2" spans="1:13" ht="21" outlineLevel="1">
      <c r="B2" s="32"/>
      <c r="C2" s="33" t="s">
        <v>54</v>
      </c>
      <c r="D2" s="34"/>
      <c r="E2" s="35"/>
      <c r="F2" s="35"/>
      <c r="G2" s="36"/>
      <c r="H2" s="36"/>
      <c r="I2" s="36"/>
      <c r="J2" s="36"/>
      <c r="K2" s="36"/>
      <c r="L2" s="36"/>
    </row>
    <row r="3" spans="1:13" ht="13.5" customHeight="1" outlineLevel="1">
      <c r="C3" s="37" t="s">
        <v>55</v>
      </c>
      <c r="D3" s="34"/>
      <c r="E3" s="38"/>
      <c r="F3" s="38"/>
      <c r="G3" s="38"/>
      <c r="H3" s="34"/>
      <c r="I3" s="34"/>
      <c r="J3" s="34"/>
      <c r="K3" s="34"/>
      <c r="L3" s="34"/>
    </row>
    <row r="4" spans="1:13" ht="13.5" customHeight="1" outlineLevel="1">
      <c r="C4" s="37"/>
      <c r="D4" s="34"/>
      <c r="E4" s="38"/>
      <c r="F4" s="38"/>
      <c r="G4" s="38"/>
      <c r="H4" s="34"/>
      <c r="I4" s="34"/>
      <c r="J4" s="34"/>
      <c r="K4" s="34"/>
      <c r="L4" s="34"/>
    </row>
    <row r="5" spans="1:13" ht="13.5" customHeight="1" outlineLevel="1">
      <c r="C5" s="30"/>
      <c r="E5" s="31"/>
      <c r="F5" s="31"/>
      <c r="G5" s="31"/>
      <c r="I5" s="39"/>
      <c r="J5" s="39" t="s">
        <v>56</v>
      </c>
    </row>
    <row r="6" spans="1:13" ht="13.5" customHeight="1" outlineLevel="1">
      <c r="C6" s="40" t="s">
        <v>57</v>
      </c>
      <c r="D6" s="41"/>
      <c r="E6" s="42"/>
      <c r="F6" s="43" t="s">
        <v>58</v>
      </c>
      <c r="G6" s="43"/>
      <c r="I6" s="44"/>
      <c r="J6" s="44" t="s">
        <v>59</v>
      </c>
    </row>
    <row r="7" spans="1:13" ht="13.5" customHeight="1" outlineLevel="1" thickBot="1">
      <c r="C7" s="30"/>
      <c r="E7" s="31"/>
      <c r="F7" s="31"/>
      <c r="G7" s="31"/>
      <c r="I7" s="45"/>
      <c r="J7" s="45" t="s">
        <v>60</v>
      </c>
    </row>
    <row r="8" spans="1:13" ht="21.75" thickTop="1">
      <c r="B8" s="46" t="s">
        <v>61</v>
      </c>
      <c r="C8" s="47" t="s">
        <v>3</v>
      </c>
      <c r="D8" s="48"/>
      <c r="E8" s="49"/>
      <c r="F8" s="49"/>
      <c r="G8" s="49"/>
      <c r="H8" s="49"/>
      <c r="I8" s="49"/>
      <c r="J8" s="49"/>
      <c r="K8" s="49"/>
      <c r="L8" s="49"/>
      <c r="M8" s="50" t="s">
        <v>62</v>
      </c>
    </row>
    <row r="9" spans="1:13" ht="5.0999999999999996" customHeight="1" outlineLevel="1">
      <c r="C9" s="51"/>
      <c r="D9" s="52"/>
    </row>
    <row r="10" spans="1:13" ht="13.5" customHeight="1" outlineLevel="1">
      <c r="C10" s="53"/>
      <c r="D10" s="53"/>
      <c r="E10" s="53"/>
      <c r="F10" s="54" t="s">
        <v>63</v>
      </c>
      <c r="G10" s="54" t="s">
        <v>63</v>
      </c>
      <c r="H10" s="55" t="s">
        <v>64</v>
      </c>
      <c r="I10" s="55"/>
      <c r="J10" s="55"/>
      <c r="K10" s="55"/>
      <c r="L10" s="55"/>
    </row>
    <row r="11" spans="1: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1:13" ht="5.0999999999999996" customHeight="1" outlineLevel="1">
      <c r="A12" s="125"/>
      <c r="C12" s="59"/>
      <c r="D12" s="59"/>
      <c r="E12" s="59"/>
      <c r="F12" s="60"/>
      <c r="G12" s="60"/>
      <c r="H12" s="60"/>
      <c r="I12" s="60"/>
      <c r="J12" s="60"/>
      <c r="K12" s="60"/>
    </row>
    <row r="13" spans="1:13" ht="13.5" customHeight="1" outlineLevel="1">
      <c r="A13" s="125"/>
      <c r="C13" s="61" t="s">
        <v>7</v>
      </c>
      <c r="D13" s="61"/>
      <c r="E13" s="61"/>
      <c r="F13" s="62">
        <f>'Financials from CIP'!D13/1000</f>
        <v>78.565675999999996</v>
      </c>
      <c r="G13" s="62">
        <f>'Financials from CIP'!E13/1000</f>
        <v>90.614007999999998</v>
      </c>
      <c r="H13" s="60"/>
      <c r="I13" s="60"/>
      <c r="J13" s="60"/>
      <c r="K13" s="60"/>
      <c r="L13" s="60"/>
      <c r="M13" s="60"/>
    </row>
    <row r="14" spans="1:13" ht="13.5" customHeight="1" outlineLevel="1">
      <c r="A14" s="125"/>
      <c r="C14" s="63" t="s">
        <v>66</v>
      </c>
      <c r="D14" s="63"/>
      <c r="E14" s="63"/>
      <c r="F14" s="64">
        <f>SUM('Financials from CIP'!D15:D17)/1000</f>
        <v>51.562188999999996</v>
      </c>
      <c r="G14" s="64">
        <f>SUM('Financials from CIP'!E15:E17)/1000</f>
        <v>61.618676000000001</v>
      </c>
      <c r="H14" s="60"/>
      <c r="I14" s="60"/>
      <c r="J14" s="60"/>
      <c r="K14" s="60"/>
      <c r="L14" s="60"/>
      <c r="M14" s="60"/>
    </row>
    <row r="15" spans="1:13" ht="13.5" customHeight="1" outlineLevel="1">
      <c r="A15" s="125"/>
      <c r="C15" s="65" t="s">
        <v>67</v>
      </c>
      <c r="D15" s="65"/>
      <c r="E15" s="65"/>
      <c r="F15" s="66">
        <f t="shared" ref="F15:G15" si="1">F13-F14</f>
        <v>27.003487</v>
      </c>
      <c r="G15" s="66">
        <f t="shared" si="1"/>
        <v>28.995331999999998</v>
      </c>
      <c r="H15" s="60"/>
      <c r="I15" s="60"/>
      <c r="J15" s="60"/>
      <c r="K15" s="60"/>
      <c r="L15" s="60"/>
      <c r="M15" s="60"/>
    </row>
    <row r="16" spans="1:13" ht="13.5" customHeight="1" outlineLevel="1">
      <c r="A16" s="125"/>
      <c r="C16" s="67" t="s">
        <v>68</v>
      </c>
      <c r="D16" s="68"/>
      <c r="E16" s="68"/>
      <c r="F16" s="69">
        <f>IFERROR(F15/F$13,"N/M")</f>
        <v>0.34370590790818117</v>
      </c>
      <c r="G16" s="69">
        <f>IFERROR(G15/G$13,"N/M")</f>
        <v>0.31998730262543951</v>
      </c>
      <c r="H16" s="60"/>
      <c r="I16" s="60"/>
      <c r="J16" s="60"/>
      <c r="K16" s="60"/>
      <c r="L16" s="60"/>
      <c r="M16" s="60"/>
    </row>
    <row r="17" spans="1:13" ht="13.5" customHeight="1" outlineLevel="1">
      <c r="A17" s="125"/>
      <c r="C17" s="63" t="s">
        <v>69</v>
      </c>
      <c r="D17" s="63"/>
      <c r="E17" s="63"/>
      <c r="F17" s="64">
        <f>SUM('Financials from CIP'!D23:D24,'Financials from CIP'!D28)/1000</f>
        <v>14.179914999999999</v>
      </c>
      <c r="G17" s="64">
        <f>SUM('Financials from CIP'!E23:E24,'Financials from CIP'!E28)/1000</f>
        <v>15.4366889395</v>
      </c>
      <c r="H17" s="60"/>
      <c r="I17" s="60"/>
      <c r="J17" s="60"/>
      <c r="K17" s="60"/>
      <c r="L17" s="60"/>
      <c r="M17" s="60"/>
    </row>
    <row r="18" spans="1:13" ht="13.5" customHeight="1" outlineLevel="1">
      <c r="A18" s="125"/>
      <c r="C18" s="70" t="s">
        <v>70</v>
      </c>
      <c r="D18" s="70"/>
      <c r="E18" s="70"/>
      <c r="F18" s="71">
        <f t="shared" ref="F18:G18" si="2">F15-F17</f>
        <v>12.823572</v>
      </c>
      <c r="G18" s="71">
        <f t="shared" si="2"/>
        <v>13.558643060499998</v>
      </c>
      <c r="H18" s="60"/>
      <c r="I18" s="60"/>
      <c r="J18" s="60"/>
      <c r="K18" s="60"/>
      <c r="L18" s="60"/>
      <c r="M18" s="60"/>
    </row>
    <row r="19" spans="1:13" ht="13.5" customHeight="1" outlineLevel="1">
      <c r="A19" s="125"/>
      <c r="C19" s="67" t="s">
        <v>71</v>
      </c>
      <c r="D19" s="39"/>
      <c r="E19" s="39"/>
      <c r="F19" s="69">
        <f>IFERROR(F18/F$13,"N/M")</f>
        <v>0.16322104833668077</v>
      </c>
      <c r="G19" s="69">
        <f>IFERROR(G18/G$13,"N/M")</f>
        <v>0.1496307619512868</v>
      </c>
      <c r="H19" s="60"/>
      <c r="I19" s="60"/>
      <c r="J19" s="60"/>
      <c r="K19" s="60"/>
      <c r="L19" s="60"/>
      <c r="M19" s="60"/>
    </row>
    <row r="20" spans="1:13" ht="13.5" customHeight="1" outlineLevel="1">
      <c r="A20" s="125"/>
      <c r="C20" s="63" t="s">
        <v>15</v>
      </c>
      <c r="D20" s="63"/>
      <c r="E20" s="63"/>
      <c r="F20" s="64">
        <f>'Financials from CIP'!D25/1000</f>
        <v>1.1801621</v>
      </c>
      <c r="G20" s="64">
        <f>'Financials from CIP'!E25/1000</f>
        <v>1.1617642799999999</v>
      </c>
      <c r="H20" s="60"/>
      <c r="I20" s="60"/>
      <c r="J20" s="60"/>
      <c r="K20" s="60"/>
      <c r="L20" s="60"/>
      <c r="M20" s="60"/>
    </row>
    <row r="21" spans="1:13" ht="13.5" customHeight="1" outlineLevel="1">
      <c r="A21" s="125"/>
      <c r="C21" s="63" t="s">
        <v>16</v>
      </c>
      <c r="D21" s="63"/>
      <c r="E21" s="63"/>
      <c r="F21" s="64">
        <f>'Financials from CIP'!D26/1000</f>
        <v>0.208264</v>
      </c>
      <c r="G21" s="64">
        <f>'Financials from CIP'!E26/1000</f>
        <v>0.237952</v>
      </c>
      <c r="H21" s="60"/>
      <c r="I21" s="60"/>
      <c r="J21" s="60"/>
      <c r="K21" s="60"/>
      <c r="L21" s="60"/>
      <c r="M21" s="60"/>
    </row>
    <row r="22" spans="1:13" ht="13.5" customHeight="1" outlineLevel="1">
      <c r="A22" s="125"/>
      <c r="C22" s="70" t="s">
        <v>72</v>
      </c>
      <c r="D22" s="70"/>
      <c r="E22" s="70"/>
      <c r="F22" s="71">
        <f>F18-SUM(F20:F21)</f>
        <v>11.4351459</v>
      </c>
      <c r="G22" s="71">
        <f>G18-SUM(G20:G21)</f>
        <v>12.158926780499998</v>
      </c>
      <c r="H22" s="60"/>
      <c r="I22" s="60"/>
      <c r="J22" s="60"/>
      <c r="K22" s="60"/>
      <c r="L22" s="60"/>
      <c r="M22" s="60"/>
    </row>
    <row r="23" spans="1:13" ht="13.5" customHeight="1" outlineLevel="1">
      <c r="A23" s="125"/>
      <c r="C23" s="72" t="s">
        <v>73</v>
      </c>
      <c r="D23" s="39"/>
      <c r="E23" s="39"/>
      <c r="F23" s="45"/>
      <c r="G23" s="73"/>
      <c r="H23" s="60"/>
      <c r="I23" s="60"/>
      <c r="J23" s="60"/>
      <c r="K23" s="60"/>
      <c r="L23" s="60"/>
      <c r="M23" s="60"/>
    </row>
    <row r="24" spans="1:13" ht="13.5" customHeight="1" outlineLevel="1">
      <c r="A24" s="125"/>
      <c r="C24" s="74" t="s">
        <v>74</v>
      </c>
      <c r="D24" s="39"/>
      <c r="E24" s="39"/>
      <c r="F24" s="45"/>
      <c r="G24" s="75"/>
      <c r="H24" s="60"/>
      <c r="I24" s="60"/>
      <c r="J24" s="60"/>
      <c r="K24" s="60"/>
      <c r="L24" s="60"/>
      <c r="M24" s="60"/>
    </row>
    <row r="25" spans="1:13" ht="13.5" customHeight="1" outlineLevel="1">
      <c r="A25" s="125"/>
      <c r="C25" s="74" t="s">
        <v>75</v>
      </c>
      <c r="D25" s="39"/>
      <c r="E25" s="39"/>
      <c r="F25" s="45"/>
      <c r="G25" s="75"/>
      <c r="H25" s="60"/>
      <c r="I25" s="60"/>
      <c r="J25" s="60"/>
      <c r="K25" s="60"/>
      <c r="L25" s="60"/>
      <c r="M25" s="60"/>
    </row>
    <row r="26" spans="1:13" ht="13.5" customHeight="1" outlineLevel="1">
      <c r="A26" s="125"/>
      <c r="C26" s="74" t="str">
        <f>+C66</f>
        <v>Term Loan A</v>
      </c>
      <c r="D26" s="39"/>
      <c r="E26" s="39"/>
      <c r="F26" s="45"/>
      <c r="G26" s="75"/>
      <c r="H26" s="60"/>
      <c r="I26" s="60"/>
      <c r="J26" s="60"/>
      <c r="K26" s="60"/>
      <c r="L26" s="60"/>
      <c r="M26" s="60"/>
    </row>
    <row r="27" spans="1:13" ht="13.5" customHeight="1" outlineLevel="1">
      <c r="A27" s="125"/>
      <c r="C27" s="74" t="str">
        <f>+C67</f>
        <v>Subordinated - Note 1</v>
      </c>
      <c r="D27" s="39"/>
      <c r="E27" s="39"/>
      <c r="F27" s="45"/>
      <c r="G27" s="75"/>
      <c r="H27" s="60"/>
      <c r="I27" s="60"/>
      <c r="J27" s="60"/>
      <c r="K27" s="60"/>
      <c r="L27" s="60"/>
      <c r="M27" s="60"/>
    </row>
    <row r="28" spans="1:13" ht="13.5" customHeight="1" outlineLevel="1">
      <c r="A28" s="125"/>
      <c r="C28" s="74" t="str">
        <f>+C68</f>
        <v>Subordinated - Note 2</v>
      </c>
      <c r="D28" s="39"/>
      <c r="E28" s="39"/>
      <c r="F28" s="45"/>
      <c r="G28" s="75"/>
      <c r="H28" s="60"/>
      <c r="I28" s="60"/>
      <c r="J28" s="60"/>
      <c r="K28" s="60"/>
      <c r="L28" s="60"/>
      <c r="M28" s="60"/>
    </row>
    <row r="29" spans="1:13" ht="13.5" customHeight="1" outlineLevel="1">
      <c r="A29" s="125"/>
      <c r="C29" s="76" t="s">
        <v>73</v>
      </c>
      <c r="D29" s="77"/>
      <c r="E29" s="77"/>
      <c r="F29" s="78">
        <f>'Financials from CIP'!D27/1000</f>
        <v>2.224955</v>
      </c>
      <c r="G29" s="78">
        <f>'Financials from CIP'!E27/1000</f>
        <v>1.4727629999999998</v>
      </c>
      <c r="H29" s="60"/>
      <c r="I29" s="60"/>
      <c r="J29" s="60"/>
      <c r="K29" s="60"/>
      <c r="L29" s="60"/>
      <c r="M29" s="60"/>
    </row>
    <row r="30" spans="1:13" ht="13.5" customHeight="1" outlineLevel="1">
      <c r="A30" s="125"/>
      <c r="C30" s="63" t="s">
        <v>76</v>
      </c>
      <c r="D30" s="63"/>
      <c r="E30" s="63"/>
      <c r="F30" s="64">
        <f>'Financials from CIP'!D32/1000</f>
        <v>0.147371</v>
      </c>
      <c r="G30" s="64">
        <f>'Financials from CIP'!E32/1000</f>
        <v>0.27343900000000004</v>
      </c>
      <c r="H30" s="60"/>
      <c r="I30" s="60"/>
      <c r="J30" s="60"/>
      <c r="K30" s="60"/>
      <c r="L30" s="60"/>
      <c r="M30" s="60"/>
    </row>
    <row r="31" spans="1:13" ht="13.5" customHeight="1" outlineLevel="1">
      <c r="A31" s="125"/>
      <c r="C31" s="65" t="s">
        <v>77</v>
      </c>
      <c r="D31" s="65"/>
      <c r="E31" s="65"/>
      <c r="F31" s="66">
        <f>F22-F29-F30</f>
        <v>9.0628199000000009</v>
      </c>
      <c r="G31" s="66">
        <f>G22-G29-G30</f>
        <v>10.412724780499998</v>
      </c>
      <c r="H31" s="60"/>
      <c r="I31" s="60"/>
      <c r="J31" s="60"/>
      <c r="K31" s="60"/>
      <c r="L31" s="60"/>
      <c r="M31" s="60"/>
    </row>
    <row r="32" spans="1:13" ht="13.5" customHeight="1" outlineLevel="1">
      <c r="A32" s="125"/>
      <c r="C32" s="63" t="s">
        <v>78</v>
      </c>
      <c r="D32" s="63"/>
      <c r="E32" s="63"/>
      <c r="F32" s="64">
        <f>'Financials from CIP'!D29/1000</f>
        <v>3.2010390000000002</v>
      </c>
      <c r="G32" s="64">
        <f>'Financials from CIP'!E29/1000</f>
        <v>2.809107</v>
      </c>
      <c r="H32" s="60"/>
      <c r="I32" s="60"/>
      <c r="J32" s="60"/>
      <c r="K32" s="60"/>
      <c r="L32" s="60"/>
      <c r="M32" s="60"/>
    </row>
    <row r="33" spans="1:13" ht="13.5" customHeight="1" outlineLevel="1">
      <c r="A33" s="125"/>
      <c r="C33" s="79" t="s">
        <v>22</v>
      </c>
      <c r="D33" s="79"/>
      <c r="E33" s="79"/>
      <c r="F33" s="71">
        <f>F31-F32</f>
        <v>5.8617809000000012</v>
      </c>
      <c r="G33" s="71">
        <f>G31-G32</f>
        <v>7.6036177804999978</v>
      </c>
      <c r="H33" s="60"/>
      <c r="I33" s="60"/>
      <c r="J33" s="60"/>
      <c r="K33" s="60"/>
      <c r="L33" s="60"/>
      <c r="M33" s="60"/>
    </row>
    <row r="34" spans="1:13" ht="13.5" customHeight="1" outlineLevel="1">
      <c r="A34" s="125"/>
      <c r="C34" s="67" t="s">
        <v>79</v>
      </c>
      <c r="D34" s="39"/>
      <c r="E34" s="39"/>
      <c r="F34" s="69">
        <f>IFERROR(F33/F$13,"N/M")</f>
        <v>7.4609946715153336E-2</v>
      </c>
      <c r="G34" s="69">
        <f>IFERROR(G33/G$13,"N/M")</f>
        <v>8.3912167095621659E-2</v>
      </c>
      <c r="H34" s="60"/>
      <c r="I34" s="60"/>
      <c r="J34" s="60"/>
      <c r="K34" s="60"/>
      <c r="L34" s="60"/>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thickBot="1"/>
    <row r="40" spans="1:13" ht="21.75" thickTop="1">
      <c r="A40" s="82"/>
      <c r="B40" s="46" t="s">
        <v>61</v>
      </c>
      <c r="C40" s="47" t="s">
        <v>26</v>
      </c>
      <c r="D40" s="48"/>
      <c r="E40" s="49"/>
      <c r="F40" s="49"/>
      <c r="G40" s="49"/>
      <c r="H40" s="49"/>
      <c r="I40" s="49"/>
      <c r="J40" s="49"/>
      <c r="K40" s="49"/>
      <c r="L40" s="49"/>
    </row>
    <row r="41" spans="1:13" ht="5.0999999999999996" customHeight="1" outlineLevel="1">
      <c r="A41" s="82"/>
      <c r="C41" s="51"/>
      <c r="D41" s="52"/>
    </row>
    <row r="42" spans="1:13" ht="13.5" customHeight="1" outlineLevel="1">
      <c r="A42" s="82"/>
      <c r="C42" s="53"/>
      <c r="D42" s="53"/>
      <c r="E42" s="53"/>
      <c r="F42" s="54" t="s">
        <v>63</v>
      </c>
      <c r="G42" s="54" t="s">
        <v>63</v>
      </c>
      <c r="H42" s="55" t="s">
        <v>64</v>
      </c>
      <c r="I42" s="55"/>
      <c r="J42" s="55"/>
      <c r="K42" s="55"/>
      <c r="L42" s="55"/>
    </row>
    <row r="43" spans="1:13" ht="13.5" customHeight="1" outlineLevel="1" thickBot="1">
      <c r="A43" s="82"/>
      <c r="C43" s="56" t="s">
        <v>65</v>
      </c>
      <c r="D43" s="57"/>
      <c r="E43" s="57"/>
      <c r="F43" s="58">
        <f>EOMONTH(G43,-12)</f>
        <v>45291</v>
      </c>
      <c r="G43" s="58">
        <f t="shared" ref="G43:L43" si="3">G$11</f>
        <v>45657</v>
      </c>
      <c r="H43" s="58">
        <f t="shared" si="3"/>
        <v>46022</v>
      </c>
      <c r="I43" s="58">
        <f t="shared" si="3"/>
        <v>46387</v>
      </c>
      <c r="J43" s="58">
        <f t="shared" si="3"/>
        <v>46752</v>
      </c>
      <c r="K43" s="58">
        <f t="shared" si="3"/>
        <v>47118</v>
      </c>
      <c r="L43" s="58">
        <f t="shared" si="3"/>
        <v>47483</v>
      </c>
    </row>
    <row r="44" spans="1:13" ht="5.0999999999999996" customHeight="1" outlineLevel="1">
      <c r="A44" s="82"/>
      <c r="C44" s="59"/>
      <c r="D44" s="59"/>
      <c r="E44" s="59"/>
      <c r="F44" s="60"/>
      <c r="G44" s="60"/>
      <c r="H44" s="60"/>
      <c r="I44" s="60"/>
      <c r="J44" s="60"/>
      <c r="K44" s="60"/>
    </row>
    <row r="45" spans="1:13" ht="13.5" customHeight="1" outlineLevel="1">
      <c r="A45" s="82"/>
      <c r="C45" s="84" t="s">
        <v>81</v>
      </c>
      <c r="D45" s="85"/>
      <c r="E45" s="86"/>
      <c r="F45" s="86"/>
      <c r="G45" s="86"/>
      <c r="H45" s="86"/>
      <c r="I45" s="86"/>
      <c r="J45" s="86"/>
      <c r="K45" s="86"/>
      <c r="L45" s="87"/>
    </row>
    <row r="46" spans="1:13" ht="13.5" customHeight="1" outlineLevel="1">
      <c r="A46" s="82"/>
      <c r="C46" s="59"/>
      <c r="D46" s="59"/>
      <c r="E46" s="59"/>
      <c r="F46" s="60"/>
      <c r="G46" s="60"/>
      <c r="H46" s="60"/>
      <c r="I46" s="60"/>
      <c r="J46" s="60"/>
      <c r="K46" s="60"/>
    </row>
    <row r="47" spans="1:13" ht="13.5" customHeight="1" outlineLevel="1">
      <c r="A47" s="125"/>
      <c r="C47" s="88" t="s">
        <v>82</v>
      </c>
      <c r="F47" s="89">
        <f>'Financials from CIP'!D46/1000</f>
        <v>7.1056520000000001</v>
      </c>
      <c r="G47" s="89">
        <f>'Financials from CIP'!E46/1000</f>
        <v>2.9579920000000004</v>
      </c>
      <c r="H47" s="90"/>
      <c r="I47" s="90"/>
      <c r="J47" s="90"/>
      <c r="K47" s="90"/>
      <c r="L47" s="90"/>
    </row>
    <row r="48" spans="1:13" ht="13.5" customHeight="1" outlineLevel="1">
      <c r="A48" s="125"/>
      <c r="C48" s="91" t="s">
        <v>83</v>
      </c>
      <c r="F48" s="92">
        <f>SUM('Financials from CIP'!D47:D48)/1000</f>
        <v>16.781419000000003</v>
      </c>
      <c r="G48" s="92">
        <f>SUM('Financials from CIP'!E47:E48)/1000</f>
        <v>22.284721999999999</v>
      </c>
      <c r="H48" s="90"/>
      <c r="I48" s="90"/>
      <c r="J48" s="90"/>
      <c r="K48" s="90"/>
      <c r="L48" s="90"/>
    </row>
    <row r="49" spans="1:12" ht="13.5" customHeight="1" outlineLevel="1">
      <c r="A49" s="125"/>
      <c r="C49" s="91" t="s">
        <v>31</v>
      </c>
      <c r="F49" s="92">
        <f>'Financials from CIP'!D49/1000</f>
        <v>0.80490099999999998</v>
      </c>
      <c r="G49" s="92">
        <f>'Financials from CIP'!E49/1000</f>
        <v>1.161057</v>
      </c>
      <c r="H49" s="90"/>
      <c r="I49" s="90"/>
      <c r="J49" s="90"/>
      <c r="K49" s="90"/>
      <c r="L49" s="90"/>
    </row>
    <row r="50" spans="1:12" ht="13.5" customHeight="1" outlineLevel="1">
      <c r="A50" s="125"/>
      <c r="C50" s="91" t="s">
        <v>84</v>
      </c>
      <c r="F50" s="92">
        <f>'Financials from CIP'!D50/1000</f>
        <v>0.26978399999999997</v>
      </c>
      <c r="G50" s="92">
        <f>'Financials from CIP'!E50/1000</f>
        <v>0.34491899999999998</v>
      </c>
      <c r="H50" s="90"/>
      <c r="I50" s="90"/>
      <c r="J50" s="90"/>
      <c r="K50" s="90"/>
      <c r="L50" s="90"/>
    </row>
    <row r="51" spans="1:12" ht="13.5" customHeight="1" outlineLevel="1">
      <c r="A51" s="125"/>
      <c r="C51" s="76" t="s">
        <v>33</v>
      </c>
      <c r="D51" s="77"/>
      <c r="E51" s="77"/>
      <c r="F51" s="93">
        <f>SUM(F47:F50)</f>
        <v>24.961756000000005</v>
      </c>
      <c r="G51" s="93">
        <f>SUM(G47:G50)</f>
        <v>26.74869</v>
      </c>
      <c r="H51" s="94"/>
      <c r="I51" s="94"/>
      <c r="J51" s="94"/>
      <c r="K51" s="94"/>
      <c r="L51" s="94"/>
    </row>
    <row r="52" spans="1:12" ht="13.5" customHeight="1" outlineLevel="1">
      <c r="A52" s="125"/>
      <c r="C52" s="91" t="s">
        <v>85</v>
      </c>
      <c r="D52" s="95"/>
      <c r="E52" s="95"/>
      <c r="F52" s="96"/>
      <c r="G52" s="96"/>
      <c r="H52" s="97"/>
      <c r="I52" s="97"/>
      <c r="J52" s="97"/>
      <c r="K52" s="97"/>
      <c r="L52" s="97"/>
    </row>
    <row r="53" spans="1:12" ht="13.5" customHeight="1" outlineLevel="1">
      <c r="A53" s="125"/>
      <c r="C53" s="91" t="s">
        <v>86</v>
      </c>
      <c r="D53" s="95"/>
      <c r="E53" s="95"/>
      <c r="F53" s="96"/>
      <c r="G53" s="96"/>
      <c r="H53" s="94"/>
      <c r="I53" s="94"/>
      <c r="J53" s="94"/>
      <c r="K53" s="94"/>
      <c r="L53" s="94"/>
    </row>
    <row r="54" spans="1:12" ht="13.5" customHeight="1" outlineLevel="1">
      <c r="A54" s="125"/>
      <c r="C54" s="76" t="s">
        <v>34</v>
      </c>
      <c r="D54" s="77"/>
      <c r="E54" s="77"/>
      <c r="F54" s="78">
        <f>'Financials from CIP'!D53/1000</f>
        <v>54.584699999999998</v>
      </c>
      <c r="G54" s="78">
        <f>'Financials from CIP'!E53/1000</f>
        <v>55.684984</v>
      </c>
      <c r="H54" s="94"/>
      <c r="I54" s="94"/>
      <c r="J54" s="94"/>
      <c r="K54" s="94"/>
      <c r="L54" s="94"/>
    </row>
    <row r="55" spans="1:12" ht="13.5" customHeight="1" outlineLevel="1">
      <c r="A55" s="125"/>
      <c r="C55" s="98" t="s">
        <v>87</v>
      </c>
      <c r="D55" s="95"/>
      <c r="E55" s="95"/>
      <c r="F55" s="99">
        <v>0</v>
      </c>
      <c r="G55" s="99">
        <v>0</v>
      </c>
      <c r="H55" s="94"/>
      <c r="I55" s="94"/>
      <c r="J55" s="94"/>
      <c r="K55" s="94"/>
      <c r="L55" s="94"/>
    </row>
    <row r="56" spans="1:12" ht="13.5" customHeight="1" outlineLevel="1">
      <c r="A56" s="125"/>
      <c r="C56" s="98" t="s">
        <v>88</v>
      </c>
      <c r="D56" s="95"/>
      <c r="E56" s="95"/>
      <c r="F56" s="92">
        <f>'Financials from CIP'!D54/1000</f>
        <v>4.378482</v>
      </c>
      <c r="G56" s="92">
        <f>'Financials from CIP'!E54/1000</f>
        <v>4.5043699999999998</v>
      </c>
      <c r="H56" s="94"/>
      <c r="I56" s="94"/>
      <c r="J56" s="94"/>
      <c r="K56" s="94"/>
      <c r="L56" s="94"/>
    </row>
    <row r="57" spans="1:12" ht="13.5" customHeight="1" outlineLevel="1">
      <c r="A57" s="125"/>
      <c r="C57" s="100" t="s">
        <v>36</v>
      </c>
      <c r="D57" s="101"/>
      <c r="E57" s="101"/>
      <c r="F57" s="102">
        <f>SUM(F51,F54:F56)</f>
        <v>83.924938000000012</v>
      </c>
      <c r="G57" s="102">
        <f>SUM(G51,G54:G56)</f>
        <v>86.938043999999991</v>
      </c>
      <c r="H57" s="103"/>
      <c r="I57" s="103"/>
      <c r="J57" s="103"/>
      <c r="K57" s="103"/>
      <c r="L57" s="103"/>
    </row>
    <row r="58" spans="1:12" ht="13.5" customHeight="1" outlineLevel="1">
      <c r="A58" s="125"/>
      <c r="H58" s="104"/>
      <c r="I58" s="104"/>
      <c r="J58" s="104"/>
      <c r="K58" s="104"/>
      <c r="L58" s="104"/>
    </row>
    <row r="59" spans="1:12" ht="13.5" customHeight="1" outlineLevel="1">
      <c r="A59" s="125"/>
      <c r="C59" s="84" t="s">
        <v>89</v>
      </c>
      <c r="D59" s="85"/>
      <c r="E59" s="86"/>
      <c r="F59" s="86"/>
      <c r="G59" s="86"/>
      <c r="H59" s="86"/>
      <c r="I59" s="86"/>
      <c r="J59" s="86"/>
      <c r="K59" s="86"/>
      <c r="L59" s="87"/>
    </row>
    <row r="60" spans="1:12" ht="13.5" customHeight="1" outlineLevel="1">
      <c r="A60" s="125"/>
      <c r="C60" s="59"/>
      <c r="D60" s="59"/>
      <c r="E60" s="59"/>
      <c r="F60" s="60"/>
      <c r="G60" s="60"/>
      <c r="H60" s="60"/>
      <c r="I60" s="60"/>
      <c r="J60" s="60"/>
      <c r="K60" s="60"/>
    </row>
    <row r="61" spans="1:12" ht="13.5" customHeight="1" outlineLevel="1">
      <c r="A61" s="125"/>
      <c r="C61" s="91" t="s">
        <v>37</v>
      </c>
      <c r="D61" s="95"/>
      <c r="E61" s="95"/>
      <c r="F61" s="92">
        <f>'Financials from CIP'!D58/1000</f>
        <v>2.8058170000000002</v>
      </c>
      <c r="G61" s="92">
        <f>'Financials from CIP'!E58/1000</f>
        <v>2.3607100000000001</v>
      </c>
      <c r="H61" s="90"/>
      <c r="I61" s="90"/>
      <c r="J61" s="90"/>
      <c r="K61" s="90"/>
      <c r="L61" s="90"/>
    </row>
    <row r="62" spans="1:12" ht="13.5" customHeight="1" outlineLevel="1">
      <c r="A62" s="125"/>
      <c r="C62" s="91" t="s">
        <v>38</v>
      </c>
      <c r="D62" s="95"/>
      <c r="E62" s="95"/>
      <c r="F62" s="92">
        <f>'Financials from CIP'!D59/1000</f>
        <v>2.3839329999999999</v>
      </c>
      <c r="G62" s="92">
        <f>'Financials from CIP'!E59/1000</f>
        <v>2.7880379999999998</v>
      </c>
      <c r="H62" s="90"/>
      <c r="I62" s="90"/>
      <c r="J62" s="90"/>
      <c r="K62" s="90"/>
      <c r="L62" s="90"/>
    </row>
    <row r="63" spans="1:12" ht="13.5" customHeight="1" outlineLevel="1">
      <c r="A63" s="125"/>
      <c r="C63" s="91" t="s">
        <v>39</v>
      </c>
      <c r="D63" s="95"/>
      <c r="E63" s="95"/>
      <c r="F63" s="92">
        <f>'Financials from CIP'!D60/1000</f>
        <v>2.0579079999999998</v>
      </c>
      <c r="G63" s="92">
        <f>'Financials from CIP'!E60/1000</f>
        <v>3.2020309999999998</v>
      </c>
      <c r="H63" s="90"/>
      <c r="I63" s="90"/>
      <c r="J63" s="90"/>
      <c r="K63" s="90"/>
      <c r="L63" s="90"/>
    </row>
    <row r="64" spans="1:12" ht="13.5" customHeight="1" outlineLevel="1">
      <c r="A64" s="125"/>
      <c r="C64" s="76" t="s">
        <v>40</v>
      </c>
      <c r="D64" s="77"/>
      <c r="E64" s="77"/>
      <c r="F64" s="93">
        <f>SUM(F61:F63)</f>
        <v>7.2476579999999995</v>
      </c>
      <c r="G64" s="93">
        <f>SUM(G61:G63)</f>
        <v>8.3507789999999993</v>
      </c>
      <c r="H64" s="94"/>
      <c r="I64" s="94"/>
      <c r="J64" s="94"/>
      <c r="K64" s="94"/>
      <c r="L64" s="94"/>
    </row>
    <row r="65" spans="1:19" ht="13.5" customHeight="1" outlineLevel="1">
      <c r="A65" s="125"/>
      <c r="C65" s="91" t="s">
        <v>41</v>
      </c>
      <c r="D65" s="95"/>
      <c r="E65" s="95"/>
      <c r="F65" s="92">
        <f>'Financials from CIP'!D63/1000</f>
        <v>0.64588299999999998</v>
      </c>
      <c r="G65" s="92">
        <f>'Financials from CIP'!E63/1000</f>
        <v>1.2892999999999999</v>
      </c>
      <c r="H65" s="97"/>
      <c r="I65" s="97"/>
      <c r="J65" s="97"/>
      <c r="K65" s="97"/>
      <c r="L65" s="97"/>
    </row>
    <row r="66" spans="1:19" ht="13.5" customHeight="1" outlineLevel="1">
      <c r="A66" s="125"/>
      <c r="C66" s="91" t="s">
        <v>42</v>
      </c>
      <c r="D66" s="95"/>
      <c r="E66" s="95"/>
      <c r="F66" s="92">
        <f>'Financials from CIP'!D64/1000</f>
        <v>18.943222000000002</v>
      </c>
      <c r="G66" s="92">
        <f>'Financials from CIP'!E64/1000</f>
        <v>12.001450999999999</v>
      </c>
      <c r="H66" s="94"/>
      <c r="I66" s="94"/>
      <c r="J66" s="94"/>
      <c r="K66" s="94"/>
      <c r="L66" s="94"/>
    </row>
    <row r="67" spans="1:19" ht="13.5" customHeight="1" outlineLevel="1">
      <c r="A67" s="125"/>
      <c r="C67" s="91" t="s">
        <v>90</v>
      </c>
      <c r="D67" s="95"/>
      <c r="E67" s="95"/>
      <c r="F67" s="92">
        <f>'Financials from CIP'!D65/1000</f>
        <v>0.54533299999999996</v>
      </c>
      <c r="G67" s="92">
        <f>'Financials from CIP'!E65/1000</f>
        <v>8.5337999999999997E-2</v>
      </c>
      <c r="H67" s="97"/>
      <c r="I67" s="97"/>
      <c r="J67" s="97"/>
      <c r="K67" s="97"/>
      <c r="L67" s="97"/>
    </row>
    <row r="68" spans="1:19" ht="13.5" customHeight="1" outlineLevel="1">
      <c r="A68" s="125"/>
      <c r="C68" s="91" t="s">
        <v>91</v>
      </c>
      <c r="D68" s="95"/>
      <c r="E68" s="95"/>
      <c r="F68" s="92">
        <f>'Financials from CIP'!D66/1000</f>
        <v>9.2447999999999989E-2</v>
      </c>
      <c r="G68" s="92">
        <f>'Financials from CIP'!E66/1000</f>
        <v>1.2666999999999999E-2</v>
      </c>
      <c r="H68" s="97"/>
      <c r="I68" s="97"/>
      <c r="J68" s="97"/>
      <c r="K68" s="97"/>
      <c r="L68" s="97"/>
    </row>
    <row r="69" spans="1:19" ht="13.5" customHeight="1" outlineLevel="1">
      <c r="A69" s="125"/>
      <c r="C69" s="76" t="s">
        <v>92</v>
      </c>
      <c r="D69" s="77"/>
      <c r="E69" s="77"/>
      <c r="F69" s="93">
        <f>SUM(F65:F68)</f>
        <v>20.226886000000004</v>
      </c>
      <c r="G69" s="93">
        <f>SUM(G65:G68)</f>
        <v>13.388756000000001</v>
      </c>
      <c r="H69" s="94"/>
      <c r="I69" s="94"/>
      <c r="J69" s="94"/>
      <c r="K69" s="94"/>
      <c r="L69" s="94"/>
    </row>
    <row r="70" spans="1:19" ht="13.5" customHeight="1" outlineLevel="1">
      <c r="A70" s="125"/>
      <c r="C70" s="68" t="s">
        <v>93</v>
      </c>
      <c r="F70" s="92">
        <f>'Financials from CIP'!D67/1000</f>
        <v>0.41787400000000002</v>
      </c>
      <c r="G70" s="92">
        <f>'Financials from CIP'!E67/1000</f>
        <v>0.42988799999999999</v>
      </c>
      <c r="H70" s="97"/>
      <c r="I70" s="97"/>
      <c r="J70" s="97"/>
      <c r="K70" s="97"/>
      <c r="L70" s="97"/>
      <c r="M70" s="82"/>
    </row>
    <row r="71" spans="1:19" ht="13.5" customHeight="1" outlineLevel="1">
      <c r="A71" s="125"/>
      <c r="C71" s="76" t="s">
        <v>94</v>
      </c>
      <c r="D71" s="77"/>
      <c r="E71" s="77"/>
      <c r="F71" s="93">
        <f>SUM(F64,F69:F70)</f>
        <v>27.892418000000003</v>
      </c>
      <c r="G71" s="93">
        <f>SUM(G64,G69:G70)</f>
        <v>22.169422999999998</v>
      </c>
      <c r="H71" s="94"/>
      <c r="I71" s="94"/>
      <c r="J71" s="94"/>
      <c r="K71" s="94"/>
      <c r="L71" s="94"/>
      <c r="M71" s="82"/>
    </row>
    <row r="72" spans="1:19" ht="13.5" customHeight="1" outlineLevel="1">
      <c r="A72" s="125"/>
      <c r="C72" s="98" t="s">
        <v>47</v>
      </c>
      <c r="F72" s="92">
        <f>'Financials from CIP'!D71/1000</f>
        <v>7.7836338279007267</v>
      </c>
      <c r="G72" s="92">
        <f>'Financials from CIP'!E71/1000</f>
        <v>8.9161157153081838</v>
      </c>
      <c r="H72" s="97"/>
      <c r="I72" s="97"/>
      <c r="J72" s="97"/>
      <c r="K72" s="97"/>
      <c r="L72" s="97"/>
      <c r="M72" s="82"/>
    </row>
    <row r="73" spans="1:19" ht="13.5" customHeight="1" outlineLevel="1">
      <c r="A73" s="125"/>
      <c r="C73" s="98" t="s">
        <v>48</v>
      </c>
      <c r="F73" s="92">
        <f>'Financials from CIP'!D72/1000</f>
        <v>48.248887000000003</v>
      </c>
      <c r="G73" s="92">
        <f>'Financials from CIP'!E72/1000</f>
        <v>55.852504780500006</v>
      </c>
      <c r="H73" s="97"/>
      <c r="I73" s="97"/>
      <c r="J73" s="97"/>
      <c r="K73" s="97"/>
      <c r="L73" s="97"/>
      <c r="M73" s="82"/>
    </row>
    <row r="74" spans="1:19" ht="13.5" customHeight="1" outlineLevel="1">
      <c r="A74" s="125"/>
      <c r="C74" s="100" t="s">
        <v>95</v>
      </c>
      <c r="D74" s="101"/>
      <c r="E74" s="101"/>
      <c r="F74" s="105">
        <f>SUM(F71:F73)</f>
        <v>83.924938827900732</v>
      </c>
      <c r="G74" s="105">
        <f>SUM(G71:G73)</f>
        <v>86.938043495808188</v>
      </c>
      <c r="H74" s="103"/>
      <c r="I74" s="103"/>
      <c r="J74" s="103"/>
      <c r="K74" s="103"/>
      <c r="L74" s="103"/>
      <c r="M74" s="82"/>
    </row>
    <row r="75" spans="1:19" s="106" customFormat="1" ht="13.5" customHeight="1" outlineLevel="1">
      <c r="A75" s="82"/>
      <c r="C75" s="107"/>
      <c r="D75" s="108"/>
      <c r="E75" s="108"/>
      <c r="F75" s="109"/>
      <c r="G75" s="109"/>
      <c r="H75" s="109"/>
      <c r="I75" s="109"/>
      <c r="J75" s="109"/>
      <c r="K75" s="109"/>
      <c r="L75" s="109"/>
      <c r="M75" s="82"/>
    </row>
    <row r="76" spans="1:19" s="114" customFormat="1" ht="13.5" customHeight="1" outlineLevel="1">
      <c r="A76" s="82"/>
      <c r="B76" s="110"/>
      <c r="C76" s="111"/>
      <c r="D76" s="111"/>
      <c r="E76" s="111"/>
      <c r="F76" s="112"/>
      <c r="G76" s="113"/>
      <c r="H76" s="113"/>
      <c r="I76" s="113"/>
      <c r="J76" s="113"/>
      <c r="K76" s="113"/>
      <c r="L76" s="113"/>
      <c r="M76" s="82"/>
    </row>
    <row r="77" spans="1:19" ht="5.0999999999999996" customHeight="1" outlineLevel="1" thickBot="1">
      <c r="A77" s="82"/>
      <c r="C77" s="115"/>
      <c r="D77" s="115"/>
      <c r="E77" s="115"/>
      <c r="F77" s="116"/>
      <c r="G77" s="116"/>
      <c r="H77" s="117"/>
      <c r="I77" s="117"/>
      <c r="J77" s="117"/>
      <c r="K77" s="117"/>
      <c r="L77" s="117"/>
    </row>
    <row r="78" spans="1:19" ht="13.5" customHeight="1" outlineLevel="1" thickBot="1">
      <c r="A78" s="82"/>
      <c r="C78" s="118"/>
      <c r="D78" s="118"/>
      <c r="E78" s="118"/>
    </row>
    <row r="79" spans="1:19" ht="15.75" thickTop="1">
      <c r="A79" s="82"/>
      <c r="B79" s="46" t="s">
        <v>61</v>
      </c>
      <c r="C79" s="119" t="s">
        <v>96</v>
      </c>
      <c r="D79" s="82"/>
      <c r="E79" s="82"/>
      <c r="F79" s="82"/>
      <c r="G79" s="82"/>
      <c r="H79" s="82"/>
      <c r="I79" s="82"/>
      <c r="J79" s="82"/>
      <c r="K79" s="82"/>
      <c r="L79" s="82"/>
      <c r="M79" s="82"/>
      <c r="N79" s="82"/>
      <c r="O79" s="82"/>
      <c r="P79" s="82"/>
      <c r="Q79" s="82"/>
      <c r="R79" s="82"/>
      <c r="S79" s="82"/>
    </row>
    <row r="80" spans="1:19" ht="15" outlineLevel="1">
      <c r="A80" s="82"/>
      <c r="B80" s="82"/>
      <c r="C80" s="120" t="s">
        <v>3</v>
      </c>
      <c r="D80" s="82"/>
      <c r="E80" s="82"/>
      <c r="F80" s="82"/>
      <c r="G80" s="82"/>
      <c r="H80" s="82"/>
      <c r="I80" s="82"/>
      <c r="J80" s="82"/>
      <c r="K80" s="82"/>
      <c r="L80" s="82"/>
      <c r="M80" s="82"/>
      <c r="N80" s="82"/>
      <c r="O80" s="82"/>
      <c r="P80" s="82"/>
      <c r="Q80" s="82"/>
      <c r="R80" s="82"/>
      <c r="S80" s="82"/>
    </row>
    <row r="81" spans="1:19" ht="15" outlineLevel="1">
      <c r="A81" s="82"/>
      <c r="B81" s="82"/>
      <c r="C81" s="121" t="s">
        <v>97</v>
      </c>
      <c r="D81" s="82"/>
      <c r="E81" s="82"/>
      <c r="F81" s="122">
        <f>'Financials from CIP'!D13/1000-'Step 1 Answer Key'!F13</f>
        <v>0</v>
      </c>
      <c r="G81" s="122">
        <f>'Financials from CIP'!E13/1000-'Step 1 Answer Key'!G13</f>
        <v>0</v>
      </c>
      <c r="H81" s="82"/>
      <c r="I81" s="82"/>
      <c r="J81" s="82"/>
      <c r="K81" s="82"/>
      <c r="L81" s="82"/>
      <c r="M81" s="82"/>
      <c r="N81" s="82"/>
      <c r="O81" s="82"/>
      <c r="P81" s="82"/>
      <c r="Q81" s="82"/>
      <c r="R81" s="82"/>
      <c r="S81" s="82"/>
    </row>
    <row r="82" spans="1:19" ht="15" outlineLevel="1">
      <c r="A82" s="82"/>
      <c r="B82" s="82"/>
      <c r="C82" s="121" t="s">
        <v>67</v>
      </c>
      <c r="D82" s="82"/>
      <c r="E82" s="82"/>
      <c r="F82" s="122">
        <f>'Financials from CIP'!D19/1000-'Step 1 Answer Key'!F15</f>
        <v>0</v>
      </c>
      <c r="G82" s="122">
        <f>'Financials from CIP'!E19/1000-'Step 1 Answer Key'!G15</f>
        <v>0</v>
      </c>
      <c r="H82" s="82"/>
      <c r="I82" s="82"/>
      <c r="J82" s="82"/>
      <c r="K82" s="82"/>
      <c r="L82" s="82"/>
      <c r="M82" s="82"/>
      <c r="N82" s="82"/>
      <c r="O82" s="82"/>
      <c r="P82" s="82"/>
      <c r="Q82" s="82"/>
      <c r="R82" s="82"/>
      <c r="S82" s="82"/>
    </row>
    <row r="83" spans="1:19" ht="15" outlineLevel="1">
      <c r="A83" s="82"/>
      <c r="B83" s="82"/>
      <c r="C83" s="121" t="s">
        <v>70</v>
      </c>
      <c r="D83" s="82"/>
      <c r="E83" s="82"/>
      <c r="F83" s="122">
        <f>'Financials from CIP'!D36/1000-'Step 1 Answer Key'!F18</f>
        <v>0</v>
      </c>
      <c r="G83" s="122">
        <f>'Financials from CIP'!E36/1000-'Step 1 Answer Key'!G18</f>
        <v>0</v>
      </c>
      <c r="H83" s="82"/>
      <c r="I83" s="82"/>
      <c r="J83" s="82"/>
      <c r="K83" s="82"/>
      <c r="L83" s="82"/>
      <c r="M83" s="82"/>
      <c r="N83" s="82"/>
      <c r="O83" s="82"/>
      <c r="P83" s="82"/>
      <c r="Q83" s="82"/>
      <c r="R83" s="82"/>
      <c r="S83" s="82"/>
    </row>
    <row r="84" spans="1:19" ht="15" outlineLevel="1">
      <c r="A84" s="82"/>
      <c r="B84" s="82"/>
      <c r="C84" s="121" t="s">
        <v>22</v>
      </c>
      <c r="D84" s="82"/>
      <c r="E84" s="82"/>
      <c r="F84" s="122">
        <f>'Financials from CIP'!D34/1000-'Step 1 Answer Key'!F33</f>
        <v>0</v>
      </c>
      <c r="G84" s="122">
        <f>'Financials from CIP'!E34/1000-'Step 1 Answer Key'!G33</f>
        <v>0</v>
      </c>
      <c r="H84" s="82"/>
      <c r="I84" s="82"/>
      <c r="J84" s="82"/>
      <c r="K84" s="82"/>
      <c r="L84" s="82"/>
      <c r="M84" s="82"/>
      <c r="N84" s="82"/>
      <c r="O84" s="82"/>
      <c r="P84" s="82"/>
      <c r="Q84" s="82"/>
      <c r="R84" s="82"/>
      <c r="S84" s="82"/>
    </row>
    <row r="85" spans="1:19" ht="15" outlineLevel="1">
      <c r="A85" s="82"/>
      <c r="B85" s="82"/>
      <c r="C85" s="121"/>
      <c r="D85" s="82"/>
      <c r="E85" s="82"/>
      <c r="F85" s="122"/>
      <c r="G85" s="122"/>
      <c r="H85" s="82"/>
      <c r="I85" s="82"/>
      <c r="J85" s="82"/>
      <c r="K85" s="82"/>
      <c r="L85" s="82"/>
      <c r="M85" s="82"/>
      <c r="N85" s="82"/>
      <c r="O85" s="82"/>
      <c r="P85" s="82"/>
      <c r="Q85" s="82"/>
      <c r="R85" s="82"/>
      <c r="S85" s="82"/>
    </row>
    <row r="86" spans="1:19" ht="15" outlineLevel="1">
      <c r="A86" s="82"/>
      <c r="B86" s="82"/>
      <c r="C86" s="120" t="s">
        <v>26</v>
      </c>
      <c r="D86" s="82"/>
      <c r="E86" s="82"/>
      <c r="F86" s="122"/>
      <c r="G86" s="122"/>
      <c r="H86" s="82"/>
      <c r="I86" s="82"/>
      <c r="J86" s="82"/>
      <c r="K86" s="82"/>
      <c r="L86" s="82"/>
      <c r="M86" s="82"/>
      <c r="N86" s="82"/>
      <c r="O86" s="82"/>
      <c r="P86" s="82"/>
      <c r="Q86" s="82"/>
      <c r="R86" s="82"/>
      <c r="S86" s="82"/>
    </row>
    <row r="87" spans="1:19" ht="15" outlineLevel="1">
      <c r="A87" s="82"/>
      <c r="B87" s="82"/>
      <c r="C87" s="121" t="s">
        <v>98</v>
      </c>
      <c r="D87" s="82"/>
      <c r="E87" s="82"/>
      <c r="F87" s="122">
        <f>'Financials from CIP'!D46/1000-'Step 1 Answer Key'!F47</f>
        <v>0</v>
      </c>
      <c r="G87" s="122">
        <f>'Financials from CIP'!E46/1000-'Step 1 Answer Key'!G47</f>
        <v>0</v>
      </c>
      <c r="H87" s="82"/>
      <c r="I87" s="82"/>
      <c r="J87" s="82"/>
      <c r="K87" s="82"/>
      <c r="L87" s="82"/>
      <c r="M87" s="82"/>
      <c r="N87" s="82"/>
      <c r="O87" s="82"/>
      <c r="P87" s="82"/>
      <c r="Q87" s="82"/>
      <c r="R87" s="82"/>
      <c r="S87" s="82"/>
    </row>
    <row r="88" spans="1:19" ht="15" outlineLevel="1">
      <c r="A88" s="82"/>
      <c r="B88" s="82"/>
      <c r="C88" s="121" t="s">
        <v>99</v>
      </c>
      <c r="D88" s="82"/>
      <c r="E88" s="82"/>
      <c r="F88" s="122">
        <f>'Financials from CIP'!D51/1000-'Step 1 Answer Key'!F51</f>
        <v>0</v>
      </c>
      <c r="G88" s="122">
        <f>'Financials from CIP'!E51/1000-'Step 1 Answer Key'!G51</f>
        <v>0</v>
      </c>
      <c r="H88" s="82"/>
      <c r="I88" s="82"/>
      <c r="J88" s="82"/>
      <c r="K88" s="82"/>
      <c r="L88" s="82"/>
      <c r="M88" s="82"/>
      <c r="N88" s="82"/>
      <c r="O88" s="82"/>
      <c r="P88" s="82"/>
      <c r="Q88" s="82"/>
      <c r="R88" s="82"/>
      <c r="S88" s="82"/>
    </row>
    <row r="89" spans="1:19" ht="15" outlineLevel="1">
      <c r="A89" s="82"/>
      <c r="B89" s="82"/>
      <c r="C89" s="121" t="s">
        <v>36</v>
      </c>
      <c r="D89" s="82"/>
      <c r="E89" s="82"/>
      <c r="F89" s="122">
        <f>'Financials from CIP'!D56/1000-'Step 1 Answer Key'!F57</f>
        <v>0</v>
      </c>
      <c r="G89" s="122">
        <f>'Financials from CIP'!E56/1000-'Step 1 Answer Key'!G57</f>
        <v>0</v>
      </c>
      <c r="H89" s="82"/>
      <c r="I89" s="82"/>
      <c r="J89" s="82"/>
      <c r="K89" s="82"/>
      <c r="L89" s="82"/>
      <c r="M89" s="82"/>
      <c r="N89" s="82"/>
      <c r="O89" s="82"/>
      <c r="P89" s="82"/>
      <c r="Q89" s="82"/>
      <c r="R89" s="82"/>
      <c r="S89" s="82"/>
    </row>
    <row r="90" spans="1:19" ht="15" outlineLevel="1">
      <c r="A90" s="82"/>
      <c r="B90" s="82"/>
      <c r="C90" s="121" t="s">
        <v>100</v>
      </c>
      <c r="D90" s="82"/>
      <c r="E90" s="82"/>
      <c r="F90" s="122">
        <f>'Financials from CIP'!D61/1000-'Step 1 Answer Key'!F64</f>
        <v>0</v>
      </c>
      <c r="G90" s="122">
        <f>'Financials from CIP'!E61/1000-'Step 1 Answer Key'!G64</f>
        <v>0</v>
      </c>
      <c r="H90" s="82"/>
      <c r="I90" s="82"/>
      <c r="J90" s="82"/>
      <c r="K90" s="82"/>
      <c r="L90" s="82"/>
      <c r="M90" s="82"/>
      <c r="N90" s="82"/>
      <c r="O90" s="82"/>
      <c r="P90" s="82"/>
      <c r="Q90" s="82"/>
      <c r="R90" s="82"/>
      <c r="S90" s="82"/>
    </row>
    <row r="91" spans="1:19" ht="15" outlineLevel="1">
      <c r="A91" s="82"/>
      <c r="B91" s="82"/>
      <c r="C91" s="121" t="s">
        <v>101</v>
      </c>
      <c r="D91" s="82"/>
      <c r="E91" s="82"/>
      <c r="F91" s="122">
        <f>'Financials from CIP'!D69/1000-'Step 1 Answer Key'!F71</f>
        <v>0</v>
      </c>
      <c r="G91" s="122">
        <f>'Financials from CIP'!E69/1000-'Step 1 Answer Key'!G71</f>
        <v>0</v>
      </c>
      <c r="H91" s="82"/>
      <c r="I91" s="82"/>
      <c r="J91" s="82"/>
      <c r="K91" s="82"/>
      <c r="L91" s="82"/>
      <c r="M91" s="82"/>
      <c r="N91" s="82"/>
      <c r="O91" s="82"/>
      <c r="P91" s="82"/>
      <c r="Q91" s="82"/>
      <c r="R91" s="82"/>
      <c r="S91" s="82"/>
    </row>
    <row r="92" spans="1:19" ht="15" outlineLevel="1">
      <c r="A92" s="82"/>
      <c r="B92" s="82"/>
      <c r="C92" s="121" t="s">
        <v>49</v>
      </c>
      <c r="D92" s="82"/>
      <c r="E92" s="82"/>
      <c r="F92" s="122">
        <f>'Financials from CIP'!D73/1000-SUM('Step 1 Answer Key'!F72:F73)</f>
        <v>0</v>
      </c>
      <c r="G92" s="122">
        <f>'Financials from CIP'!E73/1000-SUM('Step 1 Answer Key'!G72:G73)</f>
        <v>0</v>
      </c>
      <c r="H92" s="82"/>
      <c r="I92" s="82"/>
      <c r="J92" s="82"/>
      <c r="K92" s="82"/>
      <c r="L92" s="82"/>
      <c r="M92" s="82"/>
      <c r="N92" s="82"/>
      <c r="O92" s="82"/>
      <c r="P92" s="82"/>
      <c r="Q92" s="82"/>
      <c r="R92" s="82"/>
      <c r="S92" s="82"/>
    </row>
    <row r="93" spans="1:19" ht="15" outlineLevel="1">
      <c r="A93" s="82"/>
      <c r="B93" s="82"/>
      <c r="C93" s="121"/>
      <c r="D93" s="82"/>
      <c r="E93" s="82"/>
      <c r="F93" s="122"/>
      <c r="G93" s="122"/>
      <c r="H93" s="82"/>
      <c r="I93" s="82"/>
      <c r="J93" s="82"/>
      <c r="K93" s="82"/>
      <c r="L93" s="82"/>
      <c r="M93" s="82"/>
      <c r="N93" s="82"/>
      <c r="O93" s="82"/>
      <c r="P93" s="82"/>
      <c r="Q93" s="82"/>
      <c r="R93" s="82"/>
      <c r="S93" s="82"/>
    </row>
    <row r="94" spans="1:19" ht="15" outlineLevel="1">
      <c r="A94" s="82"/>
      <c r="B94" s="82"/>
      <c r="C94" s="119" t="s">
        <v>102</v>
      </c>
      <c r="D94" s="82"/>
      <c r="E94" s="82"/>
      <c r="F94" s="122"/>
      <c r="G94" s="122"/>
      <c r="H94" s="82"/>
      <c r="I94" s="82"/>
      <c r="J94" s="82"/>
      <c r="K94" s="82"/>
      <c r="L94" s="82"/>
      <c r="M94" s="82"/>
      <c r="N94" s="82"/>
      <c r="O94" s="82"/>
      <c r="P94" s="82"/>
      <c r="Q94" s="82"/>
      <c r="R94" s="82"/>
      <c r="S94" s="82"/>
    </row>
    <row r="95" spans="1:19" ht="15" outlineLevel="1">
      <c r="A95" s="82"/>
      <c r="B95" s="82"/>
      <c r="C95" s="121" t="s">
        <v>103</v>
      </c>
      <c r="D95" s="82"/>
      <c r="E95" s="82"/>
      <c r="F95" s="122">
        <f>F57-F74</f>
        <v>-8.2790072042371321E-7</v>
      </c>
      <c r="G95" s="122">
        <f>G57-G74</f>
        <v>5.0419180297467392E-7</v>
      </c>
      <c r="H95" s="82"/>
      <c r="I95" s="82"/>
      <c r="J95" s="82"/>
      <c r="K95" s="82"/>
      <c r="L95" s="82"/>
      <c r="M95" s="82"/>
      <c r="N95" s="82"/>
      <c r="O95" s="82"/>
      <c r="P95" s="82"/>
      <c r="Q95" s="82"/>
      <c r="R95" s="82"/>
      <c r="S95" s="82"/>
    </row>
    <row r="96" spans="1:19" ht="19.5" customHeight="1" outlineLevel="1">
      <c r="A96" s="82"/>
      <c r="B96" s="82"/>
      <c r="C96" s="121"/>
      <c r="D96" s="82"/>
      <c r="E96" s="82"/>
      <c r="F96" s="122"/>
      <c r="G96" s="122"/>
      <c r="H96" s="82"/>
      <c r="I96" s="82"/>
      <c r="J96" s="82"/>
      <c r="K96" s="82"/>
      <c r="L96" s="82"/>
      <c r="M96" s="82"/>
      <c r="N96" s="82"/>
      <c r="O96" s="82"/>
      <c r="P96" s="82"/>
      <c r="Q96" s="82"/>
      <c r="R96" s="82"/>
      <c r="S96" s="82"/>
    </row>
    <row r="97" spans="1:19" ht="19.5" customHeight="1">
      <c r="A97" s="82"/>
      <c r="B97" s="82"/>
      <c r="C97" s="121"/>
      <c r="D97" s="82"/>
      <c r="E97" s="82"/>
      <c r="F97" s="82"/>
      <c r="G97" s="82"/>
      <c r="H97" s="82"/>
      <c r="I97" s="82"/>
      <c r="J97" s="82"/>
      <c r="K97" s="82"/>
      <c r="L97" s="82"/>
      <c r="M97" s="82"/>
      <c r="N97" s="82"/>
      <c r="O97" s="82"/>
      <c r="P97" s="82"/>
      <c r="Q97" s="82"/>
      <c r="R97" s="82"/>
      <c r="S97" s="82"/>
    </row>
    <row r="98" spans="1:19" ht="19.5" customHeight="1">
      <c r="A98" s="82"/>
      <c r="B98" s="82"/>
      <c r="C98" s="121"/>
      <c r="D98" s="82"/>
      <c r="E98" s="82"/>
      <c r="F98" s="82"/>
      <c r="G98" s="82"/>
      <c r="H98" s="82"/>
      <c r="I98" s="82"/>
      <c r="J98" s="82"/>
      <c r="K98" s="82"/>
      <c r="L98" s="82"/>
      <c r="M98" s="82"/>
      <c r="N98" s="82"/>
      <c r="O98" s="82"/>
      <c r="P98" s="82"/>
      <c r="Q98" s="82"/>
      <c r="R98" s="82"/>
      <c r="S98" s="82"/>
    </row>
    <row r="99" spans="1:19" ht="5.0999999999999996" customHeight="1">
      <c r="A99" s="82"/>
      <c r="B99" s="82"/>
      <c r="C99" s="82"/>
      <c r="D99" s="82"/>
      <c r="E99" s="82"/>
      <c r="F99" s="82"/>
      <c r="G99" s="82"/>
      <c r="H99" s="82"/>
      <c r="I99" s="82"/>
      <c r="J99" s="82"/>
      <c r="K99" s="82"/>
      <c r="L99" s="82"/>
      <c r="M99" s="82"/>
      <c r="N99" s="82"/>
      <c r="O99" s="82"/>
      <c r="P99" s="82"/>
      <c r="Q99" s="82"/>
      <c r="R99" s="82"/>
      <c r="S99" s="82"/>
    </row>
    <row r="100" spans="1:19" ht="13.5" customHeight="1">
      <c r="A100" s="82"/>
      <c r="B100" s="82"/>
      <c r="C100" s="123"/>
      <c r="D100" s="82"/>
      <c r="E100" s="82"/>
      <c r="F100" s="82"/>
      <c r="G100" s="82"/>
      <c r="H100" s="82"/>
      <c r="I100" s="82"/>
      <c r="J100" s="82"/>
      <c r="K100" s="82"/>
      <c r="L100" s="82"/>
      <c r="M100" s="82"/>
      <c r="N100" s="82"/>
      <c r="O100" s="82"/>
      <c r="P100" s="82"/>
      <c r="Q100" s="82"/>
      <c r="R100" s="82"/>
      <c r="S100" s="82"/>
    </row>
    <row r="101" spans="1:19" ht="13.5" customHeight="1">
      <c r="A101" s="82"/>
      <c r="B101" s="82"/>
      <c r="C101" s="82"/>
      <c r="D101" s="82"/>
      <c r="E101" s="82"/>
      <c r="F101" s="124"/>
      <c r="G101" s="124"/>
      <c r="H101" s="82"/>
      <c r="I101" s="82"/>
      <c r="J101" s="82"/>
      <c r="K101" s="82"/>
      <c r="L101" s="82"/>
      <c r="M101" s="82"/>
      <c r="N101" s="82"/>
      <c r="O101" s="82"/>
      <c r="P101" s="82"/>
      <c r="Q101" s="82"/>
      <c r="R101" s="82"/>
      <c r="S101" s="82"/>
    </row>
    <row r="102" spans="1:19" ht="13.5" customHeight="1">
      <c r="A102" s="82"/>
      <c r="B102" s="82"/>
      <c r="C102" s="82"/>
      <c r="D102" s="82"/>
      <c r="E102" s="82"/>
      <c r="F102" s="124"/>
      <c r="G102" s="124"/>
      <c r="H102" s="82"/>
      <c r="I102" s="82"/>
      <c r="J102" s="82"/>
      <c r="K102" s="82"/>
      <c r="L102" s="82"/>
      <c r="M102" s="82"/>
      <c r="N102" s="82"/>
      <c r="O102" s="82"/>
      <c r="P102" s="82"/>
      <c r="Q102" s="82"/>
      <c r="R102" s="82"/>
      <c r="S102" s="82"/>
    </row>
    <row r="103" spans="1:19" ht="13.5" customHeight="1">
      <c r="A103" s="82"/>
      <c r="B103" s="82"/>
      <c r="C103" s="82"/>
      <c r="D103" s="82"/>
      <c r="E103" s="82"/>
      <c r="F103" s="124"/>
      <c r="G103" s="124"/>
      <c r="H103" s="82"/>
      <c r="I103" s="82"/>
      <c r="J103" s="82"/>
      <c r="K103" s="82"/>
      <c r="L103" s="82"/>
      <c r="M103" s="82"/>
      <c r="N103" s="82"/>
      <c r="O103" s="82"/>
      <c r="P103" s="82"/>
      <c r="Q103" s="82"/>
      <c r="R103" s="82"/>
      <c r="S103" s="82"/>
    </row>
    <row r="104" spans="1:19" ht="13.5" customHeight="1">
      <c r="A104" s="82"/>
      <c r="B104" s="82"/>
      <c r="C104" s="82"/>
      <c r="D104" s="82"/>
      <c r="E104" s="82"/>
      <c r="F104" s="124"/>
      <c r="G104" s="124"/>
      <c r="H104" s="82"/>
      <c r="I104" s="82"/>
      <c r="J104" s="82"/>
      <c r="K104" s="82"/>
      <c r="L104" s="82"/>
      <c r="M104" s="82"/>
      <c r="N104" s="82"/>
      <c r="O104" s="82"/>
      <c r="P104" s="82"/>
      <c r="Q104" s="82"/>
      <c r="R104" s="82"/>
      <c r="S104" s="82"/>
    </row>
    <row r="105" spans="1:19" ht="13.5" customHeight="1">
      <c r="A105" s="82"/>
      <c r="B105" s="82"/>
      <c r="C105" s="82"/>
      <c r="D105" s="82"/>
      <c r="E105" s="82"/>
      <c r="F105" s="82"/>
      <c r="G105" s="82"/>
      <c r="H105" s="82"/>
      <c r="I105" s="82"/>
      <c r="J105" s="82"/>
      <c r="K105" s="82"/>
      <c r="L105" s="82"/>
      <c r="M105" s="82"/>
      <c r="N105" s="82"/>
      <c r="O105" s="82"/>
      <c r="P105" s="82"/>
      <c r="Q105" s="82"/>
      <c r="R105" s="82"/>
      <c r="S105" s="82"/>
    </row>
    <row r="106" spans="1:19" ht="13.5" customHeight="1">
      <c r="A106" s="82"/>
      <c r="B106" s="82"/>
      <c r="C106" s="123"/>
      <c r="D106" s="82"/>
      <c r="E106" s="82"/>
      <c r="F106" s="82"/>
      <c r="G106" s="82"/>
      <c r="H106" s="82"/>
      <c r="I106" s="82"/>
      <c r="J106" s="82"/>
      <c r="K106" s="82"/>
      <c r="L106" s="82"/>
      <c r="M106" s="82"/>
      <c r="N106" s="82"/>
      <c r="O106" s="82"/>
      <c r="P106" s="82"/>
      <c r="Q106" s="82"/>
      <c r="R106" s="82"/>
      <c r="S106" s="82"/>
    </row>
    <row r="107" spans="1:19" ht="13.5" customHeight="1">
      <c r="A107" s="82"/>
      <c r="B107" s="82"/>
      <c r="C107" s="82"/>
      <c r="D107" s="82"/>
      <c r="E107" s="82"/>
      <c r="F107" s="124"/>
      <c r="G107" s="124"/>
      <c r="H107" s="82"/>
      <c r="I107" s="82"/>
      <c r="J107" s="82"/>
      <c r="K107" s="82"/>
      <c r="L107" s="82"/>
      <c r="M107" s="82"/>
      <c r="N107" s="82"/>
      <c r="O107" s="82"/>
      <c r="P107" s="82"/>
      <c r="Q107" s="82"/>
      <c r="R107" s="82"/>
      <c r="S107" s="82"/>
    </row>
    <row r="108" spans="1:19" ht="13.5" customHeight="1">
      <c r="A108" s="82"/>
      <c r="B108" s="82"/>
      <c r="C108" s="82"/>
      <c r="D108" s="82"/>
      <c r="E108" s="82"/>
      <c r="F108" s="124"/>
      <c r="G108" s="124"/>
      <c r="H108" s="82"/>
      <c r="I108" s="82"/>
      <c r="J108" s="82"/>
      <c r="K108" s="82"/>
      <c r="L108" s="82"/>
      <c r="M108" s="82"/>
      <c r="N108" s="82"/>
      <c r="O108" s="82"/>
      <c r="P108" s="82"/>
      <c r="Q108" s="82"/>
      <c r="R108" s="82"/>
      <c r="S108" s="82"/>
    </row>
    <row r="109" spans="1:19" ht="13.5" customHeight="1">
      <c r="A109" s="82"/>
      <c r="B109" s="82"/>
      <c r="C109" s="82"/>
      <c r="D109" s="82"/>
      <c r="E109" s="82"/>
      <c r="F109" s="124"/>
      <c r="G109" s="124"/>
      <c r="H109" s="82"/>
      <c r="I109" s="82"/>
      <c r="J109" s="82"/>
      <c r="K109" s="82"/>
      <c r="L109" s="82"/>
      <c r="M109" s="82"/>
      <c r="N109" s="82"/>
      <c r="O109" s="82"/>
      <c r="P109" s="82"/>
      <c r="Q109" s="82"/>
      <c r="R109" s="82"/>
      <c r="S109" s="82"/>
    </row>
    <row r="110" spans="1:19" ht="13.5" customHeight="1">
      <c r="A110" s="82"/>
      <c r="B110" s="82"/>
      <c r="C110" s="82"/>
      <c r="D110" s="82"/>
      <c r="E110" s="82"/>
      <c r="F110" s="124"/>
      <c r="G110" s="124"/>
      <c r="H110" s="82"/>
      <c r="I110" s="82"/>
      <c r="J110" s="82"/>
      <c r="K110" s="82"/>
      <c r="L110" s="82"/>
      <c r="M110" s="82"/>
      <c r="N110" s="82"/>
      <c r="O110" s="82"/>
      <c r="P110" s="82"/>
      <c r="Q110" s="82"/>
      <c r="R110" s="82"/>
      <c r="S110" s="82"/>
    </row>
    <row r="111" spans="1:19" ht="5.0999999999999996" customHeight="1">
      <c r="A111" s="82"/>
      <c r="B111" s="82"/>
      <c r="C111" s="82"/>
      <c r="D111" s="82"/>
      <c r="E111" s="82"/>
      <c r="F111" s="82"/>
      <c r="G111" s="82"/>
      <c r="H111" s="82"/>
      <c r="I111" s="82"/>
      <c r="J111" s="82"/>
      <c r="K111" s="82"/>
      <c r="L111" s="82"/>
      <c r="M111" s="82"/>
      <c r="N111" s="82"/>
      <c r="O111" s="82"/>
      <c r="P111" s="82"/>
      <c r="Q111" s="82"/>
      <c r="R111" s="82"/>
      <c r="S111" s="82"/>
    </row>
    <row r="112" spans="1:19" ht="13.5" customHeight="1">
      <c r="A112" s="82"/>
      <c r="B112" s="82"/>
      <c r="C112" s="82"/>
      <c r="D112" s="82"/>
      <c r="E112" s="82"/>
      <c r="F112" s="124"/>
      <c r="G112" s="124"/>
      <c r="H112" s="82"/>
      <c r="I112" s="82"/>
      <c r="J112" s="82"/>
      <c r="K112" s="82"/>
      <c r="L112" s="82"/>
      <c r="M112" s="82"/>
      <c r="N112" s="82"/>
      <c r="O112" s="82"/>
      <c r="P112" s="82"/>
      <c r="Q112" s="82"/>
      <c r="R112" s="82"/>
      <c r="S112" s="82"/>
    </row>
    <row r="113" spans="1:19" ht="13.5" customHeight="1">
      <c r="A113" s="82"/>
      <c r="B113" s="82"/>
      <c r="C113" s="82"/>
      <c r="D113" s="82"/>
      <c r="E113" s="82"/>
      <c r="F113" s="124"/>
      <c r="G113" s="124"/>
      <c r="H113" s="82"/>
      <c r="I113" s="82"/>
      <c r="J113" s="82"/>
      <c r="K113" s="82"/>
      <c r="L113" s="82"/>
      <c r="M113" s="82"/>
      <c r="N113" s="82"/>
      <c r="O113" s="82"/>
      <c r="P113" s="82"/>
      <c r="Q113" s="82"/>
      <c r="R113" s="82"/>
      <c r="S113" s="82"/>
    </row>
    <row r="114" spans="1:19" ht="13.5" customHeight="1">
      <c r="A114" s="82"/>
      <c r="B114" s="82"/>
      <c r="C114" s="82"/>
      <c r="D114" s="82"/>
      <c r="E114" s="82"/>
      <c r="F114" s="82"/>
      <c r="G114" s="82"/>
      <c r="H114" s="82"/>
      <c r="I114" s="82"/>
      <c r="J114" s="82"/>
      <c r="K114" s="82"/>
      <c r="L114" s="82"/>
      <c r="M114" s="82"/>
      <c r="N114" s="82"/>
      <c r="O114" s="82"/>
      <c r="P114" s="82"/>
      <c r="Q114" s="82"/>
      <c r="R114" s="82"/>
      <c r="S114" s="82"/>
    </row>
    <row r="115" spans="1:19" ht="13.5" customHeight="1">
      <c r="F115" s="124"/>
      <c r="G115" s="124"/>
    </row>
  </sheetData>
  <pageMargins left="0.25" right="0.25" top="0.75" bottom="0.75" header="0.3" footer="0.3"/>
  <pageSetup scale="47" orientation="landscape" r:id="rId1"/>
  <headerFooter alignWithMargins="0">
    <oddHeader>&amp;A</oddHead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80885-9FD1-4B09-BF73-87A2FCC85FCF}">
  <sheetPr>
    <outlinePr summaryBelow="0"/>
    <pageSetUpPr fitToPage="1"/>
  </sheetPr>
  <dimension ref="A1:S14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1:13" ht="13.5" customHeight="1">
      <c r="C1" s="30"/>
      <c r="E1" s="31"/>
      <c r="F1" s="31"/>
      <c r="G1" s="31"/>
    </row>
    <row r="2" spans="1:13" ht="21" outlineLevel="1">
      <c r="B2" s="32"/>
      <c r="C2" s="33" t="s">
        <v>54</v>
      </c>
      <c r="D2" s="34"/>
      <c r="E2" s="35"/>
      <c r="F2" s="35"/>
      <c r="G2" s="36"/>
      <c r="H2" s="36"/>
      <c r="I2" s="36"/>
      <c r="J2" s="36"/>
      <c r="K2" s="36"/>
      <c r="L2" s="36"/>
    </row>
    <row r="3" spans="1:13" ht="13.5" customHeight="1" outlineLevel="1">
      <c r="C3" s="37" t="s">
        <v>104</v>
      </c>
      <c r="D3" s="34"/>
      <c r="E3" s="38"/>
      <c r="F3" s="38"/>
      <c r="G3" s="38"/>
      <c r="H3" s="34"/>
      <c r="I3" s="34"/>
      <c r="J3" s="34"/>
      <c r="K3" s="34"/>
      <c r="L3" s="34"/>
    </row>
    <row r="4" spans="1:13" ht="13.5" customHeight="1" outlineLevel="1">
      <c r="C4" s="37"/>
      <c r="D4" s="34"/>
      <c r="E4" s="38"/>
      <c r="F4" s="38"/>
      <c r="G4" s="38"/>
      <c r="H4" s="34"/>
      <c r="I4" s="34"/>
      <c r="J4" s="34"/>
      <c r="K4" s="34"/>
      <c r="L4" s="34"/>
    </row>
    <row r="5" spans="1:13" ht="13.5" customHeight="1" outlineLevel="1">
      <c r="C5" s="30"/>
      <c r="E5" s="31"/>
      <c r="F5" s="31"/>
      <c r="G5" s="31"/>
      <c r="I5" s="39"/>
      <c r="J5" s="39" t="s">
        <v>56</v>
      </c>
    </row>
    <row r="6" spans="1:13" ht="13.5" customHeight="1" outlineLevel="1">
      <c r="C6" s="40" t="s">
        <v>57</v>
      </c>
      <c r="D6" s="41"/>
      <c r="E6" s="42"/>
      <c r="F6" s="43" t="s">
        <v>58</v>
      </c>
      <c r="G6" s="43"/>
      <c r="I6" s="44"/>
      <c r="J6" s="44" t="s">
        <v>59</v>
      </c>
    </row>
    <row r="7" spans="1:13" ht="13.5" customHeight="1" outlineLevel="1" thickBot="1">
      <c r="C7" s="30"/>
      <c r="E7" s="31"/>
      <c r="F7" s="31"/>
      <c r="G7" s="31"/>
      <c r="I7" s="45"/>
      <c r="J7" s="45" t="s">
        <v>60</v>
      </c>
    </row>
    <row r="8" spans="1:13" ht="21.75" thickTop="1">
      <c r="B8" s="46" t="s">
        <v>61</v>
      </c>
      <c r="C8" s="47" t="s">
        <v>3</v>
      </c>
      <c r="D8" s="48"/>
      <c r="E8" s="49"/>
      <c r="F8" s="49"/>
      <c r="G8" s="49"/>
      <c r="H8" s="49"/>
      <c r="I8" s="49"/>
      <c r="J8" s="49"/>
      <c r="K8" s="49"/>
      <c r="L8" s="49"/>
      <c r="M8" s="50"/>
    </row>
    <row r="9" spans="1:13" ht="5.0999999999999996" customHeight="1" outlineLevel="1">
      <c r="C9" s="51"/>
      <c r="D9" s="52"/>
    </row>
    <row r="10" spans="1:13" ht="13.5" customHeight="1" outlineLevel="1">
      <c r="C10" s="53"/>
      <c r="D10" s="53"/>
      <c r="E10" s="53"/>
      <c r="F10" s="54" t="s">
        <v>63</v>
      </c>
      <c r="G10" s="54" t="s">
        <v>63</v>
      </c>
      <c r="H10" s="55" t="s">
        <v>64</v>
      </c>
      <c r="I10" s="55"/>
      <c r="J10" s="55"/>
      <c r="K10" s="55"/>
      <c r="L10" s="55"/>
    </row>
    <row r="11" spans="1: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1:13" ht="5.0999999999999996" customHeight="1" outlineLevel="1">
      <c r="C12" s="59"/>
      <c r="D12" s="59"/>
      <c r="E12" s="59"/>
      <c r="F12" s="60"/>
      <c r="G12" s="60"/>
      <c r="H12" s="60"/>
      <c r="I12" s="60"/>
      <c r="J12" s="60"/>
      <c r="K12" s="60"/>
    </row>
    <row r="13" spans="1:13" ht="13.5" customHeight="1" outlineLevel="1">
      <c r="A13" s="125"/>
      <c r="C13" s="61" t="s">
        <v>7</v>
      </c>
      <c r="D13" s="61"/>
      <c r="E13" s="61"/>
      <c r="F13" s="126">
        <f>'Financials from CIP'!D13/1000</f>
        <v>78.565675999999996</v>
      </c>
      <c r="G13" s="126">
        <f>'Financials from CIP'!E13/1000</f>
        <v>90.614007999999998</v>
      </c>
      <c r="H13" s="127"/>
      <c r="I13" s="127"/>
      <c r="J13" s="127"/>
      <c r="K13" s="127"/>
      <c r="L13" s="127"/>
      <c r="M13" s="50" t="s">
        <v>105</v>
      </c>
    </row>
    <row r="14" spans="1:13" ht="13.5" customHeight="1" outlineLevel="1">
      <c r="A14" s="125"/>
      <c r="C14" s="63" t="s">
        <v>66</v>
      </c>
      <c r="D14" s="63"/>
      <c r="E14" s="63"/>
      <c r="F14" s="128">
        <f>SUM('Financials from CIP'!D15:D17)/1000</f>
        <v>51.562188999999996</v>
      </c>
      <c r="G14" s="128">
        <f>SUM('Financials from CIP'!E15:E17)/1000</f>
        <v>61.618676000000001</v>
      </c>
      <c r="H14" s="129"/>
      <c r="I14" s="129"/>
      <c r="J14" s="129"/>
      <c r="K14" s="129"/>
      <c r="L14" s="129"/>
      <c r="M14" s="50" t="s">
        <v>106</v>
      </c>
    </row>
    <row r="15" spans="1:13" ht="13.5" customHeight="1" outlineLevel="1">
      <c r="A15" s="125"/>
      <c r="C15" s="65" t="s">
        <v>67</v>
      </c>
      <c r="D15" s="65"/>
      <c r="E15" s="65"/>
      <c r="F15" s="66">
        <f t="shared" ref="F15:L15" si="1">F13-F14</f>
        <v>27.003487</v>
      </c>
      <c r="G15" s="66">
        <f t="shared" si="1"/>
        <v>28.995331999999998</v>
      </c>
      <c r="H15" s="66">
        <f t="shared" si="1"/>
        <v>0</v>
      </c>
      <c r="I15" s="66">
        <f t="shared" si="1"/>
        <v>0</v>
      </c>
      <c r="J15" s="66">
        <f t="shared" si="1"/>
        <v>0</v>
      </c>
      <c r="K15" s="66">
        <f t="shared" si="1"/>
        <v>0</v>
      </c>
      <c r="L15" s="66">
        <f t="shared" si="1"/>
        <v>0</v>
      </c>
      <c r="M15" s="50"/>
    </row>
    <row r="16" spans="1:13" ht="13.5" customHeight="1" outlineLevel="1">
      <c r="A16" s="125"/>
      <c r="C16" s="67" t="s">
        <v>68</v>
      </c>
      <c r="D16" s="68"/>
      <c r="E16" s="68"/>
      <c r="F16" s="69">
        <f>IFERROR(F15/F$13,"N/M")</f>
        <v>0.34370590790818117</v>
      </c>
      <c r="G16" s="69">
        <f>IFERROR(G15/G$13,"N/M")</f>
        <v>0.31998730262543951</v>
      </c>
      <c r="H16" s="69" t="str">
        <f t="shared" ref="H16:L16" si="2">IFERROR(H15/H$13,"N/M")</f>
        <v>N/M</v>
      </c>
      <c r="I16" s="69" t="str">
        <f t="shared" si="2"/>
        <v>N/M</v>
      </c>
      <c r="J16" s="69" t="str">
        <f t="shared" si="2"/>
        <v>N/M</v>
      </c>
      <c r="K16" s="69" t="str">
        <f t="shared" si="2"/>
        <v>N/M</v>
      </c>
      <c r="L16" s="69" t="str">
        <f t="shared" si="2"/>
        <v>N/M</v>
      </c>
      <c r="M16" s="50" t="s">
        <v>107</v>
      </c>
    </row>
    <row r="17" spans="1:13" ht="13.5" customHeight="1" outlineLevel="1">
      <c r="A17" s="125"/>
      <c r="C17" s="63" t="s">
        <v>69</v>
      </c>
      <c r="D17" s="63"/>
      <c r="E17" s="63"/>
      <c r="F17" s="128">
        <f>SUM('Financials from CIP'!D23:D24,'Financials from CIP'!D28)/1000</f>
        <v>14.179914999999999</v>
      </c>
      <c r="G17" s="128">
        <f>SUM('Financials from CIP'!E23:E24,'Financials from CIP'!E28)/1000</f>
        <v>15.4366889395</v>
      </c>
      <c r="H17" s="129"/>
      <c r="I17" s="129"/>
      <c r="J17" s="129"/>
      <c r="K17" s="129"/>
      <c r="L17" s="129"/>
      <c r="M17" s="50" t="s">
        <v>108</v>
      </c>
    </row>
    <row r="18" spans="1:13" ht="13.5" customHeight="1" outlineLevel="1">
      <c r="A18" s="125"/>
      <c r="C18" s="70" t="s">
        <v>70</v>
      </c>
      <c r="D18" s="70"/>
      <c r="E18" s="70"/>
      <c r="F18" s="71">
        <f t="shared" ref="F18:L18" si="3">F15-F17</f>
        <v>12.823572</v>
      </c>
      <c r="G18" s="71">
        <f t="shared" si="3"/>
        <v>13.558643060499998</v>
      </c>
      <c r="H18" s="71">
        <f t="shared" si="3"/>
        <v>0</v>
      </c>
      <c r="I18" s="71">
        <f t="shared" si="3"/>
        <v>0</v>
      </c>
      <c r="J18" s="71">
        <f t="shared" si="3"/>
        <v>0</v>
      </c>
      <c r="K18" s="71">
        <f t="shared" si="3"/>
        <v>0</v>
      </c>
      <c r="L18" s="71">
        <f t="shared" si="3"/>
        <v>0</v>
      </c>
      <c r="M18" s="50"/>
    </row>
    <row r="19" spans="1:13" ht="13.5" customHeight="1" outlineLevel="1">
      <c r="A19" s="125"/>
      <c r="C19" s="67" t="s">
        <v>71</v>
      </c>
      <c r="D19" s="39"/>
      <c r="E19" s="39"/>
      <c r="F19" s="69">
        <f>IFERROR(F18/F$13,"N/M")</f>
        <v>0.16322104833668077</v>
      </c>
      <c r="G19" s="69">
        <f>IFERROR(G18/G$13,"N/M")</f>
        <v>0.1496307619512868</v>
      </c>
      <c r="H19" s="69" t="str">
        <f t="shared" ref="H19:L19" si="4">IFERROR(H18/H$13,"N/M")</f>
        <v>N/M</v>
      </c>
      <c r="I19" s="69" t="str">
        <f t="shared" si="4"/>
        <v>N/M</v>
      </c>
      <c r="J19" s="69" t="str">
        <f t="shared" si="4"/>
        <v>N/M</v>
      </c>
      <c r="K19" s="69" t="str">
        <f t="shared" si="4"/>
        <v>N/M</v>
      </c>
      <c r="L19" s="69" t="str">
        <f t="shared" si="4"/>
        <v>N/M</v>
      </c>
      <c r="M19" s="50" t="s">
        <v>109</v>
      </c>
    </row>
    <row r="20" spans="1:13" ht="13.5" customHeight="1" outlineLevel="1">
      <c r="A20" s="125"/>
      <c r="C20" s="63" t="s">
        <v>15</v>
      </c>
      <c r="D20" s="63"/>
      <c r="E20" s="63"/>
      <c r="F20" s="128">
        <f>'Financials from CIP'!D25/1000</f>
        <v>1.1801621</v>
      </c>
      <c r="G20" s="128">
        <f>'Financials from CIP'!E25/1000</f>
        <v>1.1617642799999999</v>
      </c>
      <c r="H20" s="129"/>
      <c r="I20" s="129"/>
      <c r="J20" s="129"/>
      <c r="K20" s="129"/>
      <c r="L20" s="129"/>
      <c r="M20" s="50" t="s">
        <v>110</v>
      </c>
    </row>
    <row r="21" spans="1:13" ht="13.5" customHeight="1" outlineLevel="1">
      <c r="A21" s="125"/>
      <c r="C21" s="63" t="s">
        <v>16</v>
      </c>
      <c r="D21" s="63"/>
      <c r="E21" s="63"/>
      <c r="F21" s="128">
        <f>'Financials from CIP'!D26/1000</f>
        <v>0.208264</v>
      </c>
      <c r="G21" s="128">
        <f>'Financials from CIP'!E26/1000</f>
        <v>0.237952</v>
      </c>
      <c r="H21" s="130"/>
      <c r="I21" s="130"/>
      <c r="J21" s="130"/>
      <c r="K21" s="130"/>
      <c r="L21" s="130"/>
      <c r="M21" s="50" t="s">
        <v>111</v>
      </c>
    </row>
    <row r="22" spans="1:13" ht="13.5" customHeight="1" outlineLevel="1">
      <c r="A22" s="125"/>
      <c r="C22" s="70" t="s">
        <v>72</v>
      </c>
      <c r="D22" s="70"/>
      <c r="E22" s="70"/>
      <c r="F22" s="71">
        <f>F18-SUM(F20:F21)</f>
        <v>11.4351459</v>
      </c>
      <c r="G22" s="71">
        <f>G18-SUM(G20:G21)</f>
        <v>12.158926780499998</v>
      </c>
      <c r="H22" s="71">
        <f t="shared" ref="H22:L22" si="5">H18-SUM(H20:H21)</f>
        <v>0</v>
      </c>
      <c r="I22" s="71">
        <f t="shared" si="5"/>
        <v>0</v>
      </c>
      <c r="J22" s="71">
        <f t="shared" si="5"/>
        <v>0</v>
      </c>
      <c r="K22" s="71">
        <f t="shared" si="5"/>
        <v>0</v>
      </c>
      <c r="L22" s="71">
        <f t="shared" si="5"/>
        <v>0</v>
      </c>
      <c r="M22" s="60"/>
    </row>
    <row r="23" spans="1:13" ht="13.5" customHeight="1" outlineLevel="1">
      <c r="A23" s="125"/>
      <c r="C23" s="72" t="s">
        <v>73</v>
      </c>
      <c r="D23" s="39"/>
      <c r="E23" s="39"/>
      <c r="F23" s="45"/>
      <c r="G23" s="73"/>
      <c r="H23" s="73"/>
      <c r="I23" s="73"/>
      <c r="J23" s="73"/>
      <c r="K23" s="73"/>
      <c r="L23" s="73"/>
      <c r="M23" s="60"/>
    </row>
    <row r="24" spans="1:13" ht="13.5" customHeight="1" outlineLevel="1">
      <c r="A24" s="125"/>
      <c r="C24" s="74" t="s">
        <v>74</v>
      </c>
      <c r="D24" s="39"/>
      <c r="E24" s="39"/>
      <c r="F24" s="45"/>
      <c r="G24" s="75"/>
      <c r="H24" s="43"/>
      <c r="I24" s="43"/>
      <c r="J24" s="43"/>
      <c r="K24" s="43"/>
      <c r="L24" s="43"/>
      <c r="M24" s="60"/>
    </row>
    <row r="25" spans="1:13" ht="13.5" customHeight="1" outlineLevel="1">
      <c r="A25" s="125"/>
      <c r="C25" s="74" t="s">
        <v>75</v>
      </c>
      <c r="D25" s="39"/>
      <c r="E25" s="39"/>
      <c r="F25" s="45"/>
      <c r="G25" s="75"/>
      <c r="H25" s="43"/>
      <c r="I25" s="43"/>
      <c r="J25" s="43"/>
      <c r="K25" s="43"/>
      <c r="L25" s="43"/>
      <c r="M25" s="60"/>
    </row>
    <row r="26" spans="1:13" ht="13.5" customHeight="1" outlineLevel="1">
      <c r="A26" s="125"/>
      <c r="C26" s="74" t="str">
        <f>+C79</f>
        <v>Term Loan A</v>
      </c>
      <c r="D26" s="39"/>
      <c r="E26" s="39"/>
      <c r="F26" s="45"/>
      <c r="G26" s="75"/>
      <c r="H26" s="43"/>
      <c r="I26" s="43"/>
      <c r="J26" s="43"/>
      <c r="K26" s="43"/>
      <c r="L26" s="43"/>
      <c r="M26" s="60"/>
    </row>
    <row r="27" spans="1:13" ht="13.5" customHeight="1" outlineLevel="1">
      <c r="A27" s="125"/>
      <c r="C27" s="74" t="str">
        <f t="shared" ref="C27:C28" si="6">+C80</f>
        <v>Subordinated - Note 1</v>
      </c>
      <c r="D27" s="39"/>
      <c r="E27" s="39"/>
      <c r="F27" s="45"/>
      <c r="G27" s="75"/>
      <c r="H27" s="43"/>
      <c r="I27" s="43"/>
      <c r="J27" s="43"/>
      <c r="K27" s="43"/>
      <c r="L27" s="43"/>
      <c r="M27" s="60"/>
    </row>
    <row r="28" spans="1:13" ht="13.5" customHeight="1" outlineLevel="1">
      <c r="A28" s="125"/>
      <c r="C28" s="74" t="str">
        <f t="shared" si="6"/>
        <v>Subordinated - Note 2</v>
      </c>
      <c r="D28" s="39"/>
      <c r="E28" s="39"/>
      <c r="F28" s="45"/>
      <c r="G28" s="75"/>
      <c r="H28" s="43"/>
      <c r="I28" s="43"/>
      <c r="J28" s="43"/>
      <c r="K28" s="43"/>
      <c r="L28" s="43"/>
      <c r="M28" s="60"/>
    </row>
    <row r="29" spans="1:13" ht="13.5" customHeight="1" outlineLevel="1">
      <c r="A29" s="125"/>
      <c r="C29" s="76" t="s">
        <v>73</v>
      </c>
      <c r="D29" s="77"/>
      <c r="E29" s="77"/>
      <c r="F29" s="131">
        <f>'Financials from CIP'!D27/1000</f>
        <v>2.224955</v>
      </c>
      <c r="G29" s="131">
        <f>'Financials from CIP'!E27/1000</f>
        <v>1.4727629999999998</v>
      </c>
      <c r="H29" s="93">
        <f>SUM(H24:H28)</f>
        <v>0</v>
      </c>
      <c r="I29" s="93">
        <f t="shared" ref="I29:L29" si="7">SUM(I24:I28)</f>
        <v>0</v>
      </c>
      <c r="J29" s="93">
        <f t="shared" si="7"/>
        <v>0</v>
      </c>
      <c r="K29" s="93">
        <f t="shared" si="7"/>
        <v>0</v>
      </c>
      <c r="L29" s="93">
        <f t="shared" si="7"/>
        <v>0</v>
      </c>
      <c r="M29" s="60"/>
    </row>
    <row r="30" spans="1:13" ht="13.5" customHeight="1" outlineLevel="1">
      <c r="A30" s="125"/>
      <c r="C30" s="63" t="s">
        <v>76</v>
      </c>
      <c r="D30" s="63"/>
      <c r="E30" s="63"/>
      <c r="F30" s="128">
        <f>'Financials from CIP'!D32/1000</f>
        <v>0.147371</v>
      </c>
      <c r="G30" s="128">
        <f>'Financials from CIP'!E32/1000</f>
        <v>0.27343900000000004</v>
      </c>
      <c r="H30" s="130"/>
      <c r="I30" s="130"/>
      <c r="J30" s="130"/>
      <c r="K30" s="130"/>
      <c r="L30" s="130"/>
      <c r="M30" s="50" t="s">
        <v>112</v>
      </c>
    </row>
    <row r="31" spans="1:13" ht="13.5" customHeight="1" outlineLevel="1">
      <c r="A31" s="125"/>
      <c r="C31" s="65" t="s">
        <v>77</v>
      </c>
      <c r="D31" s="65"/>
      <c r="E31" s="65"/>
      <c r="F31" s="66">
        <f>F22-F29-F30</f>
        <v>9.0628199000000009</v>
      </c>
      <c r="G31" s="66">
        <f>G22-G29-G30</f>
        <v>10.412724780499998</v>
      </c>
      <c r="H31" s="66">
        <f t="shared" ref="H31:L31" si="8">H22-H29-H30</f>
        <v>0</v>
      </c>
      <c r="I31" s="66">
        <f t="shared" si="8"/>
        <v>0</v>
      </c>
      <c r="J31" s="66">
        <f t="shared" si="8"/>
        <v>0</v>
      </c>
      <c r="K31" s="66">
        <f t="shared" si="8"/>
        <v>0</v>
      </c>
      <c r="L31" s="66">
        <f t="shared" si="8"/>
        <v>0</v>
      </c>
      <c r="M31" s="50"/>
    </row>
    <row r="32" spans="1:13" ht="13.5" customHeight="1" outlineLevel="1">
      <c r="A32" s="125"/>
      <c r="C32" s="63" t="s">
        <v>78</v>
      </c>
      <c r="D32" s="63"/>
      <c r="E32" s="63"/>
      <c r="F32" s="128">
        <f>'Financials from CIP'!D29/1000</f>
        <v>3.2010390000000002</v>
      </c>
      <c r="G32" s="128">
        <f>'Financials from CIP'!E29/1000</f>
        <v>2.809107</v>
      </c>
      <c r="H32" s="129"/>
      <c r="I32" s="129"/>
      <c r="J32" s="129"/>
      <c r="K32" s="129"/>
      <c r="L32" s="129"/>
      <c r="M32" s="50" t="s">
        <v>113</v>
      </c>
    </row>
    <row r="33" spans="1:13" ht="13.5" customHeight="1" outlineLevel="1">
      <c r="A33" s="125"/>
      <c r="C33" s="79" t="s">
        <v>22</v>
      </c>
      <c r="D33" s="79"/>
      <c r="E33" s="79"/>
      <c r="F33" s="71">
        <f>F31-F32</f>
        <v>5.8617809000000012</v>
      </c>
      <c r="G33" s="71">
        <f>G31-G32</f>
        <v>7.6036177804999978</v>
      </c>
      <c r="H33" s="71">
        <f t="shared" ref="H33:L33" si="9">H31-H32</f>
        <v>0</v>
      </c>
      <c r="I33" s="71">
        <f t="shared" si="9"/>
        <v>0</v>
      </c>
      <c r="J33" s="71">
        <f t="shared" si="9"/>
        <v>0</v>
      </c>
      <c r="K33" s="71">
        <f t="shared" si="9"/>
        <v>0</v>
      </c>
      <c r="L33" s="71">
        <f t="shared" si="9"/>
        <v>0</v>
      </c>
      <c r="M33" s="60"/>
    </row>
    <row r="34" spans="1:13" ht="13.5" customHeight="1" outlineLevel="1">
      <c r="C34" s="67" t="s">
        <v>79</v>
      </c>
      <c r="D34" s="39"/>
      <c r="E34" s="39"/>
      <c r="F34" s="69">
        <f>IFERROR(F33/F$13,"N/M")</f>
        <v>7.4609946715153336E-2</v>
      </c>
      <c r="G34" s="69">
        <f>IFERROR(G33/G$13,"N/M")</f>
        <v>8.3912167095621659E-2</v>
      </c>
      <c r="H34" s="69" t="str">
        <f t="shared" ref="H34:L34" si="10">IFERROR(H33/H$13,"N/M")</f>
        <v>N/M</v>
      </c>
      <c r="I34" s="69" t="str">
        <f t="shared" si="10"/>
        <v>N/M</v>
      </c>
      <c r="J34" s="69" t="str">
        <f t="shared" si="10"/>
        <v>N/M</v>
      </c>
      <c r="K34" s="69" t="str">
        <f t="shared" si="10"/>
        <v>N/M</v>
      </c>
      <c r="L34" s="69" t="str">
        <f t="shared" si="10"/>
        <v>N/M</v>
      </c>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A39" s="125"/>
      <c r="C39" s="84" t="s">
        <v>114</v>
      </c>
      <c r="D39" s="85"/>
      <c r="E39" s="86"/>
      <c r="F39" s="86"/>
      <c r="G39" s="86"/>
      <c r="H39" s="86"/>
      <c r="I39" s="86"/>
      <c r="J39" s="86"/>
      <c r="K39" s="86"/>
      <c r="L39" s="87"/>
      <c r="M39" s="50"/>
    </row>
    <row r="40" spans="1:13" ht="13.5" customHeight="1" outlineLevel="1">
      <c r="A40" s="125"/>
      <c r="C40" s="80"/>
      <c r="D40" s="80"/>
      <c r="E40" s="80"/>
      <c r="G40" s="81"/>
      <c r="H40" s="132"/>
      <c r="I40" s="132"/>
      <c r="J40" s="132"/>
      <c r="K40" s="132"/>
      <c r="L40" s="132"/>
      <c r="M40" s="50"/>
    </row>
    <row r="41" spans="1:13" ht="13.5" customHeight="1" outlineLevel="1">
      <c r="A41" s="125"/>
      <c r="C41" s="68" t="s">
        <v>115</v>
      </c>
      <c r="D41" s="133"/>
      <c r="E41" s="133"/>
      <c r="F41" s="134"/>
      <c r="G41" s="134"/>
      <c r="H41" s="135"/>
      <c r="I41" s="135"/>
      <c r="J41" s="135"/>
      <c r="K41" s="135"/>
      <c r="L41" s="135"/>
      <c r="M41" s="50" t="s">
        <v>116</v>
      </c>
    </row>
    <row r="42" spans="1:13" ht="13.5" customHeight="1" outlineLevel="1">
      <c r="A42" s="125"/>
      <c r="C42" s="80"/>
      <c r="D42" s="80"/>
      <c r="E42" s="80"/>
      <c r="F42" s="136"/>
      <c r="G42" s="136"/>
      <c r="H42" s="137"/>
      <c r="I42" s="137"/>
      <c r="J42" s="137"/>
      <c r="K42" s="137"/>
      <c r="L42" s="137"/>
      <c r="M42" s="50"/>
    </row>
    <row r="43" spans="1:13" ht="13.5" customHeight="1" outlineLevel="1">
      <c r="A43" s="125"/>
      <c r="C43" s="68" t="s">
        <v>117</v>
      </c>
      <c r="D43" s="80"/>
      <c r="E43" s="80"/>
      <c r="F43" s="134"/>
      <c r="G43" s="134"/>
      <c r="H43" s="135"/>
      <c r="I43" s="135"/>
      <c r="J43" s="135"/>
      <c r="K43" s="135"/>
      <c r="L43" s="135"/>
      <c r="M43" s="50" t="s">
        <v>118</v>
      </c>
    </row>
    <row r="44" spans="1:13" ht="13.5" customHeight="1" outlineLevel="1">
      <c r="A44" s="125"/>
      <c r="C44" s="68" t="s">
        <v>119</v>
      </c>
      <c r="D44" s="80"/>
      <c r="E44" s="80"/>
      <c r="F44" s="134"/>
      <c r="G44" s="134"/>
      <c r="H44" s="135"/>
      <c r="I44" s="135"/>
      <c r="J44" s="135"/>
      <c r="K44" s="135"/>
      <c r="L44" s="135"/>
      <c r="M44" s="50" t="s">
        <v>120</v>
      </c>
    </row>
    <row r="45" spans="1:13" ht="13.5" customHeight="1" outlineLevel="1">
      <c r="A45" s="125"/>
      <c r="C45" s="80"/>
      <c r="D45" s="80"/>
      <c r="E45" s="80"/>
      <c r="F45" s="136"/>
      <c r="G45" s="136"/>
      <c r="H45" s="137"/>
      <c r="I45" s="137"/>
      <c r="J45" s="137"/>
      <c r="K45" s="137"/>
      <c r="L45" s="137"/>
      <c r="M45" s="50"/>
    </row>
    <row r="46" spans="1:13" ht="13.5" customHeight="1" outlineLevel="1">
      <c r="A46" s="125"/>
      <c r="C46" s="80" t="s">
        <v>121</v>
      </c>
      <c r="D46" s="80"/>
      <c r="E46" s="80"/>
      <c r="F46" s="134"/>
      <c r="G46" s="134"/>
      <c r="H46" s="135"/>
      <c r="I46" s="135"/>
      <c r="J46" s="135"/>
      <c r="K46" s="135"/>
      <c r="L46" s="135"/>
      <c r="M46" s="50" t="s">
        <v>122</v>
      </c>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G48" s="140"/>
      <c r="H48" s="139"/>
      <c r="I48" s="139"/>
      <c r="J48" s="139"/>
      <c r="K48" s="139"/>
      <c r="L48" s="139"/>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1">G$11</f>
        <v>45657</v>
      </c>
      <c r="H56" s="58">
        <f t="shared" si="11"/>
        <v>46022</v>
      </c>
      <c r="I56" s="58">
        <f t="shared" si="11"/>
        <v>46387</v>
      </c>
      <c r="J56" s="58">
        <f t="shared" si="11"/>
        <v>46752</v>
      </c>
      <c r="K56" s="58">
        <f t="shared" si="11"/>
        <v>47118</v>
      </c>
      <c r="L56" s="58">
        <f t="shared" si="11"/>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90"/>
      <c r="I60" s="90"/>
      <c r="J60" s="90"/>
      <c r="K60" s="90"/>
      <c r="L60" s="90"/>
    </row>
    <row r="61" spans="1:13" ht="13.5" customHeight="1" outlineLevel="1">
      <c r="A61" s="82"/>
      <c r="C61" s="91" t="s">
        <v>83</v>
      </c>
      <c r="F61" s="96">
        <f>SUM('Financials from CIP'!D47:D48)/1000</f>
        <v>16.781419000000003</v>
      </c>
      <c r="G61" s="96">
        <f>SUM('Financials from CIP'!E47:E48)/1000</f>
        <v>22.284721999999999</v>
      </c>
      <c r="H61" s="90"/>
      <c r="I61" s="90"/>
      <c r="J61" s="90"/>
      <c r="K61" s="90"/>
      <c r="L61" s="90"/>
    </row>
    <row r="62" spans="1:13" ht="13.5" customHeight="1" outlineLevel="1">
      <c r="A62" s="82"/>
      <c r="C62" s="91" t="s">
        <v>31</v>
      </c>
      <c r="F62" s="96">
        <f>'Financials from CIP'!D49/1000</f>
        <v>0.80490099999999998</v>
      </c>
      <c r="G62" s="96">
        <f>'Financials from CIP'!E49/1000</f>
        <v>1.161057</v>
      </c>
      <c r="H62" s="90"/>
      <c r="I62" s="90"/>
      <c r="J62" s="90"/>
      <c r="K62" s="90"/>
      <c r="L62" s="90"/>
    </row>
    <row r="63" spans="1:13" ht="13.5" customHeight="1" outlineLevel="1">
      <c r="A63" s="82"/>
      <c r="C63" s="91" t="s">
        <v>84</v>
      </c>
      <c r="F63" s="96">
        <f>'Financials from CIP'!D50/1000</f>
        <v>0.26978399999999997</v>
      </c>
      <c r="G63" s="96">
        <f>'Financials from CIP'!E50/1000</f>
        <v>0.34491899999999998</v>
      </c>
      <c r="H63" s="90"/>
      <c r="I63" s="90"/>
      <c r="J63" s="90"/>
      <c r="K63" s="90"/>
      <c r="L63" s="90"/>
    </row>
    <row r="64" spans="1:13" ht="13.5" customHeight="1" outlineLevel="1">
      <c r="A64" s="82"/>
      <c r="C64" s="76" t="s">
        <v>33</v>
      </c>
      <c r="D64" s="77"/>
      <c r="E64" s="77"/>
      <c r="F64" s="93">
        <f>SUM(F60:F63)</f>
        <v>24.961756000000005</v>
      </c>
      <c r="G64" s="93">
        <f>SUM(G60:G63)</f>
        <v>26.74869</v>
      </c>
      <c r="H64" s="94"/>
      <c r="I64" s="94"/>
      <c r="J64" s="94"/>
      <c r="K64" s="94"/>
      <c r="L64" s="94"/>
    </row>
    <row r="65" spans="1:12" ht="13.5" customHeight="1" outlineLevel="1">
      <c r="A65" s="82"/>
      <c r="C65" s="91" t="s">
        <v>85</v>
      </c>
      <c r="D65" s="95"/>
      <c r="E65" s="95"/>
      <c r="F65" s="96"/>
      <c r="G65" s="96"/>
      <c r="H65" s="97"/>
      <c r="I65" s="97"/>
      <c r="J65" s="97"/>
      <c r="K65" s="97"/>
      <c r="L65" s="97"/>
    </row>
    <row r="66" spans="1:12" ht="13.5" customHeight="1" outlineLevel="1">
      <c r="A66" s="82"/>
      <c r="C66" s="91" t="s">
        <v>86</v>
      </c>
      <c r="D66" s="95"/>
      <c r="E66" s="95"/>
      <c r="F66" s="96"/>
      <c r="G66" s="96"/>
      <c r="H66" s="94"/>
      <c r="I66" s="94"/>
      <c r="J66" s="94"/>
      <c r="K66" s="94"/>
      <c r="L66" s="94"/>
    </row>
    <row r="67" spans="1:12" ht="13.5" customHeight="1" outlineLevel="1">
      <c r="A67" s="82"/>
      <c r="C67" s="76" t="s">
        <v>34</v>
      </c>
      <c r="D67" s="77"/>
      <c r="E67" s="77"/>
      <c r="F67" s="131">
        <f>'Financials from CIP'!D53/1000</f>
        <v>54.584699999999998</v>
      </c>
      <c r="G67" s="131">
        <f>'Financials from CIP'!E53/1000</f>
        <v>55.684984</v>
      </c>
      <c r="H67" s="94"/>
      <c r="I67" s="94"/>
      <c r="J67" s="94"/>
      <c r="K67" s="94"/>
      <c r="L67" s="94"/>
    </row>
    <row r="68" spans="1:12" ht="13.5" customHeight="1" outlineLevel="1">
      <c r="A68" s="82"/>
      <c r="C68" s="98" t="s">
        <v>87</v>
      </c>
      <c r="D68" s="95"/>
      <c r="E68" s="95"/>
      <c r="F68" s="99">
        <v>0</v>
      </c>
      <c r="G68" s="99">
        <v>0</v>
      </c>
      <c r="H68" s="94"/>
      <c r="I68" s="94"/>
      <c r="J68" s="94"/>
      <c r="K68" s="94"/>
      <c r="L68" s="94"/>
    </row>
    <row r="69" spans="1:12" ht="13.5" customHeight="1" outlineLevel="1">
      <c r="A69" s="82"/>
      <c r="C69" s="98" t="s">
        <v>88</v>
      </c>
      <c r="D69" s="95"/>
      <c r="E69" s="95"/>
      <c r="F69" s="96">
        <f>'Financials from CIP'!D54/1000</f>
        <v>4.378482</v>
      </c>
      <c r="G69" s="96">
        <f>'Financials from CIP'!E54/1000</f>
        <v>4.5043699999999998</v>
      </c>
      <c r="H69" s="94"/>
      <c r="I69" s="94"/>
      <c r="J69" s="94"/>
      <c r="K69" s="94"/>
      <c r="L69" s="94"/>
    </row>
    <row r="70" spans="1:12" ht="13.5" customHeight="1" outlineLevel="1">
      <c r="A70" s="82"/>
      <c r="C70" s="100" t="s">
        <v>36</v>
      </c>
      <c r="D70" s="101"/>
      <c r="E70" s="101"/>
      <c r="F70" s="102">
        <f>SUM(F64,F67:F69)</f>
        <v>83.924938000000012</v>
      </c>
      <c r="G70" s="102">
        <f>SUM(G64,G67:G69)</f>
        <v>86.938043999999991</v>
      </c>
      <c r="H70" s="103"/>
      <c r="I70" s="103"/>
      <c r="J70" s="103"/>
      <c r="K70" s="103"/>
      <c r="L70" s="103"/>
    </row>
    <row r="71" spans="1:12" ht="13.5" customHeight="1" outlineLevel="1">
      <c r="A71" s="82"/>
      <c r="H71" s="104"/>
      <c r="I71" s="104"/>
      <c r="J71" s="104"/>
      <c r="K71" s="104"/>
      <c r="L71" s="104"/>
    </row>
    <row r="72" spans="1:12" ht="13.5" customHeight="1" outlineLevel="1">
      <c r="A72" s="82"/>
      <c r="C72" s="84" t="s">
        <v>89</v>
      </c>
      <c r="D72" s="85"/>
      <c r="E72" s="86"/>
      <c r="F72" s="86"/>
      <c r="G72" s="86"/>
      <c r="H72" s="86"/>
      <c r="I72" s="86"/>
      <c r="J72" s="86"/>
      <c r="K72" s="86"/>
      <c r="L72" s="87"/>
    </row>
    <row r="73" spans="1:12" ht="13.5" customHeight="1" outlineLevel="1">
      <c r="A73" s="82"/>
      <c r="C73" s="59"/>
      <c r="D73" s="59"/>
      <c r="E73" s="59"/>
      <c r="F73" s="60"/>
      <c r="G73" s="60"/>
      <c r="H73" s="60"/>
      <c r="I73" s="60"/>
      <c r="J73" s="60"/>
      <c r="K73" s="60"/>
    </row>
    <row r="74" spans="1:12" ht="13.5" customHeight="1" outlineLevel="1">
      <c r="A74" s="82"/>
      <c r="C74" s="91" t="s">
        <v>37</v>
      </c>
      <c r="D74" s="95"/>
      <c r="E74" s="95"/>
      <c r="F74" s="96">
        <f>'Financials from CIP'!D58/1000</f>
        <v>2.8058170000000002</v>
      </c>
      <c r="G74" s="96">
        <f>'Financials from CIP'!E58/1000</f>
        <v>2.3607100000000001</v>
      </c>
      <c r="H74" s="90"/>
      <c r="I74" s="90"/>
      <c r="J74" s="90"/>
      <c r="K74" s="90"/>
      <c r="L74" s="90"/>
    </row>
    <row r="75" spans="1:12" ht="13.5" customHeight="1" outlineLevel="1">
      <c r="A75" s="82"/>
      <c r="C75" s="91" t="s">
        <v>38</v>
      </c>
      <c r="D75" s="95"/>
      <c r="E75" s="95"/>
      <c r="F75" s="96">
        <f>'Financials from CIP'!D59/1000</f>
        <v>2.3839329999999999</v>
      </c>
      <c r="G75" s="96">
        <f>'Financials from CIP'!E59/1000</f>
        <v>2.7880379999999998</v>
      </c>
      <c r="H75" s="90"/>
      <c r="I75" s="90"/>
      <c r="J75" s="90"/>
      <c r="K75" s="90"/>
      <c r="L75" s="90"/>
    </row>
    <row r="76" spans="1:12" ht="13.5" customHeight="1" outlineLevel="1">
      <c r="A76" s="82"/>
      <c r="C76" s="91" t="s">
        <v>39</v>
      </c>
      <c r="D76" s="95"/>
      <c r="E76" s="95"/>
      <c r="F76" s="96">
        <f>'Financials from CIP'!D60/1000</f>
        <v>2.0579079999999998</v>
      </c>
      <c r="G76" s="96">
        <f>'Financials from CIP'!E60/1000</f>
        <v>3.2020309999999998</v>
      </c>
      <c r="H76" s="90"/>
      <c r="I76" s="90"/>
      <c r="J76" s="90"/>
      <c r="K76" s="90"/>
      <c r="L76" s="90"/>
    </row>
    <row r="77" spans="1:12" ht="13.5" customHeight="1" outlineLevel="1">
      <c r="A77" s="82"/>
      <c r="C77" s="76" t="s">
        <v>40</v>
      </c>
      <c r="D77" s="77"/>
      <c r="E77" s="77"/>
      <c r="F77" s="93">
        <f>SUM(F74:F76)</f>
        <v>7.2476579999999995</v>
      </c>
      <c r="G77" s="93">
        <f>SUM(G74:G76)</f>
        <v>8.3507789999999993</v>
      </c>
      <c r="H77" s="94"/>
      <c r="I77" s="94"/>
      <c r="J77" s="94"/>
      <c r="K77" s="94"/>
      <c r="L77" s="94"/>
    </row>
    <row r="78" spans="1:12" ht="13.5" customHeight="1" outlineLevel="1">
      <c r="A78" s="82"/>
      <c r="C78" s="91" t="s">
        <v>41</v>
      </c>
      <c r="D78" s="95"/>
      <c r="E78" s="95"/>
      <c r="F78" s="96">
        <f>'Financials from CIP'!D63/1000</f>
        <v>0.64588299999999998</v>
      </c>
      <c r="G78" s="96">
        <f>'Financials from CIP'!E63/1000</f>
        <v>1.2892999999999999</v>
      </c>
      <c r="H78" s="97"/>
      <c r="I78" s="97"/>
      <c r="J78" s="97"/>
      <c r="K78" s="97"/>
      <c r="L78" s="97"/>
    </row>
    <row r="79" spans="1:12" ht="13.5" customHeight="1" outlineLevel="1">
      <c r="A79" s="82"/>
      <c r="C79" s="91" t="s">
        <v>42</v>
      </c>
      <c r="D79" s="95"/>
      <c r="E79" s="95"/>
      <c r="F79" s="96">
        <f>'Financials from CIP'!D64/1000</f>
        <v>18.943222000000002</v>
      </c>
      <c r="G79" s="96">
        <f>'Financials from CIP'!E64/1000</f>
        <v>12.001450999999999</v>
      </c>
      <c r="H79" s="94"/>
      <c r="I79" s="94"/>
      <c r="J79" s="94"/>
      <c r="K79" s="94"/>
      <c r="L79" s="94"/>
    </row>
    <row r="80" spans="1:12" ht="13.5" customHeight="1" outlineLevel="1">
      <c r="A80" s="82"/>
      <c r="C80" s="91" t="s">
        <v>90</v>
      </c>
      <c r="D80" s="95"/>
      <c r="E80" s="95"/>
      <c r="F80" s="96">
        <f>'Financials from CIP'!D65/1000</f>
        <v>0.54533299999999996</v>
      </c>
      <c r="G80" s="96">
        <f>'Financials from CIP'!E65/1000</f>
        <v>8.5337999999999997E-2</v>
      </c>
      <c r="H80" s="97"/>
      <c r="I80" s="97"/>
      <c r="J80" s="97"/>
      <c r="K80" s="97"/>
      <c r="L80" s="97"/>
    </row>
    <row r="81" spans="1:19" ht="13.5" customHeight="1" outlineLevel="1">
      <c r="A81" s="82"/>
      <c r="C81" s="91" t="s">
        <v>91</v>
      </c>
      <c r="D81" s="95"/>
      <c r="E81" s="95"/>
      <c r="F81" s="96">
        <f>'Financials from CIP'!D66/1000</f>
        <v>9.2447999999999989E-2</v>
      </c>
      <c r="G81" s="96">
        <f>'Financials from CIP'!E66/1000</f>
        <v>1.2666999999999999E-2</v>
      </c>
      <c r="H81" s="97"/>
      <c r="I81" s="97"/>
      <c r="J81" s="97"/>
      <c r="K81" s="97"/>
      <c r="L81" s="97"/>
    </row>
    <row r="82" spans="1:19" ht="13.5" customHeight="1" outlineLevel="1">
      <c r="A82" s="82"/>
      <c r="C82" s="76" t="s">
        <v>92</v>
      </c>
      <c r="D82" s="77"/>
      <c r="E82" s="77"/>
      <c r="F82" s="93">
        <f>SUM(F78:F81)</f>
        <v>20.226886000000004</v>
      </c>
      <c r="G82" s="93">
        <f>SUM(G78:G81)</f>
        <v>13.388756000000001</v>
      </c>
      <c r="H82" s="94"/>
      <c r="I82" s="94"/>
      <c r="J82" s="94"/>
      <c r="K82" s="94"/>
      <c r="L82" s="94"/>
    </row>
    <row r="83" spans="1:19" ht="13.5" customHeight="1" outlineLevel="1">
      <c r="A83" s="82"/>
      <c r="C83" s="68" t="s">
        <v>93</v>
      </c>
      <c r="F83" s="96">
        <f>'Financials from CIP'!D67/1000</f>
        <v>0.41787400000000002</v>
      </c>
      <c r="G83" s="96">
        <f>'Financials from CIP'!E67/1000</f>
        <v>0.42988799999999999</v>
      </c>
      <c r="H83" s="97"/>
      <c r="I83" s="97"/>
      <c r="J83" s="97"/>
      <c r="K83" s="97"/>
      <c r="L83" s="97"/>
      <c r="M83" s="82"/>
    </row>
    <row r="84" spans="1:19" ht="13.5" customHeight="1" outlineLevel="1">
      <c r="A84" s="82"/>
      <c r="C84" s="76" t="s">
        <v>94</v>
      </c>
      <c r="D84" s="77"/>
      <c r="E84" s="77"/>
      <c r="F84" s="93">
        <f>SUM(F77,F82:F83)</f>
        <v>27.892418000000003</v>
      </c>
      <c r="G84" s="93">
        <f>SUM(G77,G82:G83)</f>
        <v>22.169422999999998</v>
      </c>
      <c r="H84" s="94"/>
      <c r="I84" s="94"/>
      <c r="J84" s="94"/>
      <c r="K84" s="94"/>
      <c r="L84" s="94"/>
      <c r="M84" s="82"/>
    </row>
    <row r="85" spans="1:19" ht="13.5" customHeight="1" outlineLevel="1">
      <c r="A85" s="82"/>
      <c r="C85" s="98" t="s">
        <v>47</v>
      </c>
      <c r="F85" s="96">
        <f>'Financials from CIP'!D71/1000</f>
        <v>7.7836338279007267</v>
      </c>
      <c r="G85" s="96">
        <f>'Financials from CIP'!E71/1000</f>
        <v>8.9161157153081838</v>
      </c>
      <c r="H85" s="97"/>
      <c r="I85" s="97"/>
      <c r="J85" s="97"/>
      <c r="K85" s="97"/>
      <c r="L85" s="97"/>
      <c r="M85" s="82"/>
    </row>
    <row r="86" spans="1:19" ht="13.5" customHeight="1" outlineLevel="1">
      <c r="A86" s="82"/>
      <c r="C86" s="98" t="s">
        <v>48</v>
      </c>
      <c r="F86" s="96">
        <f>'Financials from CIP'!D72/1000</f>
        <v>48.248887000000003</v>
      </c>
      <c r="G86" s="96">
        <f>'Financials from CIP'!E72/1000</f>
        <v>55.852504780500006</v>
      </c>
      <c r="H86" s="97"/>
      <c r="I86" s="97"/>
      <c r="J86" s="97"/>
      <c r="K86" s="97"/>
      <c r="L86" s="97"/>
      <c r="M86" s="82"/>
    </row>
    <row r="87" spans="1:19" ht="13.5" customHeight="1" outlineLevel="1">
      <c r="A87" s="82"/>
      <c r="C87" s="100" t="s">
        <v>95</v>
      </c>
      <c r="D87" s="101"/>
      <c r="E87" s="101"/>
      <c r="F87" s="105">
        <f>SUM(F84:F86)</f>
        <v>83.924938827900732</v>
      </c>
      <c r="G87" s="105">
        <f>SUM(G84:G86)</f>
        <v>86.938043495808188</v>
      </c>
      <c r="H87" s="103"/>
      <c r="I87" s="103"/>
      <c r="J87" s="103"/>
      <c r="K87" s="103"/>
      <c r="L87" s="103"/>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82"/>
      <c r="B89" s="110"/>
      <c r="C89" s="111"/>
      <c r="D89" s="111"/>
      <c r="E89" s="111"/>
      <c r="F89" s="112"/>
      <c r="G89" s="113"/>
      <c r="H89" s="113"/>
      <c r="I89" s="113"/>
      <c r="J89" s="113"/>
      <c r="K89" s="113"/>
      <c r="L89" s="113"/>
      <c r="M89" s="82"/>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2'!F13</f>
        <v>0</v>
      </c>
      <c r="G94" s="122">
        <f>'Financials from CIP'!E13/1000-'Step 2'!G13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2'!F15</f>
        <v>0</v>
      </c>
      <c r="G95" s="122">
        <f>'Financials from CIP'!E19/1000-'Step 2'!G15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2'!F18</f>
        <v>0</v>
      </c>
      <c r="G96" s="122">
        <f>'Financials from CIP'!E36/1000-'Step 2'!G18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2'!F33</f>
        <v>0</v>
      </c>
      <c r="G97" s="122">
        <f>'Financials from CIP'!E34/1000-'Step 2'!G33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2'!F60</f>
        <v>0</v>
      </c>
      <c r="G100" s="122">
        <f>'Financials from CIP'!E46/1000-'Step 2'!G60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2'!F64</f>
        <v>0</v>
      </c>
      <c r="G101" s="122">
        <f>'Financials from CIP'!E51/1000-'Step 2'!G64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2'!F70</f>
        <v>0</v>
      </c>
      <c r="G102" s="122">
        <f>'Financials from CIP'!E56/1000-'Step 2'!G70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2'!F77</f>
        <v>0</v>
      </c>
      <c r="G103" s="122">
        <f>'Financials from CIP'!E61/1000-'Step 2'!G77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2'!F84</f>
        <v>0</v>
      </c>
      <c r="G104" s="122">
        <f>'Financials from CIP'!E69/1000-'Step 2'!G84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2'!F85:F86)</f>
        <v>0</v>
      </c>
      <c r="G105" s="122">
        <f>'Financials from CIP'!E73/1000-SUM('Step 2'!G85:G86)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A114" s="125"/>
      <c r="B114" s="46" t="s">
        <v>61</v>
      </c>
      <c r="C114" s="47" t="s">
        <v>124</v>
      </c>
      <c r="D114" s="48"/>
      <c r="E114" s="49"/>
      <c r="F114" s="49"/>
      <c r="G114" s="49"/>
      <c r="H114" s="49"/>
      <c r="I114" s="49"/>
      <c r="J114" s="49"/>
      <c r="K114" s="49"/>
      <c r="L114" s="49"/>
      <c r="M114" s="50" t="s">
        <v>125</v>
      </c>
    </row>
    <row r="115" spans="1:13" ht="5.0999999999999996" customHeight="1">
      <c r="A115" s="125"/>
      <c r="M115" s="50"/>
    </row>
    <row r="116" spans="1:13" ht="13.5" customHeight="1">
      <c r="A116" s="125"/>
      <c r="C116" s="53"/>
      <c r="D116" s="53"/>
      <c r="E116" s="53"/>
      <c r="F116" s="143"/>
      <c r="G116" s="54"/>
      <c r="H116" s="55" t="s">
        <v>64</v>
      </c>
      <c r="I116" s="55"/>
      <c r="J116" s="55"/>
      <c r="K116" s="55"/>
      <c r="L116" s="55"/>
      <c r="M116" s="50"/>
    </row>
    <row r="117" spans="1:13" ht="13.5" customHeight="1" thickBot="1">
      <c r="A117" s="125"/>
      <c r="C117" s="56" t="s">
        <v>65</v>
      </c>
      <c r="D117" s="144" t="s">
        <v>126</v>
      </c>
      <c r="E117" s="57" t="s">
        <v>127</v>
      </c>
      <c r="F117" s="145" t="s">
        <v>128</v>
      </c>
      <c r="G117" s="58" t="s">
        <v>129</v>
      </c>
      <c r="H117" s="58">
        <f t="shared" ref="H117:L117" si="12">H$11</f>
        <v>46022</v>
      </c>
      <c r="I117" s="58">
        <f t="shared" si="12"/>
        <v>46387</v>
      </c>
      <c r="J117" s="58">
        <f t="shared" si="12"/>
        <v>46752</v>
      </c>
      <c r="K117" s="58">
        <f t="shared" si="12"/>
        <v>47118</v>
      </c>
      <c r="L117" s="58">
        <f t="shared" si="12"/>
        <v>47483</v>
      </c>
      <c r="M117" s="50"/>
    </row>
    <row r="118" spans="1:13" ht="13.5" customHeight="1">
      <c r="A118" s="125"/>
      <c r="M118" s="50"/>
    </row>
    <row r="119" spans="1:13" ht="13.5" customHeight="1">
      <c r="A119" s="125"/>
      <c r="C119" s="146">
        <f>G11</f>
        <v>45657</v>
      </c>
      <c r="D119" s="147">
        <f>G67</f>
        <v>55.684984</v>
      </c>
      <c r="E119" s="148"/>
      <c r="F119" s="149">
        <f>-G20</f>
        <v>-1.1617642799999999</v>
      </c>
      <c r="G119" s="150" t="str">
        <f>IFERROR(-D119/E119,"N/M")</f>
        <v>N/M</v>
      </c>
      <c r="H119" s="151"/>
      <c r="I119" s="151"/>
      <c r="J119" s="151"/>
      <c r="K119" s="151"/>
      <c r="L119" s="151"/>
      <c r="M119" s="50" t="s">
        <v>130</v>
      </c>
    </row>
    <row r="120" spans="1:13" ht="13.5" customHeight="1">
      <c r="C120" s="146">
        <f>H117</f>
        <v>46022</v>
      </c>
      <c r="D120" s="152"/>
      <c r="E120" s="153"/>
      <c r="F120" s="68"/>
      <c r="G120" s="154"/>
      <c r="H120" s="154"/>
      <c r="I120" s="154"/>
      <c r="J120" s="154"/>
      <c r="K120" s="154"/>
      <c r="L120" s="154"/>
      <c r="M120" s="50"/>
    </row>
    <row r="121" spans="1:13" ht="13.5" customHeight="1">
      <c r="C121" s="146">
        <f>I117</f>
        <v>46387</v>
      </c>
      <c r="D121" s="152"/>
      <c r="E121" s="153"/>
      <c r="F121" s="68"/>
      <c r="G121" s="154"/>
      <c r="H121" s="68"/>
      <c r="I121" s="154"/>
      <c r="J121" s="154"/>
      <c r="K121" s="154"/>
      <c r="L121" s="154"/>
      <c r="M121" s="50"/>
    </row>
    <row r="122" spans="1:13" ht="13.5" customHeight="1">
      <c r="C122" s="146">
        <f>J117</f>
        <v>46752</v>
      </c>
      <c r="D122" s="152"/>
      <c r="E122" s="153"/>
      <c r="F122" s="68"/>
      <c r="G122" s="154"/>
      <c r="H122" s="68"/>
      <c r="I122" s="68"/>
      <c r="J122" s="154"/>
      <c r="K122" s="154"/>
      <c r="L122" s="154"/>
      <c r="M122" s="50"/>
    </row>
    <row r="123" spans="1:13" ht="13.5" customHeight="1">
      <c r="C123" s="146">
        <f>K117</f>
        <v>47118</v>
      </c>
      <c r="D123" s="152"/>
      <c r="E123" s="153"/>
      <c r="F123" s="68"/>
      <c r="G123" s="154"/>
      <c r="H123" s="68"/>
      <c r="I123" s="68"/>
      <c r="J123" s="68"/>
      <c r="K123" s="154"/>
      <c r="L123" s="154"/>
      <c r="M123" s="50"/>
    </row>
    <row r="124" spans="1:13" ht="13.5" customHeight="1">
      <c r="C124" s="146">
        <f>L117</f>
        <v>47483</v>
      </c>
      <c r="D124" s="152"/>
      <c r="E124" s="153"/>
      <c r="F124" s="68"/>
      <c r="G124" s="154"/>
      <c r="H124" s="68"/>
      <c r="I124" s="68"/>
      <c r="J124" s="68"/>
      <c r="K124" s="68"/>
      <c r="L124" s="154"/>
      <c r="M124" s="50"/>
    </row>
    <row r="125" spans="1:13" ht="13.5" customHeight="1">
      <c r="C125" s="68"/>
      <c r="D125" s="155"/>
    </row>
    <row r="126" spans="1:13" ht="13.5" customHeight="1">
      <c r="C126" s="39" t="s">
        <v>131</v>
      </c>
      <c r="H126" s="156">
        <f>-SUM(H119:H125)</f>
        <v>0</v>
      </c>
      <c r="I126" s="156">
        <f t="shared" ref="I126:L126" si="13">-SUM(I119:I125)</f>
        <v>0</v>
      </c>
      <c r="J126" s="156">
        <f t="shared" si="13"/>
        <v>0</v>
      </c>
      <c r="K126" s="156">
        <f t="shared" si="13"/>
        <v>0</v>
      </c>
      <c r="L126" s="156">
        <f t="shared" si="13"/>
        <v>0</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15F6C-C391-4EC8-8805-EC8E7213F566}">
  <sheetPr>
    <tabColor rgb="FF416D89"/>
    <outlinePr summaryBelow="0"/>
    <pageSetUpPr fitToPage="1"/>
  </sheetPr>
  <dimension ref="A1:S14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1:13" ht="13.5" customHeight="1">
      <c r="C1" s="30"/>
      <c r="E1" s="31"/>
      <c r="F1" s="31"/>
      <c r="G1" s="31"/>
    </row>
    <row r="2" spans="1:13" ht="21" outlineLevel="1">
      <c r="B2" s="32"/>
      <c r="C2" s="33" t="s">
        <v>54</v>
      </c>
      <c r="D2" s="34"/>
      <c r="E2" s="35"/>
      <c r="F2" s="35"/>
      <c r="G2" s="36"/>
      <c r="H2" s="36"/>
      <c r="I2" s="36"/>
      <c r="J2" s="36"/>
      <c r="K2" s="36"/>
      <c r="L2" s="36"/>
    </row>
    <row r="3" spans="1:13" ht="13.5" customHeight="1" outlineLevel="1">
      <c r="C3" s="37" t="s">
        <v>104</v>
      </c>
      <c r="D3" s="34"/>
      <c r="E3" s="38"/>
      <c r="F3" s="38"/>
      <c r="G3" s="38"/>
      <c r="H3" s="34"/>
      <c r="I3" s="34"/>
      <c r="J3" s="34"/>
      <c r="K3" s="34"/>
      <c r="L3" s="34"/>
    </row>
    <row r="4" spans="1:13" ht="13.5" customHeight="1" outlineLevel="1">
      <c r="C4" s="37"/>
      <c r="D4" s="34"/>
      <c r="E4" s="38"/>
      <c r="F4" s="38"/>
      <c r="G4" s="38"/>
      <c r="H4" s="34"/>
      <c r="I4" s="34"/>
      <c r="J4" s="34"/>
      <c r="K4" s="34"/>
      <c r="L4" s="34"/>
    </row>
    <row r="5" spans="1:13" ht="13.5" customHeight="1" outlineLevel="1">
      <c r="C5" s="30"/>
      <c r="E5" s="31"/>
      <c r="F5" s="31"/>
      <c r="G5" s="31"/>
      <c r="I5" s="39"/>
      <c r="J5" s="39" t="s">
        <v>56</v>
      </c>
    </row>
    <row r="6" spans="1:13" ht="13.5" customHeight="1" outlineLevel="1">
      <c r="C6" s="40" t="s">
        <v>57</v>
      </c>
      <c r="D6" s="41"/>
      <c r="E6" s="42"/>
      <c r="F6" s="43" t="s">
        <v>58</v>
      </c>
      <c r="G6" s="43"/>
      <c r="I6" s="44"/>
      <c r="J6" s="44" t="s">
        <v>59</v>
      </c>
    </row>
    <row r="7" spans="1:13" ht="13.5" customHeight="1" outlineLevel="1" thickBot="1">
      <c r="C7" s="30"/>
      <c r="E7" s="31"/>
      <c r="F7" s="31"/>
      <c r="G7" s="31"/>
      <c r="I7" s="45"/>
      <c r="J7" s="45" t="s">
        <v>60</v>
      </c>
    </row>
    <row r="8" spans="1:13" ht="21.75" thickTop="1">
      <c r="B8" s="46" t="s">
        <v>61</v>
      </c>
      <c r="C8" s="47" t="s">
        <v>3</v>
      </c>
      <c r="D8" s="48"/>
      <c r="E8" s="49"/>
      <c r="F8" s="49"/>
      <c r="G8" s="49"/>
      <c r="H8" s="49"/>
      <c r="I8" s="49"/>
      <c r="J8" s="49"/>
      <c r="K8" s="49"/>
      <c r="L8" s="49"/>
      <c r="M8" s="50"/>
    </row>
    <row r="9" spans="1:13" ht="5.0999999999999996" customHeight="1" outlineLevel="1">
      <c r="C9" s="51"/>
      <c r="D9" s="52"/>
    </row>
    <row r="10" spans="1:13" ht="13.5" customHeight="1" outlineLevel="1">
      <c r="C10" s="53"/>
      <c r="D10" s="53"/>
      <c r="E10" s="53"/>
      <c r="F10" s="54" t="s">
        <v>63</v>
      </c>
      <c r="G10" s="54" t="s">
        <v>63</v>
      </c>
      <c r="H10" s="55" t="s">
        <v>64</v>
      </c>
      <c r="I10" s="55"/>
      <c r="J10" s="55"/>
      <c r="K10" s="55"/>
      <c r="L10" s="55"/>
    </row>
    <row r="11" spans="1: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1:13" ht="5.0999999999999996" customHeight="1" outlineLevel="1">
      <c r="C12" s="59"/>
      <c r="D12" s="59"/>
      <c r="E12" s="59"/>
      <c r="F12" s="60"/>
      <c r="G12" s="60"/>
      <c r="H12" s="60"/>
      <c r="I12" s="60"/>
      <c r="J12" s="60"/>
      <c r="K12" s="60"/>
    </row>
    <row r="13" spans="1:13" ht="13.5" customHeight="1" outlineLevel="1">
      <c r="A13" s="125"/>
      <c r="C13" s="61" t="s">
        <v>7</v>
      </c>
      <c r="D13" s="61"/>
      <c r="E13" s="61"/>
      <c r="F13" s="126">
        <f>'Financials from CIP'!D13/1000</f>
        <v>78.565675999999996</v>
      </c>
      <c r="G13" s="126">
        <f>'Financials from CIP'!E13/1000</f>
        <v>90.614007999999998</v>
      </c>
      <c r="H13" s="127">
        <f>(1+H41)*G13</f>
        <v>104.5099955077592</v>
      </c>
      <c r="I13" s="127">
        <f>(1+I41)*H13</f>
        <v>120.53698321160066</v>
      </c>
      <c r="J13" s="127">
        <f>(1+J41)*I13</f>
        <v>135.4056582414087</v>
      </c>
      <c r="K13" s="127">
        <f>(1+K41)*J13</f>
        <v>148.04626863637753</v>
      </c>
      <c r="L13" s="127">
        <f>(1+L41)*K13</f>
        <v>157.42553790111026</v>
      </c>
      <c r="M13" s="50" t="s">
        <v>105</v>
      </c>
    </row>
    <row r="14" spans="1:13" ht="13.5" customHeight="1" outlineLevel="1">
      <c r="A14" s="125"/>
      <c r="C14" s="63" t="s">
        <v>66</v>
      </c>
      <c r="D14" s="63"/>
      <c r="E14" s="63"/>
      <c r="F14" s="128">
        <f>SUM('Financials from CIP'!D15:D17)/1000</f>
        <v>51.562188999999996</v>
      </c>
      <c r="G14" s="128">
        <f>SUM('Financials from CIP'!E15:E17)/1000</f>
        <v>61.618676000000001</v>
      </c>
      <c r="H14" s="129">
        <f>H43*H13</f>
        <v>69.828708282059708</v>
      </c>
      <c r="I14" s="129">
        <f>I43*I13</f>
        <v>80.537194523728473</v>
      </c>
      <c r="J14" s="129">
        <f>J43*J13</f>
        <v>90.471750220079329</v>
      </c>
      <c r="K14" s="129">
        <f>K43*K13</f>
        <v>98.917616966977391</v>
      </c>
      <c r="L14" s="129">
        <f>L43*L13</f>
        <v>105.18440756632523</v>
      </c>
      <c r="M14" s="50" t="s">
        <v>106</v>
      </c>
    </row>
    <row r="15" spans="1:13" ht="13.5" customHeight="1" outlineLevel="1">
      <c r="A15" s="125"/>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1:13" ht="13.5" customHeight="1" outlineLevel="1">
      <c r="A16" s="125"/>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t="s">
        <v>107</v>
      </c>
    </row>
    <row r="17" spans="1:13" ht="13.5" customHeight="1" outlineLevel="1">
      <c r="A17" s="125"/>
      <c r="C17" s="63" t="s">
        <v>69</v>
      </c>
      <c r="D17" s="63"/>
      <c r="E17" s="63"/>
      <c r="F17" s="128">
        <f>SUM('Financials from CIP'!D23:D24,'Financials from CIP'!D28)/1000</f>
        <v>14.179914999999999</v>
      </c>
      <c r="G17" s="128">
        <f>SUM('Financials from CIP'!E23:E24,'Financials from CIP'!E28)/1000</f>
        <v>15.4366889395</v>
      </c>
      <c r="H17" s="129">
        <f>H44*H13</f>
        <v>18.333216581804578</v>
      </c>
      <c r="I17" s="129">
        <f t="shared" ref="I17:L17" si="3">I44*I13</f>
        <v>21.144681985672378</v>
      </c>
      <c r="J17" s="129">
        <f t="shared" si="3"/>
        <v>23.752955369300096</v>
      </c>
      <c r="K17" s="129">
        <f t="shared" si="3"/>
        <v>25.970380094765407</v>
      </c>
      <c r="L17" s="129">
        <f t="shared" si="3"/>
        <v>27.615698075825332</v>
      </c>
      <c r="M17" s="50" t="s">
        <v>108</v>
      </c>
    </row>
    <row r="18" spans="1:13" ht="13.5" customHeight="1" outlineLevel="1">
      <c r="A18" s="125"/>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1:13" ht="13.5" customHeight="1" outlineLevel="1">
      <c r="A19" s="125"/>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t="s">
        <v>109</v>
      </c>
    </row>
    <row r="20" spans="1:13" ht="13.5" customHeight="1" outlineLevel="1">
      <c r="A20" s="125"/>
      <c r="C20" s="63" t="s">
        <v>15</v>
      </c>
      <c r="D20" s="63"/>
      <c r="E20" s="63"/>
      <c r="F20" s="128">
        <f>'Financials from CIP'!D25/1000</f>
        <v>1.1801621</v>
      </c>
      <c r="G20" s="128">
        <f>'Financials from CIP'!E25/1000</f>
        <v>1.1617642799999999</v>
      </c>
      <c r="H20" s="129">
        <f>H126</f>
        <v>5.5684984000000002</v>
      </c>
      <c r="I20" s="129">
        <f t="shared" ref="I20:L20" si="6">I126</f>
        <v>5.5684984000000002</v>
      </c>
      <c r="J20" s="129">
        <f t="shared" si="6"/>
        <v>5.5684984000000002</v>
      </c>
      <c r="K20" s="129">
        <f t="shared" si="6"/>
        <v>5.5684984000000002</v>
      </c>
      <c r="L20" s="129">
        <f t="shared" si="6"/>
        <v>5.5684984000000002</v>
      </c>
      <c r="M20" s="50" t="s">
        <v>110</v>
      </c>
    </row>
    <row r="21" spans="1:13" ht="13.5" customHeight="1" outlineLevel="1">
      <c r="A21" s="125"/>
      <c r="C21" s="63" t="s">
        <v>16</v>
      </c>
      <c r="D21" s="63"/>
      <c r="E21" s="63"/>
      <c r="F21" s="128">
        <f>'Financials from CIP'!D26/1000</f>
        <v>0.208264</v>
      </c>
      <c r="G21" s="128">
        <f>'Financials from CIP'!E26/1000</f>
        <v>0.237952</v>
      </c>
      <c r="H21" s="130">
        <f>G21</f>
        <v>0.237952</v>
      </c>
      <c r="I21" s="130">
        <f>H21</f>
        <v>0.237952</v>
      </c>
      <c r="J21" s="130">
        <f>I21</f>
        <v>0.237952</v>
      </c>
      <c r="K21" s="130">
        <f>J21</f>
        <v>0.237952</v>
      </c>
      <c r="L21" s="130">
        <f>K21</f>
        <v>0.237952</v>
      </c>
      <c r="M21" s="50" t="s">
        <v>111</v>
      </c>
    </row>
    <row r="22" spans="1:13" ht="13.5" customHeight="1" outlineLevel="1">
      <c r="A22" s="125"/>
      <c r="C22" s="70" t="s">
        <v>72</v>
      </c>
      <c r="D22" s="70"/>
      <c r="E22" s="70"/>
      <c r="F22" s="71">
        <f>F18-SUM(F20:F21)</f>
        <v>11.4351459</v>
      </c>
      <c r="G22" s="71">
        <f>G18-SUM(G20:G21)</f>
        <v>12.158926780499998</v>
      </c>
      <c r="H22" s="71">
        <f t="shared" ref="H22:L22" si="7">H18-SUM(H20:H21)</f>
        <v>10.541620243894915</v>
      </c>
      <c r="I22" s="71">
        <f t="shared" si="7"/>
        <v>13.048656302199806</v>
      </c>
      <c r="J22" s="71">
        <f t="shared" si="7"/>
        <v>15.374502252029277</v>
      </c>
      <c r="K22" s="71">
        <f t="shared" si="7"/>
        <v>17.351821174634736</v>
      </c>
      <c r="L22" s="71">
        <f t="shared" si="7"/>
        <v>18.818981858959695</v>
      </c>
      <c r="M22" s="60"/>
    </row>
    <row r="23" spans="1:13" ht="13.5" customHeight="1" outlineLevel="1">
      <c r="A23" s="125"/>
      <c r="C23" s="72" t="s">
        <v>73</v>
      </c>
      <c r="D23" s="39"/>
      <c r="E23" s="39"/>
      <c r="F23" s="45"/>
      <c r="G23" s="73"/>
      <c r="H23" s="73"/>
      <c r="I23" s="73"/>
      <c r="J23" s="73"/>
      <c r="K23" s="73"/>
      <c r="L23" s="73"/>
      <c r="M23" s="60"/>
    </row>
    <row r="24" spans="1:13" ht="13.5" customHeight="1" outlineLevel="1">
      <c r="A24" s="125"/>
      <c r="C24" s="74" t="s">
        <v>74</v>
      </c>
      <c r="D24" s="39"/>
      <c r="E24" s="39"/>
      <c r="F24" s="45"/>
      <c r="G24" s="75"/>
      <c r="H24" s="43"/>
      <c r="I24" s="43"/>
      <c r="J24" s="43"/>
      <c r="K24" s="43"/>
      <c r="L24" s="43"/>
      <c r="M24" s="60"/>
    </row>
    <row r="25" spans="1:13" ht="13.5" customHeight="1" outlineLevel="1">
      <c r="A25" s="125"/>
      <c r="C25" s="74" t="s">
        <v>75</v>
      </c>
      <c r="D25" s="39"/>
      <c r="E25" s="39"/>
      <c r="F25" s="45"/>
      <c r="G25" s="75"/>
      <c r="H25" s="43"/>
      <c r="I25" s="43"/>
      <c r="J25" s="43"/>
      <c r="K25" s="43"/>
      <c r="L25" s="43"/>
      <c r="M25" s="60"/>
    </row>
    <row r="26" spans="1:13" ht="13.5" customHeight="1" outlineLevel="1">
      <c r="A26" s="125"/>
      <c r="C26" s="74" t="str">
        <f>+C79</f>
        <v>Term Loan A</v>
      </c>
      <c r="D26" s="39"/>
      <c r="E26" s="39"/>
      <c r="F26" s="45"/>
      <c r="G26" s="75"/>
      <c r="H26" s="43"/>
      <c r="I26" s="43"/>
      <c r="J26" s="43"/>
      <c r="K26" s="43"/>
      <c r="L26" s="43"/>
      <c r="M26" s="60"/>
    </row>
    <row r="27" spans="1:13" ht="13.5" customHeight="1" outlineLevel="1">
      <c r="A27" s="125"/>
      <c r="C27" s="74" t="str">
        <f t="shared" ref="C27:C28" si="8">+C80</f>
        <v>Subordinated - Note 1</v>
      </c>
      <c r="D27" s="39"/>
      <c r="E27" s="39"/>
      <c r="F27" s="45"/>
      <c r="G27" s="75"/>
      <c r="H27" s="43"/>
      <c r="I27" s="43"/>
      <c r="J27" s="43"/>
      <c r="K27" s="43"/>
      <c r="L27" s="43"/>
      <c r="M27" s="60"/>
    </row>
    <row r="28" spans="1:13" ht="13.5" customHeight="1" outlineLevel="1">
      <c r="A28" s="125"/>
      <c r="C28" s="74" t="str">
        <f t="shared" si="8"/>
        <v>Subordinated - Note 2</v>
      </c>
      <c r="D28" s="39"/>
      <c r="E28" s="39"/>
      <c r="F28" s="45"/>
      <c r="G28" s="75"/>
      <c r="H28" s="43"/>
      <c r="I28" s="43"/>
      <c r="J28" s="43"/>
      <c r="K28" s="43"/>
      <c r="L28" s="43"/>
      <c r="M28" s="60"/>
    </row>
    <row r="29" spans="1:13" ht="13.5" customHeight="1" outlineLevel="1">
      <c r="A29" s="125"/>
      <c r="C29" s="76" t="s">
        <v>73</v>
      </c>
      <c r="D29" s="77"/>
      <c r="E29" s="77"/>
      <c r="F29" s="131">
        <f>'Financials from CIP'!D27/1000</f>
        <v>2.224955</v>
      </c>
      <c r="G29" s="131">
        <f>'Financials from CIP'!E27/1000</f>
        <v>1.4727629999999998</v>
      </c>
      <c r="H29" s="93">
        <f>SUM(H24:H28)</f>
        <v>0</v>
      </c>
      <c r="I29" s="93">
        <f t="shared" ref="I29:L29" si="9">SUM(I24:I28)</f>
        <v>0</v>
      </c>
      <c r="J29" s="93">
        <f t="shared" si="9"/>
        <v>0</v>
      </c>
      <c r="K29" s="93">
        <f t="shared" si="9"/>
        <v>0</v>
      </c>
      <c r="L29" s="93">
        <f t="shared" si="9"/>
        <v>0</v>
      </c>
      <c r="M29" s="60"/>
    </row>
    <row r="30" spans="1:13" ht="13.5" customHeight="1" outlineLevel="1">
      <c r="A30" s="125"/>
      <c r="C30" s="63" t="s">
        <v>76</v>
      </c>
      <c r="D30" s="63"/>
      <c r="E30" s="63"/>
      <c r="F30" s="128">
        <f>'Financials from CIP'!D32/1000</f>
        <v>0.147371</v>
      </c>
      <c r="G30" s="128">
        <f>'Financials from CIP'!E32/1000</f>
        <v>0.27343900000000004</v>
      </c>
      <c r="H30" s="130">
        <v>0</v>
      </c>
      <c r="I30" s="130">
        <v>0</v>
      </c>
      <c r="J30" s="130">
        <v>0</v>
      </c>
      <c r="K30" s="130">
        <v>0</v>
      </c>
      <c r="L30" s="130">
        <v>0</v>
      </c>
      <c r="M30" s="50" t="s">
        <v>112</v>
      </c>
    </row>
    <row r="31" spans="1:13" ht="13.5" customHeight="1" outlineLevel="1">
      <c r="A31" s="125"/>
      <c r="C31" s="65" t="s">
        <v>77</v>
      </c>
      <c r="D31" s="65"/>
      <c r="E31" s="65"/>
      <c r="F31" s="66">
        <f>F22-F29-F30</f>
        <v>9.0628199000000009</v>
      </c>
      <c r="G31" s="66">
        <f>G22-G29-G30</f>
        <v>10.412724780499998</v>
      </c>
      <c r="H31" s="66">
        <f t="shared" ref="H31:L31" si="10">H22-H29-H30</f>
        <v>10.541620243894915</v>
      </c>
      <c r="I31" s="66">
        <f t="shared" si="10"/>
        <v>13.048656302199806</v>
      </c>
      <c r="J31" s="66">
        <f t="shared" si="10"/>
        <v>15.374502252029277</v>
      </c>
      <c r="K31" s="66">
        <f t="shared" si="10"/>
        <v>17.351821174634736</v>
      </c>
      <c r="L31" s="66">
        <f t="shared" si="10"/>
        <v>18.818981858959695</v>
      </c>
      <c r="M31" s="50"/>
    </row>
    <row r="32" spans="1:13" ht="13.5" customHeight="1" outlineLevel="1">
      <c r="A32" s="125"/>
      <c r="C32" s="63" t="s">
        <v>78</v>
      </c>
      <c r="D32" s="63"/>
      <c r="E32" s="63"/>
      <c r="F32" s="128">
        <f>'Financials from CIP'!D29/1000</f>
        <v>3.2010390000000002</v>
      </c>
      <c r="G32" s="128">
        <f>'Financials from CIP'!E29/1000</f>
        <v>2.809107</v>
      </c>
      <c r="H32" s="129">
        <f>H46*H31</f>
        <v>3.2836197770826252</v>
      </c>
      <c r="I32" s="129">
        <f t="shared" ref="I32:L32" si="11">I46*I31</f>
        <v>4.0645389330042958</v>
      </c>
      <c r="J32" s="129">
        <f t="shared" si="11"/>
        <v>4.7890190017803063</v>
      </c>
      <c r="K32" s="129">
        <f t="shared" si="11"/>
        <v>5.4049360401148281</v>
      </c>
      <c r="L32" s="129">
        <f t="shared" si="11"/>
        <v>5.8619433812773574</v>
      </c>
      <c r="M32" s="50" t="s">
        <v>113</v>
      </c>
    </row>
    <row r="33" spans="1:13" ht="13.5" customHeight="1" outlineLevel="1">
      <c r="A33" s="125"/>
      <c r="C33" s="79" t="s">
        <v>22</v>
      </c>
      <c r="D33" s="79"/>
      <c r="E33" s="79"/>
      <c r="F33" s="71">
        <f>F31-F32</f>
        <v>5.8617809000000012</v>
      </c>
      <c r="G33" s="71">
        <f>G31-G32</f>
        <v>7.6036177804999978</v>
      </c>
      <c r="H33" s="71">
        <f t="shared" ref="H33:L33" si="12">H31-H32</f>
        <v>7.2580004668122893</v>
      </c>
      <c r="I33" s="71">
        <f t="shared" si="12"/>
        <v>8.9841173691955092</v>
      </c>
      <c r="J33" s="71">
        <f t="shared" si="12"/>
        <v>10.58548325024897</v>
      </c>
      <c r="K33" s="71">
        <f t="shared" si="12"/>
        <v>11.946885134519908</v>
      </c>
      <c r="L33" s="71">
        <f t="shared" si="12"/>
        <v>12.957038477682339</v>
      </c>
      <c r="M33" s="60"/>
    </row>
    <row r="34" spans="1:13" ht="13.5" customHeight="1" outlineLevel="1">
      <c r="C34" s="67" t="s">
        <v>79</v>
      </c>
      <c r="D34" s="39"/>
      <c r="E34" s="39"/>
      <c r="F34" s="69">
        <f>IFERROR(F33/F$13,"N/M")</f>
        <v>7.4609946715153336E-2</v>
      </c>
      <c r="G34" s="69">
        <f>IFERROR(G33/G$13,"N/M")</f>
        <v>8.3912167095621659E-2</v>
      </c>
      <c r="H34" s="69">
        <f t="shared" ref="H34:L34" si="13">IFERROR(H33/H$13,"N/M")</f>
        <v>6.944790717432793E-2</v>
      </c>
      <c r="I34" s="69">
        <f t="shared" si="13"/>
        <v>7.4534115006213833E-2</v>
      </c>
      <c r="J34" s="69">
        <f t="shared" si="13"/>
        <v>7.8176077630202012E-2</v>
      </c>
      <c r="K34" s="69">
        <f t="shared" si="13"/>
        <v>8.0696968890605E-2</v>
      </c>
      <c r="L34" s="69">
        <f t="shared" si="13"/>
        <v>8.2305823123955527E-2</v>
      </c>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A39" s="125"/>
      <c r="C39" s="84" t="s">
        <v>114</v>
      </c>
      <c r="D39" s="85"/>
      <c r="E39" s="86"/>
      <c r="F39" s="86"/>
      <c r="G39" s="86"/>
      <c r="H39" s="86"/>
      <c r="I39" s="86"/>
      <c r="J39" s="86"/>
      <c r="K39" s="86"/>
      <c r="L39" s="87"/>
      <c r="M39" s="50"/>
    </row>
    <row r="40" spans="1:13" ht="13.5" customHeight="1" outlineLevel="1">
      <c r="A40" s="125"/>
      <c r="C40" s="80"/>
      <c r="D40" s="80"/>
      <c r="E40" s="80"/>
      <c r="G40" s="81"/>
      <c r="H40" s="132"/>
      <c r="I40" s="132"/>
      <c r="J40" s="132"/>
      <c r="K40" s="132"/>
      <c r="L40" s="132"/>
      <c r="M40" s="50"/>
    </row>
    <row r="41" spans="1:13" ht="13.5" customHeight="1" outlineLevel="1">
      <c r="A41" s="125"/>
      <c r="C41" s="68" t="s">
        <v>115</v>
      </c>
      <c r="D41" s="133"/>
      <c r="E41" s="133"/>
      <c r="F41" s="134"/>
      <c r="G41" s="134">
        <f>G13/F13-1</f>
        <v>0.15335363498940691</v>
      </c>
      <c r="H41" s="135">
        <f>G41</f>
        <v>0.15335363498940691</v>
      </c>
      <c r="I41" s="135">
        <f>H41</f>
        <v>0.15335363498940691</v>
      </c>
      <c r="J41" s="135">
        <f>I41-3%</f>
        <v>0.12335363498940691</v>
      </c>
      <c r="K41" s="135">
        <f>J41-3%</f>
        <v>9.3353634989406908E-2</v>
      </c>
      <c r="L41" s="135">
        <f>K41-3%</f>
        <v>6.335363498940691E-2</v>
      </c>
      <c r="M41" s="50" t="s">
        <v>116</v>
      </c>
    </row>
    <row r="42" spans="1:13" ht="13.5" customHeight="1" outlineLevel="1">
      <c r="A42" s="125"/>
      <c r="C42" s="80"/>
      <c r="D42" s="80"/>
      <c r="E42" s="80"/>
      <c r="F42" s="136"/>
      <c r="G42" s="136"/>
      <c r="H42" s="137"/>
      <c r="I42" s="137"/>
      <c r="J42" s="137"/>
      <c r="K42" s="137"/>
      <c r="L42" s="137"/>
      <c r="M42" s="50"/>
    </row>
    <row r="43" spans="1:13" ht="13.5" customHeight="1" outlineLevel="1">
      <c r="A43" s="125"/>
      <c r="C43" s="68" t="s">
        <v>117</v>
      </c>
      <c r="D43" s="80"/>
      <c r="E43" s="80"/>
      <c r="F43" s="134">
        <f>F14/F13</f>
        <v>0.65629409209181877</v>
      </c>
      <c r="G43" s="134">
        <f>G14/G13</f>
        <v>0.68001269737456049</v>
      </c>
      <c r="H43" s="135">
        <f>AVERAGE(F43:G43)</f>
        <v>0.66815339473318969</v>
      </c>
      <c r="I43" s="135">
        <f t="shared" ref="I43:L44" si="14">H43</f>
        <v>0.66815339473318969</v>
      </c>
      <c r="J43" s="135">
        <f t="shared" si="14"/>
        <v>0.66815339473318969</v>
      </c>
      <c r="K43" s="135">
        <f t="shared" si="14"/>
        <v>0.66815339473318969</v>
      </c>
      <c r="L43" s="135">
        <f t="shared" si="14"/>
        <v>0.66815339473318969</v>
      </c>
      <c r="M43" s="50" t="s">
        <v>118</v>
      </c>
    </row>
    <row r="44" spans="1:13" ht="13.5" customHeight="1" outlineLevel="1">
      <c r="A44" s="125"/>
      <c r="C44" s="68" t="s">
        <v>119</v>
      </c>
      <c r="D44" s="80"/>
      <c r="E44" s="80"/>
      <c r="F44" s="134">
        <f>F17/F13</f>
        <v>0.1804848595715004</v>
      </c>
      <c r="G44" s="134">
        <f>G17/G13</f>
        <v>0.17035654067415273</v>
      </c>
      <c r="H44" s="135">
        <f>AVERAGE(F44:G44)</f>
        <v>0.17542070012282657</v>
      </c>
      <c r="I44" s="135">
        <f t="shared" si="14"/>
        <v>0.17542070012282657</v>
      </c>
      <c r="J44" s="135">
        <f t="shared" si="14"/>
        <v>0.17542070012282657</v>
      </c>
      <c r="K44" s="135">
        <f t="shared" si="14"/>
        <v>0.17542070012282657</v>
      </c>
      <c r="L44" s="135">
        <f t="shared" si="14"/>
        <v>0.17542070012282657</v>
      </c>
      <c r="M44" s="50" t="s">
        <v>120</v>
      </c>
    </row>
    <row r="45" spans="1:13" ht="13.5" customHeight="1" outlineLevel="1">
      <c r="A45" s="125"/>
      <c r="C45" s="80"/>
      <c r="D45" s="80"/>
      <c r="E45" s="80"/>
      <c r="F45" s="136"/>
      <c r="G45" s="136"/>
      <c r="H45" s="137"/>
      <c r="I45" s="137"/>
      <c r="J45" s="137"/>
      <c r="K45" s="137"/>
      <c r="L45" s="137"/>
      <c r="M45" s="50"/>
    </row>
    <row r="46" spans="1:13" ht="13.5" customHeight="1" outlineLevel="1">
      <c r="A46" s="125"/>
      <c r="C46" s="80" t="s">
        <v>121</v>
      </c>
      <c r="D46" s="80"/>
      <c r="E46" s="80"/>
      <c r="F46" s="134">
        <f>F32/F31</f>
        <v>0.35320562863662336</v>
      </c>
      <c r="G46" s="134">
        <f>G32/G31</f>
        <v>0.26977636105975256</v>
      </c>
      <c r="H46" s="135">
        <f>AVERAGE(F46:G46)</f>
        <v>0.31149099484818799</v>
      </c>
      <c r="I46" s="135">
        <f>H46</f>
        <v>0.31149099484818799</v>
      </c>
      <c r="J46" s="135">
        <f>I46</f>
        <v>0.31149099484818799</v>
      </c>
      <c r="K46" s="135">
        <f>J46</f>
        <v>0.31149099484818799</v>
      </c>
      <c r="L46" s="135">
        <f>K46</f>
        <v>0.31149099484818799</v>
      </c>
      <c r="M46" s="50" t="s">
        <v>122</v>
      </c>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G48" s="140"/>
      <c r="H48" s="139"/>
      <c r="I48" s="139"/>
      <c r="J48" s="139"/>
      <c r="K48" s="139"/>
      <c r="L48" s="139"/>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5">G$11</f>
        <v>45657</v>
      </c>
      <c r="H56" s="58">
        <f t="shared" si="15"/>
        <v>46022</v>
      </c>
      <c r="I56" s="58">
        <f t="shared" si="15"/>
        <v>46387</v>
      </c>
      <c r="J56" s="58">
        <f t="shared" si="15"/>
        <v>46752</v>
      </c>
      <c r="K56" s="58">
        <f t="shared" si="15"/>
        <v>47118</v>
      </c>
      <c r="L56" s="58">
        <f t="shared" si="15"/>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90"/>
      <c r="I60" s="90"/>
      <c r="J60" s="90"/>
      <c r="K60" s="90"/>
      <c r="L60" s="90"/>
    </row>
    <row r="61" spans="1:13" ht="13.5" customHeight="1" outlineLevel="1">
      <c r="A61" s="82"/>
      <c r="C61" s="91" t="s">
        <v>83</v>
      </c>
      <c r="F61" s="96">
        <f>SUM('Financials from CIP'!D47:D48)/1000</f>
        <v>16.781419000000003</v>
      </c>
      <c r="G61" s="96">
        <f>SUM('Financials from CIP'!E47:E48)/1000</f>
        <v>22.284721999999999</v>
      </c>
      <c r="H61" s="90"/>
      <c r="I61" s="90"/>
      <c r="J61" s="90"/>
      <c r="K61" s="90"/>
      <c r="L61" s="90"/>
    </row>
    <row r="62" spans="1:13" ht="13.5" customHeight="1" outlineLevel="1">
      <c r="A62" s="82"/>
      <c r="C62" s="91" t="s">
        <v>31</v>
      </c>
      <c r="F62" s="96">
        <f>'Financials from CIP'!D49/1000</f>
        <v>0.80490099999999998</v>
      </c>
      <c r="G62" s="96">
        <f>'Financials from CIP'!E49/1000</f>
        <v>1.161057</v>
      </c>
      <c r="H62" s="90"/>
      <c r="I62" s="90"/>
      <c r="J62" s="90"/>
      <c r="K62" s="90"/>
      <c r="L62" s="90"/>
    </row>
    <row r="63" spans="1:13" ht="13.5" customHeight="1" outlineLevel="1">
      <c r="A63" s="82"/>
      <c r="C63" s="91" t="s">
        <v>84</v>
      </c>
      <c r="F63" s="96">
        <f>'Financials from CIP'!D50/1000</f>
        <v>0.26978399999999997</v>
      </c>
      <c r="G63" s="96">
        <f>'Financials from CIP'!E50/1000</f>
        <v>0.34491899999999998</v>
      </c>
      <c r="H63" s="90"/>
      <c r="I63" s="90"/>
      <c r="J63" s="90"/>
      <c r="K63" s="90"/>
      <c r="L63" s="90"/>
    </row>
    <row r="64" spans="1:13" ht="13.5" customHeight="1" outlineLevel="1">
      <c r="A64" s="82"/>
      <c r="C64" s="76" t="s">
        <v>33</v>
      </c>
      <c r="D64" s="77"/>
      <c r="E64" s="77"/>
      <c r="F64" s="93">
        <f>SUM(F60:F63)</f>
        <v>24.961756000000005</v>
      </c>
      <c r="G64" s="93">
        <f>SUM(G60:G63)</f>
        <v>26.74869</v>
      </c>
      <c r="H64" s="94"/>
      <c r="I64" s="94"/>
      <c r="J64" s="94"/>
      <c r="K64" s="94"/>
      <c r="L64" s="94"/>
    </row>
    <row r="65" spans="1:12" ht="13.5" customHeight="1" outlineLevel="1">
      <c r="A65" s="82"/>
      <c r="C65" s="91" t="s">
        <v>85</v>
      </c>
      <c r="D65" s="95"/>
      <c r="E65" s="95"/>
      <c r="F65" s="96"/>
      <c r="G65" s="96"/>
      <c r="H65" s="97"/>
      <c r="I65" s="97"/>
      <c r="J65" s="97"/>
      <c r="K65" s="97"/>
      <c r="L65" s="97"/>
    </row>
    <row r="66" spans="1:12" ht="13.5" customHeight="1" outlineLevel="1">
      <c r="A66" s="82"/>
      <c r="C66" s="91" t="s">
        <v>86</v>
      </c>
      <c r="D66" s="95"/>
      <c r="E66" s="95"/>
      <c r="F66" s="96"/>
      <c r="G66" s="96"/>
      <c r="H66" s="94"/>
      <c r="I66" s="94"/>
      <c r="J66" s="94"/>
      <c r="K66" s="94"/>
      <c r="L66" s="94"/>
    </row>
    <row r="67" spans="1:12" ht="13.5" customHeight="1" outlineLevel="1">
      <c r="A67" s="82"/>
      <c r="C67" s="76" t="s">
        <v>34</v>
      </c>
      <c r="D67" s="77"/>
      <c r="E67" s="77"/>
      <c r="F67" s="131">
        <f>'Financials from CIP'!D53/1000</f>
        <v>54.584699999999998</v>
      </c>
      <c r="G67" s="131">
        <f>'Financials from CIP'!E53/1000</f>
        <v>55.684984</v>
      </c>
      <c r="H67" s="94"/>
      <c r="I67" s="94"/>
      <c r="J67" s="94"/>
      <c r="K67" s="94"/>
      <c r="L67" s="94"/>
    </row>
    <row r="68" spans="1:12" ht="13.5" customHeight="1" outlineLevel="1">
      <c r="A68" s="82"/>
      <c r="C68" s="98" t="s">
        <v>87</v>
      </c>
      <c r="D68" s="95"/>
      <c r="E68" s="95"/>
      <c r="F68" s="99">
        <v>0</v>
      </c>
      <c r="G68" s="99">
        <v>0</v>
      </c>
      <c r="H68" s="94"/>
      <c r="I68" s="94"/>
      <c r="J68" s="94"/>
      <c r="K68" s="94"/>
      <c r="L68" s="94"/>
    </row>
    <row r="69" spans="1:12" ht="13.5" customHeight="1" outlineLevel="1">
      <c r="A69" s="82"/>
      <c r="C69" s="98" t="s">
        <v>88</v>
      </c>
      <c r="D69" s="95"/>
      <c r="E69" s="95"/>
      <c r="F69" s="96">
        <f>'Financials from CIP'!D54/1000</f>
        <v>4.378482</v>
      </c>
      <c r="G69" s="96">
        <f>'Financials from CIP'!E54/1000</f>
        <v>4.5043699999999998</v>
      </c>
      <c r="H69" s="94"/>
      <c r="I69" s="94"/>
      <c r="J69" s="94"/>
      <c r="K69" s="94"/>
      <c r="L69" s="94"/>
    </row>
    <row r="70" spans="1:12" ht="13.5" customHeight="1" outlineLevel="1">
      <c r="A70" s="82"/>
      <c r="C70" s="100" t="s">
        <v>36</v>
      </c>
      <c r="D70" s="101"/>
      <c r="E70" s="101"/>
      <c r="F70" s="102">
        <f>SUM(F64,F67:F69)</f>
        <v>83.924938000000012</v>
      </c>
      <c r="G70" s="102">
        <f>SUM(G64,G67:G69)</f>
        <v>86.938043999999991</v>
      </c>
      <c r="H70" s="103"/>
      <c r="I70" s="103"/>
      <c r="J70" s="103"/>
      <c r="K70" s="103"/>
      <c r="L70" s="103"/>
    </row>
    <row r="71" spans="1:12" ht="13.5" customHeight="1" outlineLevel="1">
      <c r="A71" s="82"/>
      <c r="H71" s="104"/>
      <c r="I71" s="104"/>
      <c r="J71" s="104"/>
      <c r="K71" s="104"/>
      <c r="L71" s="104"/>
    </row>
    <row r="72" spans="1:12" ht="13.5" customHeight="1" outlineLevel="1">
      <c r="A72" s="82"/>
      <c r="C72" s="84" t="s">
        <v>89</v>
      </c>
      <c r="D72" s="85"/>
      <c r="E72" s="86"/>
      <c r="F72" s="86"/>
      <c r="G72" s="86"/>
      <c r="H72" s="86"/>
      <c r="I72" s="86"/>
      <c r="J72" s="86"/>
      <c r="K72" s="86"/>
      <c r="L72" s="87"/>
    </row>
    <row r="73" spans="1:12" ht="13.5" customHeight="1" outlineLevel="1">
      <c r="A73" s="82"/>
      <c r="C73" s="59"/>
      <c r="D73" s="59"/>
      <c r="E73" s="59"/>
      <c r="F73" s="60"/>
      <c r="G73" s="60"/>
      <c r="H73" s="60"/>
      <c r="I73" s="60"/>
      <c r="J73" s="60"/>
      <c r="K73" s="60"/>
    </row>
    <row r="74" spans="1:12" ht="13.5" customHeight="1" outlineLevel="1">
      <c r="A74" s="82"/>
      <c r="C74" s="91" t="s">
        <v>37</v>
      </c>
      <c r="D74" s="95"/>
      <c r="E74" s="95"/>
      <c r="F74" s="96">
        <f>'Financials from CIP'!D58/1000</f>
        <v>2.8058170000000002</v>
      </c>
      <c r="G74" s="96">
        <f>'Financials from CIP'!E58/1000</f>
        <v>2.3607100000000001</v>
      </c>
      <c r="H74" s="90"/>
      <c r="I74" s="90"/>
      <c r="J74" s="90"/>
      <c r="K74" s="90"/>
      <c r="L74" s="90"/>
    </row>
    <row r="75" spans="1:12" ht="13.5" customHeight="1" outlineLevel="1">
      <c r="A75" s="82"/>
      <c r="C75" s="91" t="s">
        <v>38</v>
      </c>
      <c r="D75" s="95"/>
      <c r="E75" s="95"/>
      <c r="F75" s="96">
        <f>'Financials from CIP'!D59/1000</f>
        <v>2.3839329999999999</v>
      </c>
      <c r="G75" s="96">
        <f>'Financials from CIP'!E59/1000</f>
        <v>2.7880379999999998</v>
      </c>
      <c r="H75" s="90"/>
      <c r="I75" s="90"/>
      <c r="J75" s="90"/>
      <c r="K75" s="90"/>
      <c r="L75" s="90"/>
    </row>
    <row r="76" spans="1:12" ht="13.5" customHeight="1" outlineLevel="1">
      <c r="A76" s="82"/>
      <c r="C76" s="91" t="s">
        <v>39</v>
      </c>
      <c r="D76" s="95"/>
      <c r="E76" s="95"/>
      <c r="F76" s="96">
        <f>'Financials from CIP'!D60/1000</f>
        <v>2.0579079999999998</v>
      </c>
      <c r="G76" s="96">
        <f>'Financials from CIP'!E60/1000</f>
        <v>3.2020309999999998</v>
      </c>
      <c r="H76" s="90"/>
      <c r="I76" s="90"/>
      <c r="J76" s="90"/>
      <c r="K76" s="90"/>
      <c r="L76" s="90"/>
    </row>
    <row r="77" spans="1:12" ht="13.5" customHeight="1" outlineLevel="1">
      <c r="A77" s="82"/>
      <c r="C77" s="76" t="s">
        <v>40</v>
      </c>
      <c r="D77" s="77"/>
      <c r="E77" s="77"/>
      <c r="F77" s="93">
        <f>SUM(F74:F76)</f>
        <v>7.2476579999999995</v>
      </c>
      <c r="G77" s="93">
        <f>SUM(G74:G76)</f>
        <v>8.3507789999999993</v>
      </c>
      <c r="H77" s="94"/>
      <c r="I77" s="94"/>
      <c r="J77" s="94"/>
      <c r="K77" s="94"/>
      <c r="L77" s="94"/>
    </row>
    <row r="78" spans="1:12" ht="13.5" customHeight="1" outlineLevel="1">
      <c r="A78" s="82"/>
      <c r="C78" s="91" t="s">
        <v>41</v>
      </c>
      <c r="D78" s="95"/>
      <c r="E78" s="95"/>
      <c r="F78" s="96">
        <f>'Financials from CIP'!D63/1000</f>
        <v>0.64588299999999998</v>
      </c>
      <c r="G78" s="96">
        <f>'Financials from CIP'!E63/1000</f>
        <v>1.2892999999999999</v>
      </c>
      <c r="H78" s="97"/>
      <c r="I78" s="97"/>
      <c r="J78" s="97"/>
      <c r="K78" s="97"/>
      <c r="L78" s="97"/>
    </row>
    <row r="79" spans="1:12" ht="13.5" customHeight="1" outlineLevel="1">
      <c r="A79" s="82"/>
      <c r="C79" s="91" t="s">
        <v>42</v>
      </c>
      <c r="D79" s="95"/>
      <c r="E79" s="95"/>
      <c r="F79" s="96">
        <f>'Financials from CIP'!D64/1000</f>
        <v>18.943222000000002</v>
      </c>
      <c r="G79" s="96">
        <f>'Financials from CIP'!E64/1000</f>
        <v>12.001450999999999</v>
      </c>
      <c r="H79" s="94"/>
      <c r="I79" s="94"/>
      <c r="J79" s="94"/>
      <c r="K79" s="94"/>
      <c r="L79" s="94"/>
    </row>
    <row r="80" spans="1:12" ht="13.5" customHeight="1" outlineLevel="1">
      <c r="A80" s="82"/>
      <c r="C80" s="91" t="s">
        <v>90</v>
      </c>
      <c r="D80" s="95"/>
      <c r="E80" s="95"/>
      <c r="F80" s="96">
        <f>'Financials from CIP'!D65/1000</f>
        <v>0.54533299999999996</v>
      </c>
      <c r="G80" s="96">
        <f>'Financials from CIP'!E65/1000</f>
        <v>8.5337999999999997E-2</v>
      </c>
      <c r="H80" s="97"/>
      <c r="I80" s="97"/>
      <c r="J80" s="97"/>
      <c r="K80" s="97"/>
      <c r="L80" s="97"/>
    </row>
    <row r="81" spans="1:19" ht="13.5" customHeight="1" outlineLevel="1">
      <c r="A81" s="82"/>
      <c r="C81" s="91" t="s">
        <v>91</v>
      </c>
      <c r="D81" s="95"/>
      <c r="E81" s="95"/>
      <c r="F81" s="96">
        <f>'Financials from CIP'!D66/1000</f>
        <v>9.2447999999999989E-2</v>
      </c>
      <c r="G81" s="96">
        <f>'Financials from CIP'!E66/1000</f>
        <v>1.2666999999999999E-2</v>
      </c>
      <c r="H81" s="97"/>
      <c r="I81" s="97"/>
      <c r="J81" s="97"/>
      <c r="K81" s="97"/>
      <c r="L81" s="97"/>
    </row>
    <row r="82" spans="1:19" ht="13.5" customHeight="1" outlineLevel="1">
      <c r="A82" s="82"/>
      <c r="C82" s="76" t="s">
        <v>92</v>
      </c>
      <c r="D82" s="77"/>
      <c r="E82" s="77"/>
      <c r="F82" s="93">
        <f>SUM(F78:F81)</f>
        <v>20.226886000000004</v>
      </c>
      <c r="G82" s="93">
        <f>SUM(G78:G81)</f>
        <v>13.388756000000001</v>
      </c>
      <c r="H82" s="94"/>
      <c r="I82" s="94"/>
      <c r="J82" s="94"/>
      <c r="K82" s="94"/>
      <c r="L82" s="94"/>
    </row>
    <row r="83" spans="1:19" ht="13.5" customHeight="1" outlineLevel="1">
      <c r="A83" s="82"/>
      <c r="C83" s="68" t="s">
        <v>93</v>
      </c>
      <c r="F83" s="96">
        <f>'Financials from CIP'!D67/1000</f>
        <v>0.41787400000000002</v>
      </c>
      <c r="G83" s="96">
        <f>'Financials from CIP'!E67/1000</f>
        <v>0.42988799999999999</v>
      </c>
      <c r="H83" s="97"/>
      <c r="I83" s="97"/>
      <c r="J83" s="97"/>
      <c r="K83" s="97"/>
      <c r="L83" s="97"/>
      <c r="M83" s="82"/>
    </row>
    <row r="84" spans="1:19" ht="13.5" customHeight="1" outlineLevel="1">
      <c r="A84" s="82"/>
      <c r="C84" s="76" t="s">
        <v>94</v>
      </c>
      <c r="D84" s="77"/>
      <c r="E84" s="77"/>
      <c r="F84" s="93">
        <f>SUM(F77,F82:F83)</f>
        <v>27.892418000000003</v>
      </c>
      <c r="G84" s="93">
        <f>SUM(G77,G82:G83)</f>
        <v>22.169422999999998</v>
      </c>
      <c r="H84" s="94"/>
      <c r="I84" s="94"/>
      <c r="J84" s="94"/>
      <c r="K84" s="94"/>
      <c r="L84" s="94"/>
      <c r="M84" s="82"/>
    </row>
    <row r="85" spans="1:19" ht="13.5" customHeight="1" outlineLevel="1">
      <c r="A85" s="82"/>
      <c r="C85" s="98" t="s">
        <v>47</v>
      </c>
      <c r="F85" s="96">
        <f>'Financials from CIP'!D71/1000</f>
        <v>7.7836338279007267</v>
      </c>
      <c r="G85" s="96">
        <f>'Financials from CIP'!E71/1000</f>
        <v>8.9161157153081838</v>
      </c>
      <c r="H85" s="97"/>
      <c r="I85" s="97"/>
      <c r="J85" s="97"/>
      <c r="K85" s="97"/>
      <c r="L85" s="97"/>
      <c r="M85" s="82"/>
    </row>
    <row r="86" spans="1:19" ht="13.5" customHeight="1" outlineLevel="1">
      <c r="A86" s="82"/>
      <c r="C86" s="98" t="s">
        <v>48</v>
      </c>
      <c r="F86" s="96">
        <f>'Financials from CIP'!D72/1000</f>
        <v>48.248887000000003</v>
      </c>
      <c r="G86" s="96">
        <f>'Financials from CIP'!E72/1000</f>
        <v>55.852504780500006</v>
      </c>
      <c r="H86" s="97"/>
      <c r="I86" s="97"/>
      <c r="J86" s="97"/>
      <c r="K86" s="97"/>
      <c r="L86" s="97"/>
      <c r="M86" s="82"/>
    </row>
    <row r="87" spans="1:19" ht="13.5" customHeight="1" outlineLevel="1">
      <c r="A87" s="82"/>
      <c r="C87" s="100" t="s">
        <v>95</v>
      </c>
      <c r="D87" s="101"/>
      <c r="E87" s="101"/>
      <c r="F87" s="105">
        <f>SUM(F84:F86)</f>
        <v>83.924938827900732</v>
      </c>
      <c r="G87" s="105">
        <f>SUM(G84:G86)</f>
        <v>86.938043495808188</v>
      </c>
      <c r="H87" s="103"/>
      <c r="I87" s="103"/>
      <c r="J87" s="103"/>
      <c r="K87" s="103"/>
      <c r="L87" s="103"/>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82"/>
      <c r="B89" s="110"/>
      <c r="C89" s="111"/>
      <c r="D89" s="111"/>
      <c r="E89" s="111"/>
      <c r="F89" s="112"/>
      <c r="G89" s="113"/>
      <c r="H89" s="113"/>
      <c r="I89" s="113"/>
      <c r="J89" s="113"/>
      <c r="K89" s="113"/>
      <c r="L89" s="113"/>
      <c r="M89" s="82"/>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2 Answer Key'!F13</f>
        <v>0</v>
      </c>
      <c r="G94" s="122">
        <f>'Financials from CIP'!E13/1000-'Step 2 Answer Key'!G13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2 Answer Key'!F15</f>
        <v>0</v>
      </c>
      <c r="G95" s="122">
        <f>'Financials from CIP'!E19/1000-'Step 2 Answer Key'!G15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2 Answer Key'!F18</f>
        <v>0</v>
      </c>
      <c r="G96" s="122">
        <f>'Financials from CIP'!E36/1000-'Step 2 Answer Key'!G18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2 Answer Key'!F33</f>
        <v>0</v>
      </c>
      <c r="G97" s="122">
        <f>'Financials from CIP'!E34/1000-'Step 2 Answer Key'!G33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2 Answer Key'!F60</f>
        <v>0</v>
      </c>
      <c r="G100" s="122">
        <f>'Financials from CIP'!E46/1000-'Step 2 Answer Key'!G60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2 Answer Key'!F64</f>
        <v>0</v>
      </c>
      <c r="G101" s="122">
        <f>'Financials from CIP'!E51/1000-'Step 2 Answer Key'!G64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2 Answer Key'!F70</f>
        <v>0</v>
      </c>
      <c r="G102" s="122">
        <f>'Financials from CIP'!E56/1000-'Step 2 Answer Key'!G70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2 Answer Key'!F77</f>
        <v>0</v>
      </c>
      <c r="G103" s="122">
        <f>'Financials from CIP'!E61/1000-'Step 2 Answer Key'!G77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2 Answer Key'!F84</f>
        <v>0</v>
      </c>
      <c r="G104" s="122">
        <f>'Financials from CIP'!E69/1000-'Step 2 Answer Key'!G84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2 Answer Key'!F85:F86)</f>
        <v>0</v>
      </c>
      <c r="G105" s="122">
        <f>'Financials from CIP'!E73/1000-SUM('Step 2 Answer Key'!G85:G86)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A114" s="125"/>
      <c r="B114" s="46" t="s">
        <v>61</v>
      </c>
      <c r="C114" s="47" t="s">
        <v>124</v>
      </c>
      <c r="D114" s="48"/>
      <c r="E114" s="49"/>
      <c r="F114" s="49"/>
      <c r="G114" s="49"/>
      <c r="H114" s="49"/>
      <c r="I114" s="49"/>
      <c r="J114" s="49"/>
      <c r="K114" s="49"/>
      <c r="L114" s="49"/>
      <c r="M114" s="50" t="s">
        <v>125</v>
      </c>
    </row>
    <row r="115" spans="1:13" ht="5.0999999999999996" customHeight="1">
      <c r="A115" s="125"/>
      <c r="M115" s="50"/>
    </row>
    <row r="116" spans="1:13" ht="13.5" customHeight="1">
      <c r="A116" s="125"/>
      <c r="C116" s="53"/>
      <c r="D116" s="53"/>
      <c r="E116" s="53"/>
      <c r="F116" s="143"/>
      <c r="G116" s="54"/>
      <c r="H116" s="55" t="s">
        <v>64</v>
      </c>
      <c r="I116" s="55"/>
      <c r="J116" s="55"/>
      <c r="K116" s="55"/>
      <c r="L116" s="55"/>
      <c r="M116" s="50"/>
    </row>
    <row r="117" spans="1:13" ht="13.5" customHeight="1" thickBot="1">
      <c r="A117" s="125"/>
      <c r="C117" s="56" t="s">
        <v>65</v>
      </c>
      <c r="D117" s="144" t="s">
        <v>126</v>
      </c>
      <c r="E117" s="57" t="s">
        <v>127</v>
      </c>
      <c r="F117" s="145" t="s">
        <v>128</v>
      </c>
      <c r="G117" s="58" t="s">
        <v>129</v>
      </c>
      <c r="H117" s="58">
        <f t="shared" ref="H117:L117" si="16">H$11</f>
        <v>46022</v>
      </c>
      <c r="I117" s="58">
        <f t="shared" si="16"/>
        <v>46387</v>
      </c>
      <c r="J117" s="58">
        <f t="shared" si="16"/>
        <v>46752</v>
      </c>
      <c r="K117" s="58">
        <f t="shared" si="16"/>
        <v>47118</v>
      </c>
      <c r="L117" s="58">
        <f t="shared" si="16"/>
        <v>47483</v>
      </c>
      <c r="M117" s="50"/>
    </row>
    <row r="118" spans="1:13" ht="13.5" customHeight="1">
      <c r="A118" s="125"/>
      <c r="M118" s="50"/>
    </row>
    <row r="119" spans="1:13" ht="13.5" customHeight="1">
      <c r="A119" s="125"/>
      <c r="C119" s="146">
        <f>G11</f>
        <v>45657</v>
      </c>
      <c r="D119" s="147">
        <f>G67</f>
        <v>55.684984</v>
      </c>
      <c r="E119" s="148">
        <v>10</v>
      </c>
      <c r="F119" s="149">
        <f>-G20</f>
        <v>-1.1617642799999999</v>
      </c>
      <c r="G119" s="150">
        <f>IFERROR(-D119/E119,"N/M")</f>
        <v>-5.5684984000000002</v>
      </c>
      <c r="H119" s="151">
        <f>-MIN(-$G119,$D119)</f>
        <v>-5.5684984000000002</v>
      </c>
      <c r="I119" s="151">
        <f>-MIN(-$H119,SUM($H119:H119,$D119))</f>
        <v>-5.5684984000000002</v>
      </c>
      <c r="J119" s="151">
        <f>-MIN(-$H119,SUM($H119:I119,$D119))</f>
        <v>-5.5684984000000002</v>
      </c>
      <c r="K119" s="151">
        <f>-MIN(-$H119,SUM($H119:J119,$D119))</f>
        <v>-5.5684984000000002</v>
      </c>
      <c r="L119" s="151">
        <f>-MIN(-$H119,SUM($H119:K119,$D119))</f>
        <v>-5.5684984000000002</v>
      </c>
      <c r="M119" s="50" t="s">
        <v>130</v>
      </c>
    </row>
    <row r="120" spans="1:13" ht="13.5" customHeight="1">
      <c r="C120" s="146">
        <f>H117</f>
        <v>46022</v>
      </c>
      <c r="D120" s="152"/>
      <c r="E120" s="153"/>
      <c r="F120" s="68"/>
      <c r="G120" s="154"/>
      <c r="H120" s="154"/>
      <c r="I120" s="154"/>
      <c r="J120" s="154"/>
      <c r="K120" s="154"/>
      <c r="L120" s="154"/>
      <c r="M120" s="50"/>
    </row>
    <row r="121" spans="1:13" ht="13.5" customHeight="1">
      <c r="C121" s="146">
        <f>I117</f>
        <v>46387</v>
      </c>
      <c r="D121" s="152"/>
      <c r="E121" s="153"/>
      <c r="F121" s="68"/>
      <c r="G121" s="154"/>
      <c r="H121" s="68"/>
      <c r="I121" s="154"/>
      <c r="J121" s="154"/>
      <c r="K121" s="154"/>
      <c r="L121" s="154"/>
      <c r="M121" s="50"/>
    </row>
    <row r="122" spans="1:13" ht="13.5" customHeight="1">
      <c r="C122" s="146">
        <f>J117</f>
        <v>46752</v>
      </c>
      <c r="D122" s="152"/>
      <c r="E122" s="153"/>
      <c r="F122" s="68"/>
      <c r="G122" s="154"/>
      <c r="H122" s="68"/>
      <c r="I122" s="68"/>
      <c r="J122" s="154"/>
      <c r="K122" s="154"/>
      <c r="L122" s="154"/>
      <c r="M122" s="50"/>
    </row>
    <row r="123" spans="1:13" ht="13.5" customHeight="1">
      <c r="C123" s="146">
        <f>K117</f>
        <v>47118</v>
      </c>
      <c r="D123" s="152"/>
      <c r="E123" s="153"/>
      <c r="F123" s="68"/>
      <c r="G123" s="154"/>
      <c r="H123" s="68"/>
      <c r="I123" s="68"/>
      <c r="J123" s="68"/>
      <c r="K123" s="154"/>
      <c r="L123" s="154"/>
      <c r="M123" s="50"/>
    </row>
    <row r="124" spans="1:13" ht="13.5" customHeight="1">
      <c r="C124" s="146">
        <f>L117</f>
        <v>47483</v>
      </c>
      <c r="D124" s="152"/>
      <c r="E124" s="153"/>
      <c r="F124" s="68"/>
      <c r="G124" s="154"/>
      <c r="H124" s="68"/>
      <c r="I124" s="68"/>
      <c r="J124" s="68"/>
      <c r="K124" s="68"/>
      <c r="L124" s="154"/>
      <c r="M124" s="50"/>
    </row>
    <row r="125" spans="1:13" ht="13.5" customHeight="1">
      <c r="C125" s="68"/>
      <c r="D125" s="155"/>
    </row>
    <row r="126" spans="1:13" ht="13.5" customHeight="1">
      <c r="C126" s="39" t="s">
        <v>131</v>
      </c>
      <c r="H126" s="156">
        <f>-SUM(H119:H125)</f>
        <v>5.5684984000000002</v>
      </c>
      <c r="I126" s="156">
        <f t="shared" ref="I126:L126" si="17">-SUM(I119:I125)</f>
        <v>5.5684984000000002</v>
      </c>
      <c r="J126" s="156">
        <f t="shared" si="17"/>
        <v>5.5684984000000002</v>
      </c>
      <c r="K126" s="156">
        <f t="shared" si="17"/>
        <v>5.5684984000000002</v>
      </c>
      <c r="L126" s="156">
        <f t="shared" si="17"/>
        <v>5.5684984000000002</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F7706-ABE4-4CC8-8102-98D9A87AD0C2}">
  <sheetPr>
    <outlinePr summaryBelow="0"/>
    <pageSetUpPr fitToPage="1"/>
  </sheetPr>
  <dimension ref="A1:S14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132</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3"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3"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3"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H126</f>
        <v>5.5684984000000002</v>
      </c>
      <c r="I20" s="149">
        <f t="shared" ref="I20:L20" si="6">I126</f>
        <v>5.5684984000000002</v>
      </c>
      <c r="J20" s="149">
        <f t="shared" si="6"/>
        <v>5.5684984000000002</v>
      </c>
      <c r="K20" s="149">
        <f t="shared" si="6"/>
        <v>5.5684984000000002</v>
      </c>
      <c r="L20" s="149">
        <f t="shared" si="6"/>
        <v>5.5684984000000002</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10.541620243894915</v>
      </c>
      <c r="I22" s="71">
        <f t="shared" si="8"/>
        <v>13.048656302199806</v>
      </c>
      <c r="J22" s="71">
        <f t="shared" si="8"/>
        <v>15.374502252029277</v>
      </c>
      <c r="K22" s="71">
        <f t="shared" si="8"/>
        <v>17.351821174634736</v>
      </c>
      <c r="L22" s="71">
        <f t="shared" si="8"/>
        <v>18.818981858959695</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10.541620243894915</v>
      </c>
      <c r="I31" s="66">
        <f t="shared" si="11"/>
        <v>13.048656302199806</v>
      </c>
      <c r="J31" s="66">
        <f t="shared" si="11"/>
        <v>15.374502252029277</v>
      </c>
      <c r="K31" s="66">
        <f t="shared" si="11"/>
        <v>17.351821174634736</v>
      </c>
      <c r="L31" s="66">
        <f t="shared" si="11"/>
        <v>18.818981858959695</v>
      </c>
      <c r="M31" s="50"/>
    </row>
    <row r="32" spans="3:13" ht="13.5" customHeight="1" outlineLevel="1">
      <c r="C32" s="63" t="s">
        <v>78</v>
      </c>
      <c r="D32" s="63"/>
      <c r="E32" s="63"/>
      <c r="F32" s="128">
        <f>'Financials from CIP'!D29/1000</f>
        <v>3.2010390000000002</v>
      </c>
      <c r="G32" s="128">
        <f>'Financials from CIP'!E29/1000</f>
        <v>2.809107</v>
      </c>
      <c r="H32" s="149">
        <f>H46*H31</f>
        <v>3.2836197770826252</v>
      </c>
      <c r="I32" s="149">
        <f t="shared" ref="I32:L32" si="12">I46*I31</f>
        <v>4.0645389330042958</v>
      </c>
      <c r="J32" s="149">
        <f t="shared" si="12"/>
        <v>4.7890190017803063</v>
      </c>
      <c r="K32" s="149">
        <f t="shared" si="12"/>
        <v>5.4049360401148281</v>
      </c>
      <c r="L32" s="149">
        <f t="shared" si="12"/>
        <v>5.8619433812773574</v>
      </c>
      <c r="M32" s="50"/>
    </row>
    <row r="33" spans="1:13" ht="13.5" customHeight="1" outlineLevel="1">
      <c r="C33" s="79" t="s">
        <v>22</v>
      </c>
      <c r="D33" s="79"/>
      <c r="E33" s="79"/>
      <c r="F33" s="71">
        <f>F31-F32</f>
        <v>5.8617809000000012</v>
      </c>
      <c r="G33" s="71">
        <f>G31-G32</f>
        <v>7.6036177804999978</v>
      </c>
      <c r="H33" s="71">
        <f t="shared" ref="H33:L33" si="13">H31-H32</f>
        <v>7.2580004668122893</v>
      </c>
      <c r="I33" s="71">
        <f t="shared" si="13"/>
        <v>8.9841173691955092</v>
      </c>
      <c r="J33" s="71">
        <f t="shared" si="13"/>
        <v>10.58548325024897</v>
      </c>
      <c r="K33" s="71">
        <f t="shared" si="13"/>
        <v>11.946885134519908</v>
      </c>
      <c r="L33" s="71">
        <f t="shared" si="13"/>
        <v>12.957038477682339</v>
      </c>
      <c r="M33" s="60"/>
    </row>
    <row r="34" spans="1:13" ht="13.5" customHeight="1" outlineLevel="1">
      <c r="C34" s="67" t="s">
        <v>79</v>
      </c>
      <c r="D34" s="39"/>
      <c r="E34" s="39"/>
      <c r="F34" s="69">
        <f>IFERROR(F33/F$13,"N/M")</f>
        <v>7.4609946715153336E-2</v>
      </c>
      <c r="G34" s="69">
        <f>IFERROR(G33/G$13,"N/M")</f>
        <v>8.3912167095621659E-2</v>
      </c>
      <c r="H34" s="69">
        <f t="shared" ref="H34:L34" si="14">IFERROR(H33/H$13,"N/M")</f>
        <v>6.944790717432793E-2</v>
      </c>
      <c r="I34" s="69">
        <f t="shared" si="14"/>
        <v>7.4534115006213833E-2</v>
      </c>
      <c r="J34" s="69">
        <f t="shared" si="14"/>
        <v>7.8176077630202012E-2</v>
      </c>
      <c r="K34" s="69">
        <f t="shared" si="14"/>
        <v>8.0696968890605E-2</v>
      </c>
      <c r="L34" s="69">
        <f t="shared" si="14"/>
        <v>8.2305823123955527E-2</v>
      </c>
      <c r="M34" s="60"/>
    </row>
    <row r="35" spans="1:13" ht="13.5" customHeight="1" outlineLevel="1">
      <c r="C35" s="68"/>
      <c r="D35" s="68"/>
      <c r="E35" s="68"/>
      <c r="H35" s="60"/>
      <c r="I35" s="60"/>
      <c r="J35" s="60"/>
      <c r="K35" s="60"/>
      <c r="L35" s="60"/>
      <c r="M35" s="60"/>
    </row>
    <row r="36" spans="1:13" ht="13.5" customHeight="1" outlineLevel="1">
      <c r="A36" s="125"/>
      <c r="C36" s="80" t="s">
        <v>80</v>
      </c>
      <c r="D36" s="80"/>
      <c r="E36" s="80"/>
      <c r="G36" s="161"/>
      <c r="H36" s="162"/>
      <c r="I36" s="162"/>
      <c r="J36" s="162"/>
      <c r="K36" s="162"/>
      <c r="L36" s="162"/>
      <c r="M36" s="50" t="s">
        <v>133</v>
      </c>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A48" s="125"/>
      <c r="C48" s="68" t="s">
        <v>123</v>
      </c>
      <c r="D48" s="80"/>
      <c r="E48" s="80"/>
      <c r="F48" s="138"/>
      <c r="G48" s="134"/>
      <c r="H48" s="135"/>
      <c r="I48" s="135"/>
      <c r="J48" s="135"/>
      <c r="K48" s="135"/>
      <c r="L48" s="135"/>
      <c r="M48" s="50" t="s">
        <v>134</v>
      </c>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163"/>
      <c r="I60" s="163"/>
      <c r="J60" s="163"/>
      <c r="K60" s="163"/>
      <c r="L60" s="163"/>
    </row>
    <row r="61" spans="1:13" ht="13.5" customHeight="1" outlineLevel="1">
      <c r="A61" s="82"/>
      <c r="C61" s="91" t="s">
        <v>83</v>
      </c>
      <c r="F61" s="96">
        <f>SUM('Financials from CIP'!D47:D48)/1000</f>
        <v>16.781419000000003</v>
      </c>
      <c r="G61" s="96">
        <f>SUM('Financials from CIP'!E47:E48)/1000</f>
        <v>22.284721999999999</v>
      </c>
      <c r="H61" s="160"/>
      <c r="I61" s="160"/>
      <c r="J61" s="160"/>
      <c r="K61" s="160"/>
      <c r="L61" s="160"/>
    </row>
    <row r="62" spans="1:13" ht="13.5" customHeight="1" outlineLevel="1">
      <c r="A62" s="82"/>
      <c r="C62" s="91" t="s">
        <v>31</v>
      </c>
      <c r="F62" s="96">
        <f>'Financials from CIP'!D49/1000</f>
        <v>0.80490099999999998</v>
      </c>
      <c r="G62" s="96">
        <f>'Financials from CIP'!E49/1000</f>
        <v>1.161057</v>
      </c>
      <c r="H62" s="160"/>
      <c r="I62" s="160"/>
      <c r="J62" s="160"/>
      <c r="K62" s="160"/>
      <c r="L62" s="160"/>
    </row>
    <row r="63" spans="1:13" ht="13.5" customHeight="1" outlineLevel="1">
      <c r="A63" s="82"/>
      <c r="C63" s="91" t="s">
        <v>84</v>
      </c>
      <c r="F63" s="96">
        <f>'Financials from CIP'!D50/1000</f>
        <v>0.26978399999999997</v>
      </c>
      <c r="G63" s="96">
        <f>'Financials from CIP'!E50/1000</f>
        <v>0.34491899999999998</v>
      </c>
      <c r="H63" s="160"/>
      <c r="I63" s="160"/>
      <c r="J63" s="160"/>
      <c r="K63" s="160"/>
      <c r="L63" s="160"/>
    </row>
    <row r="64" spans="1:13" ht="13.5" customHeight="1" outlineLevel="1">
      <c r="A64" s="82"/>
      <c r="C64" s="76" t="s">
        <v>33</v>
      </c>
      <c r="D64" s="77"/>
      <c r="E64" s="77"/>
      <c r="F64" s="93">
        <f>SUM(F60:F63)</f>
        <v>24.961756000000005</v>
      </c>
      <c r="G64" s="93">
        <f>SUM(G60:G63)</f>
        <v>26.74869</v>
      </c>
      <c r="H64" s="93">
        <f t="shared" ref="H64:L64" si="17">SUM(H60:H63)</f>
        <v>0</v>
      </c>
      <c r="I64" s="93">
        <f t="shared" si="17"/>
        <v>0</v>
      </c>
      <c r="J64" s="93">
        <f t="shared" si="17"/>
        <v>0</v>
      </c>
      <c r="K64" s="93">
        <f t="shared" si="17"/>
        <v>0</v>
      </c>
      <c r="L64" s="93">
        <f t="shared" si="17"/>
        <v>0</v>
      </c>
    </row>
    <row r="65" spans="1:13" ht="13.5" customHeight="1" outlineLevel="1">
      <c r="A65" s="164"/>
      <c r="C65" s="91" t="s">
        <v>85</v>
      </c>
      <c r="D65" s="95"/>
      <c r="E65" s="95"/>
      <c r="F65" s="96"/>
      <c r="G65" s="96"/>
      <c r="H65" s="165"/>
      <c r="I65" s="165"/>
      <c r="J65" s="165"/>
      <c r="K65" s="165"/>
      <c r="L65" s="165"/>
      <c r="M65" s="50" t="s">
        <v>135</v>
      </c>
    </row>
    <row r="66" spans="1:13" ht="13.5" customHeight="1" outlineLevel="1">
      <c r="A66" s="164"/>
      <c r="C66" s="91" t="s">
        <v>86</v>
      </c>
      <c r="D66" s="95"/>
      <c r="E66" s="95"/>
      <c r="F66" s="96"/>
      <c r="G66" s="96"/>
      <c r="H66" s="165"/>
      <c r="I66" s="165"/>
      <c r="J66" s="165"/>
      <c r="K66" s="165"/>
      <c r="L66" s="165"/>
      <c r="M66" s="50" t="s">
        <v>136</v>
      </c>
    </row>
    <row r="67" spans="1:13" ht="13.5" customHeight="1" outlineLevel="1">
      <c r="A67" s="82"/>
      <c r="C67" s="76" t="s">
        <v>34</v>
      </c>
      <c r="D67" s="77"/>
      <c r="E67" s="77"/>
      <c r="F67" s="131">
        <f>'Financials from CIP'!D53/1000</f>
        <v>54.584699999999998</v>
      </c>
      <c r="G67" s="131">
        <f>'Financials from CIP'!E53/1000</f>
        <v>55.684984</v>
      </c>
      <c r="H67" s="93">
        <f>SUM(H65:H66)</f>
        <v>0</v>
      </c>
      <c r="I67" s="93">
        <f>SUM(I65:I66)</f>
        <v>0</v>
      </c>
      <c r="J67" s="93">
        <f>SUM(J65:J66)</f>
        <v>0</v>
      </c>
      <c r="K67" s="93">
        <f>SUM(K65:K66)</f>
        <v>0</v>
      </c>
      <c r="L67" s="93">
        <f>SUM(L65:L66)</f>
        <v>0</v>
      </c>
    </row>
    <row r="68" spans="1:13" ht="13.5" customHeight="1" outlineLevel="1">
      <c r="A68" s="164"/>
      <c r="C68" s="98" t="s">
        <v>87</v>
      </c>
      <c r="D68" s="95"/>
      <c r="E68" s="95"/>
      <c r="F68" s="99">
        <v>0</v>
      </c>
      <c r="G68" s="99">
        <v>0</v>
      </c>
      <c r="H68" s="166"/>
      <c r="I68" s="166"/>
      <c r="J68" s="166"/>
      <c r="K68" s="166"/>
      <c r="L68" s="166"/>
      <c r="M68" s="50" t="s">
        <v>137</v>
      </c>
    </row>
    <row r="69" spans="1:13" ht="13.5" customHeight="1" outlineLevel="1">
      <c r="A69" s="164"/>
      <c r="C69" s="98" t="s">
        <v>88</v>
      </c>
      <c r="D69" s="95"/>
      <c r="E69" s="95"/>
      <c r="F69" s="96">
        <f>'Financials from CIP'!D54/1000</f>
        <v>4.378482</v>
      </c>
      <c r="G69" s="96">
        <f>'Financials from CIP'!E54/1000</f>
        <v>4.5043699999999998</v>
      </c>
      <c r="H69" s="165"/>
      <c r="I69" s="165"/>
      <c r="J69" s="165"/>
      <c r="K69" s="165"/>
      <c r="L69" s="165"/>
      <c r="M69" s="50" t="s">
        <v>138</v>
      </c>
    </row>
    <row r="70" spans="1:13" ht="13.5" customHeight="1" outlineLevel="1">
      <c r="A70" s="82"/>
      <c r="C70" s="100" t="s">
        <v>36</v>
      </c>
      <c r="D70" s="101"/>
      <c r="E70" s="101"/>
      <c r="F70" s="102">
        <f>SUM(F64,F67:F69)</f>
        <v>83.924938000000012</v>
      </c>
      <c r="G70" s="102">
        <f>SUM(G64,G67:G69)</f>
        <v>86.938043999999991</v>
      </c>
      <c r="H70" s="102">
        <f t="shared" ref="H70:L70" si="18">SUM(H64,H67:H69)</f>
        <v>0</v>
      </c>
      <c r="I70" s="102">
        <f t="shared" si="18"/>
        <v>0</v>
      </c>
      <c r="J70" s="102">
        <f t="shared" si="18"/>
        <v>0</v>
      </c>
      <c r="K70" s="102">
        <f t="shared" si="18"/>
        <v>0</v>
      </c>
      <c r="L70" s="102">
        <f t="shared" si="18"/>
        <v>0</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60"/>
      <c r="I74" s="160"/>
      <c r="J74" s="160"/>
      <c r="K74" s="160"/>
      <c r="L74" s="160"/>
    </row>
    <row r="75" spans="1:13" ht="13.5" customHeight="1" outlineLevel="1">
      <c r="A75" s="82"/>
      <c r="C75" s="91" t="s">
        <v>38</v>
      </c>
      <c r="D75" s="95"/>
      <c r="E75" s="95"/>
      <c r="F75" s="96">
        <f>'Financials from CIP'!D59/1000</f>
        <v>2.3839329999999999</v>
      </c>
      <c r="G75" s="96">
        <f>'Financials from CIP'!E59/1000</f>
        <v>2.7880379999999998</v>
      </c>
      <c r="H75" s="160"/>
      <c r="I75" s="160"/>
      <c r="J75" s="160"/>
      <c r="K75" s="160"/>
      <c r="L75" s="160"/>
    </row>
    <row r="76" spans="1:13" ht="13.5" customHeight="1" outlineLevel="1">
      <c r="A76" s="82"/>
      <c r="C76" s="91" t="s">
        <v>39</v>
      </c>
      <c r="D76" s="95"/>
      <c r="E76" s="95"/>
      <c r="F76" s="96">
        <f>'Financials from CIP'!D60/1000</f>
        <v>2.0579079999999998</v>
      </c>
      <c r="G76" s="96">
        <f>'Financials from CIP'!E60/1000</f>
        <v>3.2020309999999998</v>
      </c>
      <c r="H76" s="160"/>
      <c r="I76" s="160"/>
      <c r="J76" s="160"/>
      <c r="K76" s="160"/>
      <c r="L76" s="160"/>
    </row>
    <row r="77" spans="1:13" ht="13.5" customHeight="1" outlineLevel="1">
      <c r="A77" s="82"/>
      <c r="C77" s="76" t="s">
        <v>40</v>
      </c>
      <c r="D77" s="77"/>
      <c r="E77" s="77"/>
      <c r="F77" s="93">
        <f>SUM(F74:F76)</f>
        <v>7.2476579999999995</v>
      </c>
      <c r="G77" s="93">
        <f>SUM(G74:G76)</f>
        <v>8.3507789999999993</v>
      </c>
      <c r="H77" s="93">
        <f t="shared" ref="H77:L77" si="19">SUM(H74:H76)</f>
        <v>0</v>
      </c>
      <c r="I77" s="93">
        <f t="shared" si="19"/>
        <v>0</v>
      </c>
      <c r="J77" s="93">
        <f t="shared" si="19"/>
        <v>0</v>
      </c>
      <c r="K77" s="93">
        <f t="shared" si="19"/>
        <v>0</v>
      </c>
      <c r="L77" s="93">
        <f t="shared" si="19"/>
        <v>0</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9"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9" ht="13.5" customHeight="1" outlineLevel="1">
      <c r="A82" s="82"/>
      <c r="C82" s="76" t="s">
        <v>92</v>
      </c>
      <c r="D82" s="77"/>
      <c r="E82" s="77"/>
      <c r="F82" s="93">
        <f>SUM(F78:F81)</f>
        <v>20.226886000000004</v>
      </c>
      <c r="G82" s="93">
        <f>SUM(G78:G81)</f>
        <v>13.388756000000001</v>
      </c>
      <c r="H82" s="93">
        <f t="shared" ref="H82:L82" si="20">SUM(H78:H81)</f>
        <v>0</v>
      </c>
      <c r="I82" s="93">
        <f t="shared" si="20"/>
        <v>0</v>
      </c>
      <c r="J82" s="93">
        <f t="shared" si="20"/>
        <v>0</v>
      </c>
      <c r="K82" s="93">
        <f t="shared" si="20"/>
        <v>0</v>
      </c>
      <c r="L82" s="93">
        <f t="shared" si="20"/>
        <v>0</v>
      </c>
    </row>
    <row r="83" spans="1:19" ht="13.5" customHeight="1" outlineLevel="1">
      <c r="A83" s="164"/>
      <c r="C83" s="68" t="s">
        <v>93</v>
      </c>
      <c r="F83" s="96">
        <f>'Financials from CIP'!D67/1000</f>
        <v>0.41787400000000002</v>
      </c>
      <c r="G83" s="96">
        <f>'Financials from CIP'!E67/1000</f>
        <v>0.42988799999999999</v>
      </c>
      <c r="H83" s="129"/>
      <c r="I83" s="129"/>
      <c r="J83" s="129"/>
      <c r="K83" s="129"/>
      <c r="L83" s="129"/>
      <c r="M83" s="50" t="s">
        <v>139</v>
      </c>
    </row>
    <row r="84" spans="1:19" ht="13.5" customHeight="1" outlineLevel="1">
      <c r="A84" s="82"/>
      <c r="C84" s="76" t="s">
        <v>94</v>
      </c>
      <c r="D84" s="77"/>
      <c r="E84" s="77"/>
      <c r="F84" s="93">
        <f>SUM(F77,F82:F83)</f>
        <v>27.892418000000003</v>
      </c>
      <c r="G84" s="93">
        <f>SUM(G77,G82:G83)</f>
        <v>22.169422999999998</v>
      </c>
      <c r="H84" s="93">
        <f t="shared" ref="H84:L84" si="21">SUM(H77,H82:H83)</f>
        <v>0</v>
      </c>
      <c r="I84" s="93">
        <f t="shared" si="21"/>
        <v>0</v>
      </c>
      <c r="J84" s="93">
        <f t="shared" si="21"/>
        <v>0</v>
      </c>
      <c r="K84" s="93">
        <f t="shared" si="21"/>
        <v>0</v>
      </c>
      <c r="L84" s="93">
        <f t="shared" si="21"/>
        <v>0</v>
      </c>
      <c r="M84" s="82"/>
    </row>
    <row r="85" spans="1:19" ht="13.5" customHeight="1" outlineLevel="1">
      <c r="A85" s="164"/>
      <c r="C85" s="98" t="s">
        <v>47</v>
      </c>
      <c r="F85" s="96">
        <f>'Financials from CIP'!D71/1000</f>
        <v>7.7836338279007267</v>
      </c>
      <c r="G85" s="96">
        <f>'Financials from CIP'!E71/1000</f>
        <v>8.9161157153081838</v>
      </c>
      <c r="H85" s="129"/>
      <c r="I85" s="129"/>
      <c r="J85" s="129"/>
      <c r="K85" s="129"/>
      <c r="L85" s="129"/>
      <c r="M85" s="50" t="s">
        <v>140</v>
      </c>
    </row>
    <row r="86" spans="1:19" ht="13.5" customHeight="1" outlineLevel="1">
      <c r="A86" s="164"/>
      <c r="C86" s="98" t="s">
        <v>48</v>
      </c>
      <c r="F86" s="96">
        <f>'Financials from CIP'!D72/1000</f>
        <v>48.248887000000003</v>
      </c>
      <c r="G86" s="96">
        <f>'Financials from CIP'!E72/1000</f>
        <v>55.852504780500006</v>
      </c>
      <c r="H86" s="129"/>
      <c r="I86" s="129"/>
      <c r="J86" s="129"/>
      <c r="K86" s="129"/>
      <c r="L86" s="129"/>
      <c r="M86" s="50" t="s">
        <v>141</v>
      </c>
    </row>
    <row r="87" spans="1:19" ht="13.5" customHeight="1" outlineLevel="1">
      <c r="A87" s="82"/>
      <c r="C87" s="100" t="s">
        <v>95</v>
      </c>
      <c r="D87" s="101"/>
      <c r="E87" s="101"/>
      <c r="F87" s="105">
        <f>SUM(F84:F86)</f>
        <v>83.924938827900732</v>
      </c>
      <c r="G87" s="105">
        <f>SUM(G84:G86)</f>
        <v>86.938043495808188</v>
      </c>
      <c r="H87" s="105">
        <f t="shared" ref="H87:L87" si="22">SUM(H84:H86)</f>
        <v>0</v>
      </c>
      <c r="I87" s="105">
        <f t="shared" si="22"/>
        <v>0</v>
      </c>
      <c r="J87" s="105">
        <f t="shared" si="22"/>
        <v>0</v>
      </c>
      <c r="K87" s="105">
        <f t="shared" si="22"/>
        <v>0</v>
      </c>
      <c r="L87" s="105">
        <f t="shared" si="22"/>
        <v>0</v>
      </c>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164"/>
      <c r="B89" s="110"/>
      <c r="C89" s="167" t="s">
        <v>142</v>
      </c>
      <c r="D89" s="111"/>
      <c r="E89" s="111"/>
      <c r="F89" s="168"/>
      <c r="G89" s="168"/>
      <c r="H89" s="168"/>
      <c r="I89" s="168"/>
      <c r="J89" s="168"/>
      <c r="K89" s="168"/>
      <c r="L89" s="168"/>
      <c r="M89" s="50" t="s">
        <v>143</v>
      </c>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3'!F13</f>
        <v>0</v>
      </c>
      <c r="G94" s="122">
        <f>'Financials from CIP'!E13/1000-'Step 3'!G13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3'!F15</f>
        <v>0</v>
      </c>
      <c r="G95" s="122">
        <f>'Financials from CIP'!E19/1000-'Step 3'!G15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3'!F18</f>
        <v>0</v>
      </c>
      <c r="G96" s="122">
        <f>'Financials from CIP'!E36/1000-'Step 3'!G18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3'!F33</f>
        <v>0</v>
      </c>
      <c r="G97" s="122">
        <f>'Financials from CIP'!E34/1000-'Step 3'!G33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3'!F60</f>
        <v>0</v>
      </c>
      <c r="G100" s="122">
        <f>'Financials from CIP'!E46/1000-'Step 3'!G60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3'!F64</f>
        <v>0</v>
      </c>
      <c r="G101" s="122">
        <f>'Financials from CIP'!E51/1000-'Step 3'!G64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3'!F70</f>
        <v>0</v>
      </c>
      <c r="G102" s="122">
        <f>'Financials from CIP'!E56/1000-'Step 3'!G70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3'!F77</f>
        <v>0</v>
      </c>
      <c r="G103" s="122">
        <f>'Financials from CIP'!E61/1000-'Step 3'!G77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3'!F84</f>
        <v>0</v>
      </c>
      <c r="G104" s="122">
        <f>'Financials from CIP'!E69/1000-'Step 3'!G84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3'!F85:F86)</f>
        <v>0</v>
      </c>
      <c r="G105" s="122">
        <f>'Financials from CIP'!E73/1000-SUM('Step 3'!G85:G86)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B114" s="46" t="s">
        <v>61</v>
      </c>
      <c r="C114" s="47" t="s">
        <v>124</v>
      </c>
      <c r="D114" s="48"/>
      <c r="E114" s="49"/>
      <c r="F114" s="49"/>
      <c r="G114" s="49"/>
      <c r="H114" s="49"/>
      <c r="I114" s="49"/>
      <c r="J114" s="49"/>
      <c r="K114" s="49"/>
      <c r="L114" s="49"/>
      <c r="M114" s="50" t="s">
        <v>125</v>
      </c>
    </row>
    <row r="115" spans="1:13" ht="5.0999999999999996" customHeight="1">
      <c r="M115" s="50"/>
    </row>
    <row r="116" spans="1:13" ht="13.5" customHeight="1">
      <c r="C116" s="53"/>
      <c r="D116" s="53"/>
      <c r="E116" s="53"/>
      <c r="F116" s="143"/>
      <c r="G116" s="54"/>
      <c r="H116" s="55" t="s">
        <v>64</v>
      </c>
      <c r="I116" s="55"/>
      <c r="J116" s="55"/>
      <c r="K116" s="55"/>
      <c r="L116" s="55"/>
      <c r="M116" s="50"/>
    </row>
    <row r="117" spans="1:13" ht="13.5" customHeight="1" thickBot="1">
      <c r="C117" s="56" t="s">
        <v>65</v>
      </c>
      <c r="D117" s="144" t="s">
        <v>126</v>
      </c>
      <c r="E117" s="57" t="s">
        <v>127</v>
      </c>
      <c r="F117" s="145" t="s">
        <v>128</v>
      </c>
      <c r="G117" s="58" t="s">
        <v>129</v>
      </c>
      <c r="H117" s="58">
        <f t="shared" ref="H117:L117" si="23">H$11</f>
        <v>46022</v>
      </c>
      <c r="I117" s="58">
        <f t="shared" si="23"/>
        <v>46387</v>
      </c>
      <c r="J117" s="58">
        <f t="shared" si="23"/>
        <v>46752</v>
      </c>
      <c r="K117" s="58">
        <f t="shared" si="23"/>
        <v>47118</v>
      </c>
      <c r="L117" s="58">
        <f t="shared" si="23"/>
        <v>47483</v>
      </c>
      <c r="M117" s="50"/>
    </row>
    <row r="118" spans="1:13" ht="13.5" customHeight="1">
      <c r="M118" s="50"/>
    </row>
    <row r="119" spans="1:13" ht="13.5" customHeight="1">
      <c r="A119" s="125"/>
      <c r="C119" s="146">
        <f>G11</f>
        <v>45657</v>
      </c>
      <c r="D119" s="169">
        <f>G67</f>
        <v>55.684984</v>
      </c>
      <c r="E119" s="170">
        <v>10</v>
      </c>
      <c r="F119" s="149">
        <f>-G20</f>
        <v>-1.1617642799999999</v>
      </c>
      <c r="G119" s="150">
        <f>IFERROR(-D119/E119,"N/M")</f>
        <v>-5.5684984000000002</v>
      </c>
      <c r="H119" s="154">
        <f>-MIN(-$G119,$D119)</f>
        <v>-5.5684984000000002</v>
      </c>
      <c r="I119" s="154">
        <f>-MIN(-$H119,SUM($H119:H119,$D119))</f>
        <v>-5.5684984000000002</v>
      </c>
      <c r="J119" s="154">
        <f>-MIN(-$H119,SUM($H119:I119,$D119))</f>
        <v>-5.5684984000000002</v>
      </c>
      <c r="K119" s="154">
        <f>-MIN(-$H119,SUM($H119:J119,$D119))</f>
        <v>-5.5684984000000002</v>
      </c>
      <c r="L119" s="154">
        <f>-MIN(-$H119,SUM($H119:K119,$D119))</f>
        <v>-5.5684984000000002</v>
      </c>
      <c r="M119" s="50"/>
    </row>
    <row r="120" spans="1:13" ht="13.5" customHeight="1">
      <c r="A120" s="125"/>
      <c r="C120" s="146">
        <f>H117</f>
        <v>46022</v>
      </c>
      <c r="D120" s="171"/>
      <c r="E120" s="148"/>
      <c r="F120" s="68"/>
      <c r="G120" s="172"/>
      <c r="H120" s="151"/>
      <c r="I120" s="173"/>
      <c r="J120" s="173"/>
      <c r="K120" s="173"/>
      <c r="L120" s="173"/>
      <c r="M120" s="50" t="s">
        <v>144</v>
      </c>
    </row>
    <row r="121" spans="1:13" ht="13.5" customHeight="1">
      <c r="A121" s="125"/>
      <c r="C121" s="146">
        <f>I117</f>
        <v>46387</v>
      </c>
      <c r="D121" s="171"/>
      <c r="E121" s="148"/>
      <c r="F121" s="68"/>
      <c r="G121" s="172"/>
      <c r="H121" s="174"/>
      <c r="I121" s="151"/>
      <c r="J121" s="173"/>
      <c r="K121" s="173"/>
      <c r="L121" s="173"/>
      <c r="M121" s="50" t="s">
        <v>144</v>
      </c>
    </row>
    <row r="122" spans="1:13" ht="13.5" customHeight="1">
      <c r="A122" s="125"/>
      <c r="C122" s="146">
        <f>J117</f>
        <v>46752</v>
      </c>
      <c r="D122" s="171"/>
      <c r="E122" s="148"/>
      <c r="F122" s="68"/>
      <c r="G122" s="172"/>
      <c r="H122" s="174"/>
      <c r="I122" s="174"/>
      <c r="J122" s="151"/>
      <c r="K122" s="173"/>
      <c r="L122" s="173"/>
      <c r="M122" s="50" t="s">
        <v>144</v>
      </c>
    </row>
    <row r="123" spans="1:13" ht="13.5" customHeight="1">
      <c r="A123" s="125"/>
      <c r="C123" s="146">
        <f>K117</f>
        <v>47118</v>
      </c>
      <c r="D123" s="171"/>
      <c r="E123" s="148"/>
      <c r="F123" s="68"/>
      <c r="G123" s="172"/>
      <c r="H123" s="174"/>
      <c r="I123" s="174"/>
      <c r="J123" s="174"/>
      <c r="K123" s="151"/>
      <c r="L123" s="173"/>
      <c r="M123" s="50" t="s">
        <v>144</v>
      </c>
    </row>
    <row r="124" spans="1:13" ht="13.5" customHeight="1">
      <c r="A124" s="125"/>
      <c r="C124" s="146">
        <f>L117</f>
        <v>47483</v>
      </c>
      <c r="D124" s="171"/>
      <c r="E124" s="148"/>
      <c r="F124" s="68"/>
      <c r="G124" s="172"/>
      <c r="H124" s="174"/>
      <c r="I124" s="174"/>
      <c r="J124" s="174"/>
      <c r="K124" s="174"/>
      <c r="L124" s="151"/>
      <c r="M124" s="50" t="s">
        <v>144</v>
      </c>
    </row>
    <row r="125" spans="1:13" ht="13.5" customHeight="1">
      <c r="C125" s="68"/>
      <c r="D125" s="155"/>
    </row>
    <row r="126" spans="1:13" ht="13.5" customHeight="1">
      <c r="C126" s="39" t="s">
        <v>131</v>
      </c>
      <c r="H126" s="156">
        <f>-SUM(H119:H125)</f>
        <v>5.5684984000000002</v>
      </c>
      <c r="I126" s="156">
        <f t="shared" ref="I126:L126" si="24">-SUM(I119:I125)</f>
        <v>5.5684984000000002</v>
      </c>
      <c r="J126" s="156">
        <f t="shared" si="24"/>
        <v>5.5684984000000002</v>
      </c>
      <c r="K126" s="156">
        <f t="shared" si="24"/>
        <v>5.5684984000000002</v>
      </c>
      <c r="L126" s="156">
        <f t="shared" si="24"/>
        <v>5.5684984000000002</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42BEE-D175-4ED3-8E90-5136B9793DD8}">
  <sheetPr>
    <tabColor rgb="FF416D89"/>
    <outlinePr summaryBelow="0"/>
    <pageSetUpPr fitToPage="1"/>
  </sheetPr>
  <dimension ref="A1:S14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132</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3"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3"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3"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H126</f>
        <v>5.829392560625954</v>
      </c>
      <c r="I20" s="149">
        <f t="shared" ref="I20:L20" si="6">I126</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A36" s="125"/>
      <c r="C36" s="80" t="s">
        <v>80</v>
      </c>
      <c r="D36" s="80"/>
      <c r="E36" s="80"/>
      <c r="G36" s="161">
        <f>('Financials from CIP'!E53-'Financials from CIP'!D53+'Financials from CIP'!E25)/1000</f>
        <v>2.2620482799999997</v>
      </c>
      <c r="H36" s="162">
        <f>H48*H13</f>
        <v>2.6089416062595356</v>
      </c>
      <c r="I36" s="162">
        <f>I48*I13</f>
        <v>3.0090322850545372</v>
      </c>
      <c r="J36" s="162">
        <f>J48*J13</f>
        <v>3.3802073552164953</v>
      </c>
      <c r="K36" s="162">
        <f>K48*K13</f>
        <v>3.6957619988438841</v>
      </c>
      <c r="L36" s="162">
        <f>L48*L13</f>
        <v>3.9299019555263603</v>
      </c>
      <c r="M36" s="50" t="s">
        <v>133</v>
      </c>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A48" s="125"/>
      <c r="C48" s="68" t="s">
        <v>123</v>
      </c>
      <c r="D48" s="80"/>
      <c r="E48" s="80"/>
      <c r="F48" s="138"/>
      <c r="G48" s="134">
        <f>G36/G13</f>
        <v>2.4963560600917242E-2</v>
      </c>
      <c r="H48" s="135">
        <f>G48</f>
        <v>2.4963560600917242E-2</v>
      </c>
      <c r="I48" s="135">
        <f>H48</f>
        <v>2.4963560600917242E-2</v>
      </c>
      <c r="J48" s="135">
        <f>I48</f>
        <v>2.4963560600917242E-2</v>
      </c>
      <c r="K48" s="135">
        <f>J48</f>
        <v>2.4963560600917242E-2</v>
      </c>
      <c r="L48" s="135">
        <f>K48</f>
        <v>2.4963560600917242E-2</v>
      </c>
      <c r="M48" s="50" t="s">
        <v>134</v>
      </c>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163"/>
      <c r="I60" s="163"/>
      <c r="J60" s="163"/>
      <c r="K60" s="163"/>
      <c r="L60" s="163"/>
    </row>
    <row r="61" spans="1:13" ht="13.5" customHeight="1" outlineLevel="1">
      <c r="A61" s="82"/>
      <c r="C61" s="91" t="s">
        <v>83</v>
      </c>
      <c r="F61" s="96">
        <f>SUM('Financials from CIP'!D47:D48)/1000</f>
        <v>16.781419000000003</v>
      </c>
      <c r="G61" s="96">
        <f>SUM('Financials from CIP'!E47:E48)/1000</f>
        <v>22.284721999999999</v>
      </c>
      <c r="H61" s="160"/>
      <c r="I61" s="160"/>
      <c r="J61" s="160"/>
      <c r="K61" s="160"/>
      <c r="L61" s="160"/>
    </row>
    <row r="62" spans="1:13" ht="13.5" customHeight="1" outlineLevel="1">
      <c r="A62" s="82"/>
      <c r="C62" s="91" t="s">
        <v>31</v>
      </c>
      <c r="F62" s="96">
        <f>'Financials from CIP'!D49/1000</f>
        <v>0.80490099999999998</v>
      </c>
      <c r="G62" s="96">
        <f>'Financials from CIP'!E49/1000</f>
        <v>1.161057</v>
      </c>
      <c r="H62" s="160"/>
      <c r="I62" s="160"/>
      <c r="J62" s="160"/>
      <c r="K62" s="160"/>
      <c r="L62" s="160"/>
    </row>
    <row r="63" spans="1:13" ht="13.5" customHeight="1" outlineLevel="1">
      <c r="A63" s="82"/>
      <c r="C63" s="91" t="s">
        <v>84</v>
      </c>
      <c r="F63" s="96">
        <f>'Financials from CIP'!D50/1000</f>
        <v>0.26978399999999997</v>
      </c>
      <c r="G63" s="96">
        <f>'Financials from CIP'!E50/1000</f>
        <v>0.34491899999999998</v>
      </c>
      <c r="H63" s="160"/>
      <c r="I63" s="160"/>
      <c r="J63" s="160"/>
      <c r="K63" s="160"/>
      <c r="L63" s="160"/>
    </row>
    <row r="64" spans="1:13" ht="13.5" customHeight="1" outlineLevel="1">
      <c r="A64" s="82"/>
      <c r="C64" s="76" t="s">
        <v>33</v>
      </c>
      <c r="D64" s="77"/>
      <c r="E64" s="77"/>
      <c r="F64" s="93">
        <f>SUM(F60:F63)</f>
        <v>24.961756000000005</v>
      </c>
      <c r="G64" s="93">
        <f>SUM(G60:G63)</f>
        <v>26.74869</v>
      </c>
      <c r="H64" s="93">
        <f t="shared" ref="H64:L64" si="17">SUM(H60:H63)</f>
        <v>0</v>
      </c>
      <c r="I64" s="93">
        <f t="shared" si="17"/>
        <v>0</v>
      </c>
      <c r="J64" s="93">
        <f t="shared" si="17"/>
        <v>0</v>
      </c>
      <c r="K64" s="93">
        <f t="shared" si="17"/>
        <v>0</v>
      </c>
      <c r="L64" s="93">
        <f t="shared" si="17"/>
        <v>0</v>
      </c>
    </row>
    <row r="65" spans="1:13" ht="13.5" customHeight="1" outlineLevel="1">
      <c r="A65" s="164"/>
      <c r="C65" s="91" t="s">
        <v>85</v>
      </c>
      <c r="D65" s="95"/>
      <c r="E65" s="95"/>
      <c r="F65" s="96"/>
      <c r="G65" s="96"/>
      <c r="H65" s="165">
        <f>G67+H36</f>
        <v>58.293925606259535</v>
      </c>
      <c r="I65" s="165">
        <f>H65+I36</f>
        <v>61.302957891314072</v>
      </c>
      <c r="J65" s="165">
        <f>I65+J36</f>
        <v>64.683165246530564</v>
      </c>
      <c r="K65" s="165">
        <f>J65+K36</f>
        <v>68.378927245374442</v>
      </c>
      <c r="L65" s="165">
        <f>K65+L36</f>
        <v>72.308829200900803</v>
      </c>
      <c r="M65" s="50" t="s">
        <v>135</v>
      </c>
    </row>
    <row r="66" spans="1:13" ht="13.5" customHeight="1" outlineLevel="1">
      <c r="A66" s="164"/>
      <c r="C66" s="91" t="s">
        <v>86</v>
      </c>
      <c r="D66" s="95"/>
      <c r="E66" s="95"/>
      <c r="F66" s="96"/>
      <c r="G66" s="96"/>
      <c r="H66" s="165">
        <f>G66-H20</f>
        <v>-5.829392560625954</v>
      </c>
      <c r="I66" s="165">
        <f>H66-I20</f>
        <v>-11.959688349757361</v>
      </c>
      <c r="J66" s="165">
        <f ca="1">I66-J20</f>
        <v>-18.428004874410419</v>
      </c>
      <c r="K66" s="165">
        <f ca="1">J66-K20</f>
        <v>-25.265897598947866</v>
      </c>
      <c r="L66" s="165">
        <f ca="1">K66-L20</f>
        <v>-32.496780519037948</v>
      </c>
      <c r="M66" s="50" t="s">
        <v>136</v>
      </c>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164"/>
      <c r="C68" s="98" t="s">
        <v>87</v>
      </c>
      <c r="D68" s="95"/>
      <c r="E68" s="95"/>
      <c r="F68" s="99">
        <v>0</v>
      </c>
      <c r="G68" s="99">
        <v>0</v>
      </c>
      <c r="H68" s="166">
        <v>0</v>
      </c>
      <c r="I68" s="166">
        <v>0</v>
      </c>
      <c r="J68" s="166">
        <v>0</v>
      </c>
      <c r="K68" s="166">
        <v>0</v>
      </c>
      <c r="L68" s="166">
        <v>0</v>
      </c>
      <c r="M68" s="50" t="s">
        <v>137</v>
      </c>
    </row>
    <row r="69" spans="1:13" ht="13.5" customHeight="1" outlineLevel="1">
      <c r="A69" s="164"/>
      <c r="C69" s="98" t="s">
        <v>88</v>
      </c>
      <c r="D69" s="95"/>
      <c r="E69" s="95"/>
      <c r="F69" s="96">
        <f>'Financials from CIP'!D54/1000</f>
        <v>4.378482</v>
      </c>
      <c r="G69" s="96">
        <f>'Financials from CIP'!E54/1000</f>
        <v>4.5043699999999998</v>
      </c>
      <c r="H69" s="165">
        <f>G69-H21</f>
        <v>4.2664179999999998</v>
      </c>
      <c r="I69" s="165">
        <f>H69-I21</f>
        <v>4.0284659999999999</v>
      </c>
      <c r="J69" s="165">
        <f>I69-J21</f>
        <v>3.7905139999999999</v>
      </c>
      <c r="K69" s="165">
        <f>J69-K21</f>
        <v>3.552562</v>
      </c>
      <c r="L69" s="165">
        <f>K69-L21</f>
        <v>3.3146100000000001</v>
      </c>
      <c r="M69" s="50" t="s">
        <v>138</v>
      </c>
    </row>
    <row r="70" spans="1:13" ht="13.5" customHeight="1" outlineLevel="1">
      <c r="A70" s="82"/>
      <c r="C70" s="100" t="s">
        <v>36</v>
      </c>
      <c r="D70" s="101"/>
      <c r="E70" s="101"/>
      <c r="F70" s="102">
        <f>SUM(F64,F67:F69)</f>
        <v>83.924938000000012</v>
      </c>
      <c r="G70" s="102">
        <f>SUM(G64,G67:G69)</f>
        <v>86.938043999999991</v>
      </c>
      <c r="H70" s="102">
        <f t="shared" ref="H70:L70" si="18">SUM(H64,H67:H69)</f>
        <v>56.730951045633581</v>
      </c>
      <c r="I70" s="102">
        <f t="shared" si="18"/>
        <v>53.37173554155671</v>
      </c>
      <c r="J70" s="102">
        <f t="shared" ca="1" si="18"/>
        <v>50.045674372120146</v>
      </c>
      <c r="K70" s="102">
        <f t="shared" ca="1" si="18"/>
        <v>46.665591646426577</v>
      </c>
      <c r="L70" s="102">
        <f t="shared" ca="1" si="18"/>
        <v>43.126658681862857</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60"/>
      <c r="I74" s="160"/>
      <c r="J74" s="160"/>
      <c r="K74" s="160"/>
      <c r="L74" s="160"/>
    </row>
    <row r="75" spans="1:13" ht="13.5" customHeight="1" outlineLevel="1">
      <c r="A75" s="82"/>
      <c r="C75" s="91" t="s">
        <v>38</v>
      </c>
      <c r="D75" s="95"/>
      <c r="E75" s="95"/>
      <c r="F75" s="96">
        <f>'Financials from CIP'!D59/1000</f>
        <v>2.3839329999999999</v>
      </c>
      <c r="G75" s="96">
        <f>'Financials from CIP'!E59/1000</f>
        <v>2.7880379999999998</v>
      </c>
      <c r="H75" s="160"/>
      <c r="I75" s="160"/>
      <c r="J75" s="160"/>
      <c r="K75" s="160"/>
      <c r="L75" s="160"/>
    </row>
    <row r="76" spans="1:13" ht="13.5" customHeight="1" outlineLevel="1">
      <c r="A76" s="82"/>
      <c r="C76" s="91" t="s">
        <v>39</v>
      </c>
      <c r="D76" s="95"/>
      <c r="E76" s="95"/>
      <c r="F76" s="96">
        <f>'Financials from CIP'!D60/1000</f>
        <v>2.0579079999999998</v>
      </c>
      <c r="G76" s="96">
        <f>'Financials from CIP'!E60/1000</f>
        <v>3.2020309999999998</v>
      </c>
      <c r="H76" s="160"/>
      <c r="I76" s="160"/>
      <c r="J76" s="160"/>
      <c r="K76" s="160"/>
      <c r="L76" s="160"/>
    </row>
    <row r="77" spans="1:13" ht="13.5" customHeight="1" outlineLevel="1">
      <c r="A77" s="82"/>
      <c r="C77" s="76" t="s">
        <v>40</v>
      </c>
      <c r="D77" s="77"/>
      <c r="E77" s="77"/>
      <c r="F77" s="93">
        <f>SUM(F74:F76)</f>
        <v>7.2476579999999995</v>
      </c>
      <c r="G77" s="93">
        <f>SUM(G74:G76)</f>
        <v>8.3507789999999993</v>
      </c>
      <c r="H77" s="93">
        <f t="shared" ref="H77:L77" si="19">SUM(H74:H76)</f>
        <v>0</v>
      </c>
      <c r="I77" s="93">
        <f t="shared" si="19"/>
        <v>0</v>
      </c>
      <c r="J77" s="93">
        <f t="shared" si="19"/>
        <v>0</v>
      </c>
      <c r="K77" s="93">
        <f t="shared" si="19"/>
        <v>0</v>
      </c>
      <c r="L77" s="93">
        <f t="shared" si="19"/>
        <v>0</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9"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9" ht="13.5" customHeight="1" outlineLevel="1">
      <c r="A82" s="82"/>
      <c r="C82" s="76" t="s">
        <v>92</v>
      </c>
      <c r="D82" s="77"/>
      <c r="E82" s="77"/>
      <c r="F82" s="93">
        <f>SUM(F78:F81)</f>
        <v>20.226886000000004</v>
      </c>
      <c r="G82" s="93">
        <f>SUM(G78:G81)</f>
        <v>13.388756000000001</v>
      </c>
      <c r="H82" s="93">
        <f t="shared" ref="H82:L82" si="20">SUM(H78:H81)</f>
        <v>0</v>
      </c>
      <c r="I82" s="93">
        <f t="shared" si="20"/>
        <v>0</v>
      </c>
      <c r="J82" s="93">
        <f t="shared" si="20"/>
        <v>0</v>
      </c>
      <c r="K82" s="93">
        <f t="shared" si="20"/>
        <v>0</v>
      </c>
      <c r="L82" s="93">
        <f t="shared" si="20"/>
        <v>0</v>
      </c>
    </row>
    <row r="83" spans="1:19" ht="13.5" customHeight="1" outlineLevel="1">
      <c r="A83" s="164"/>
      <c r="C83" s="68" t="s">
        <v>93</v>
      </c>
      <c r="F83" s="96">
        <f>'Financials from CIP'!D67/1000</f>
        <v>0.41787400000000002</v>
      </c>
      <c r="G83" s="96">
        <f>'Financials from CIP'!E67/1000</f>
        <v>0.42988799999999999</v>
      </c>
      <c r="H83" s="129">
        <f>G83</f>
        <v>0.42988799999999999</v>
      </c>
      <c r="I83" s="129">
        <f>H83</f>
        <v>0.42988799999999999</v>
      </c>
      <c r="J83" s="129">
        <f>I83</f>
        <v>0.42988799999999999</v>
      </c>
      <c r="K83" s="129">
        <f>J83</f>
        <v>0.42988799999999999</v>
      </c>
      <c r="L83" s="129">
        <f>K83</f>
        <v>0.42988799999999999</v>
      </c>
      <c r="M83" s="50" t="s">
        <v>139</v>
      </c>
    </row>
    <row r="84" spans="1:19" ht="13.5" customHeight="1" outlineLevel="1">
      <c r="A84" s="82"/>
      <c r="C84" s="76" t="s">
        <v>94</v>
      </c>
      <c r="D84" s="77"/>
      <c r="E84" s="77"/>
      <c r="F84" s="93">
        <f>SUM(F77,F82:F83)</f>
        <v>27.892418000000003</v>
      </c>
      <c r="G84" s="93">
        <f>SUM(G77,G82:G83)</f>
        <v>22.169422999999998</v>
      </c>
      <c r="H84" s="93">
        <f t="shared" ref="H84:L84" si="21">SUM(H77,H82:H83)</f>
        <v>0.42988799999999999</v>
      </c>
      <c r="I84" s="93">
        <f t="shared" si="21"/>
        <v>0.42988799999999999</v>
      </c>
      <c r="J84" s="93">
        <f t="shared" si="21"/>
        <v>0.42988799999999999</v>
      </c>
      <c r="K84" s="93">
        <f t="shared" si="21"/>
        <v>0.42988799999999999</v>
      </c>
      <c r="L84" s="93">
        <f t="shared" si="21"/>
        <v>0.42988799999999999</v>
      </c>
      <c r="M84" s="82"/>
    </row>
    <row r="85" spans="1:19" ht="13.5" customHeight="1" outlineLevel="1">
      <c r="A85" s="164"/>
      <c r="C85" s="98" t="s">
        <v>47</v>
      </c>
      <c r="F85" s="96">
        <f>'Financials from CIP'!D71/1000</f>
        <v>7.7836338279007267</v>
      </c>
      <c r="G85" s="96">
        <f>'Financials from CIP'!E71/1000</f>
        <v>8.9161157153081838</v>
      </c>
      <c r="H85" s="129">
        <f>G85</f>
        <v>8.9161157153081838</v>
      </c>
      <c r="I85" s="129">
        <f>H85</f>
        <v>8.9161157153081838</v>
      </c>
      <c r="J85" s="129">
        <f>I85</f>
        <v>8.9161157153081838</v>
      </c>
      <c r="K85" s="129">
        <f>J85</f>
        <v>8.9161157153081838</v>
      </c>
      <c r="L85" s="129">
        <f>K85</f>
        <v>8.9161157153081838</v>
      </c>
      <c r="M85" s="50" t="s">
        <v>140</v>
      </c>
    </row>
    <row r="86" spans="1:19" ht="13.5" customHeight="1" outlineLevel="1">
      <c r="A86" s="164"/>
      <c r="C86" s="98" t="s">
        <v>48</v>
      </c>
      <c r="F86" s="96">
        <f>'Financials from CIP'!D72/1000</f>
        <v>48.248887000000003</v>
      </c>
      <c r="G86" s="96">
        <f>'Financials from CIP'!E72/1000</f>
        <v>55.852504780500006</v>
      </c>
      <c r="H86" s="129">
        <f>G86+H33</f>
        <v>62.930877268329802</v>
      </c>
      <c r="I86" s="129">
        <f>H86+I33</f>
        <v>71.528192076037556</v>
      </c>
      <c r="J86" s="129">
        <f ca="1">I86+J33</f>
        <v>81.494142444464075</v>
      </c>
      <c r="K86" s="129">
        <f ca="1">J86+K33</f>
        <v>92.567038155451343</v>
      </c>
      <c r="L86" s="129">
        <f ca="1">K86+L33</f>
        <v>104.37950992102668</v>
      </c>
      <c r="M86" s="50" t="s">
        <v>141</v>
      </c>
    </row>
    <row r="87" spans="1:19" ht="13.5" customHeight="1" outlineLevel="1">
      <c r="A87" s="82"/>
      <c r="C87" s="100" t="s">
        <v>95</v>
      </c>
      <c r="D87" s="101"/>
      <c r="E87" s="101"/>
      <c r="F87" s="105">
        <f>SUM(F84:F86)</f>
        <v>83.924938827900732</v>
      </c>
      <c r="G87" s="105">
        <f>SUM(G84:G86)</f>
        <v>86.938043495808188</v>
      </c>
      <c r="H87" s="105">
        <f t="shared" ref="H87:L87" si="22">SUM(H84:H86)</f>
        <v>72.27688098363798</v>
      </c>
      <c r="I87" s="105">
        <f t="shared" si="22"/>
        <v>80.874195791345741</v>
      </c>
      <c r="J87" s="105">
        <f t="shared" ca="1" si="22"/>
        <v>90.84014615977226</v>
      </c>
      <c r="K87" s="105">
        <f t="shared" ca="1" si="22"/>
        <v>101.91304187075953</v>
      </c>
      <c r="L87" s="105">
        <f t="shared" ca="1" si="22"/>
        <v>113.72551363633487</v>
      </c>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164"/>
      <c r="B89" s="110"/>
      <c r="C89" s="167" t="s">
        <v>142</v>
      </c>
      <c r="D89" s="111"/>
      <c r="E89" s="111"/>
      <c r="F89" s="168">
        <f t="shared" ref="F89:L89" si="23">F87-F70</f>
        <v>8.2790072042371321E-7</v>
      </c>
      <c r="G89" s="168">
        <f t="shared" si="23"/>
        <v>-5.0419180297467392E-7</v>
      </c>
      <c r="H89" s="168">
        <f t="shared" si="23"/>
        <v>15.545929938004399</v>
      </c>
      <c r="I89" s="168">
        <f t="shared" si="23"/>
        <v>27.502460249789031</v>
      </c>
      <c r="J89" s="168">
        <f t="shared" ca="1" si="23"/>
        <v>40.794471787652114</v>
      </c>
      <c r="K89" s="168">
        <f t="shared" ca="1" si="23"/>
        <v>55.247450224332951</v>
      </c>
      <c r="L89" s="168">
        <f t="shared" ca="1" si="23"/>
        <v>70.598854954472017</v>
      </c>
      <c r="M89" s="50" t="s">
        <v>143</v>
      </c>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3 Answer Key'!F13</f>
        <v>0</v>
      </c>
      <c r="G94" s="122">
        <f>'Financials from CIP'!E13/1000-'Step 3 Answer Key'!G13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3 Answer Key'!F15</f>
        <v>0</v>
      </c>
      <c r="G95" s="122">
        <f>'Financials from CIP'!E19/1000-'Step 3 Answer Key'!G15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3 Answer Key'!F18</f>
        <v>0</v>
      </c>
      <c r="G96" s="122">
        <f>'Financials from CIP'!E36/1000-'Step 3 Answer Key'!G18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3 Answer Key'!F33</f>
        <v>0</v>
      </c>
      <c r="G97" s="122">
        <f>'Financials from CIP'!E34/1000-'Step 3 Answer Key'!G33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3 Answer Key'!F60</f>
        <v>0</v>
      </c>
      <c r="G100" s="122">
        <f>'Financials from CIP'!E46/1000-'Step 3 Answer Key'!G60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3 Answer Key'!F64</f>
        <v>0</v>
      </c>
      <c r="G101" s="122">
        <f>'Financials from CIP'!E51/1000-'Step 3 Answer Key'!G64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3 Answer Key'!F70</f>
        <v>0</v>
      </c>
      <c r="G102" s="122">
        <f>'Financials from CIP'!E56/1000-'Step 3 Answer Key'!G70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3 Answer Key'!F77</f>
        <v>0</v>
      </c>
      <c r="G103" s="122">
        <f>'Financials from CIP'!E61/1000-'Step 3 Answer Key'!G77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3 Answer Key'!F84</f>
        <v>0</v>
      </c>
      <c r="G104" s="122">
        <f>'Financials from CIP'!E69/1000-'Step 3 Answer Key'!G84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3 Answer Key'!F85:F86)</f>
        <v>0</v>
      </c>
      <c r="G105" s="122">
        <f>'Financials from CIP'!E73/1000-SUM('Step 3 Answer Key'!G85:G86)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B114" s="46" t="s">
        <v>61</v>
      </c>
      <c r="C114" s="47" t="s">
        <v>124</v>
      </c>
      <c r="D114" s="48"/>
      <c r="E114" s="49"/>
      <c r="F114" s="49"/>
      <c r="G114" s="49"/>
      <c r="H114" s="49"/>
      <c r="I114" s="49"/>
      <c r="J114" s="49"/>
      <c r="K114" s="49"/>
      <c r="L114" s="49"/>
      <c r="M114" s="50" t="s">
        <v>125</v>
      </c>
    </row>
    <row r="115" spans="1:13" ht="5.0999999999999996" customHeight="1">
      <c r="M115" s="50"/>
    </row>
    <row r="116" spans="1:13" ht="13.5" customHeight="1">
      <c r="C116" s="53"/>
      <c r="D116" s="53"/>
      <c r="E116" s="53"/>
      <c r="F116" s="143"/>
      <c r="G116" s="54"/>
      <c r="H116" s="55" t="s">
        <v>64</v>
      </c>
      <c r="I116" s="55"/>
      <c r="J116" s="55"/>
      <c r="K116" s="55"/>
      <c r="L116" s="55"/>
      <c r="M116" s="50"/>
    </row>
    <row r="117" spans="1:13" ht="13.5" customHeight="1" thickBot="1">
      <c r="C117" s="56" t="s">
        <v>65</v>
      </c>
      <c r="D117" s="144" t="s">
        <v>126</v>
      </c>
      <c r="E117" s="57" t="s">
        <v>127</v>
      </c>
      <c r="F117" s="145" t="s">
        <v>128</v>
      </c>
      <c r="G117" s="58" t="s">
        <v>129</v>
      </c>
      <c r="H117" s="58">
        <f t="shared" ref="H117:L117" si="24">H$11</f>
        <v>46022</v>
      </c>
      <c r="I117" s="58">
        <f t="shared" si="24"/>
        <v>46387</v>
      </c>
      <c r="J117" s="58">
        <f t="shared" si="24"/>
        <v>46752</v>
      </c>
      <c r="K117" s="58">
        <f t="shared" si="24"/>
        <v>47118</v>
      </c>
      <c r="L117" s="58">
        <f t="shared" si="24"/>
        <v>47483</v>
      </c>
      <c r="M117" s="50"/>
    </row>
    <row r="118" spans="1:13" ht="13.5" customHeight="1">
      <c r="M118" s="50"/>
    </row>
    <row r="119" spans="1:13" ht="13.5" customHeight="1">
      <c r="A119" s="125"/>
      <c r="C119" s="146">
        <f>G11</f>
        <v>45657</v>
      </c>
      <c r="D119" s="169">
        <f>G67</f>
        <v>55.684984</v>
      </c>
      <c r="E119" s="170">
        <v>10</v>
      </c>
      <c r="F119" s="149">
        <f>-G20</f>
        <v>-1.1617642799999999</v>
      </c>
      <c r="G119" s="150">
        <f t="shared" ref="G119:G124" si="25">IFERROR(-D119/E119,"N/M")</f>
        <v>-5.5684984000000002</v>
      </c>
      <c r="H119" s="154">
        <f>-MIN(-$G119,$D119)</f>
        <v>-5.5684984000000002</v>
      </c>
      <c r="I119" s="154">
        <f>-MIN(-$H119,SUM($H119:H119,$D119))</f>
        <v>-5.5684984000000002</v>
      </c>
      <c r="J119" s="154">
        <f>-MIN(-$H119,SUM($H119:I119,$D119))</f>
        <v>-5.5684984000000002</v>
      </c>
      <c r="K119" s="154">
        <f>-MIN(-$H119,SUM($H119:J119,$D119))</f>
        <v>-5.5684984000000002</v>
      </c>
      <c r="L119" s="154">
        <f>-MIN(-$H119,SUM($H119:K119,$D119))</f>
        <v>-5.5684984000000002</v>
      </c>
      <c r="M119" s="50"/>
    </row>
    <row r="120" spans="1:13" ht="13.5" customHeight="1">
      <c r="A120" s="125"/>
      <c r="C120" s="146">
        <f>H117</f>
        <v>46022</v>
      </c>
      <c r="D120" s="171">
        <f>H36</f>
        <v>2.6089416062595356</v>
      </c>
      <c r="E120" s="148">
        <v>10</v>
      </c>
      <c r="F120" s="68"/>
      <c r="G120" s="150">
        <f t="shared" si="25"/>
        <v>-0.26089416062595355</v>
      </c>
      <c r="H120" s="151">
        <f>-MIN(-$G120,$D120)</f>
        <v>-0.26089416062595355</v>
      </c>
      <c r="I120" s="173">
        <f>-MIN(-$H120,SUM($H120:H120,$D120))</f>
        <v>-0.26089416062595355</v>
      </c>
      <c r="J120" s="173">
        <f>-MIN(-$H120,SUM($H120:I120,$D120))</f>
        <v>-0.26089416062595355</v>
      </c>
      <c r="K120" s="173">
        <f>-MIN(-$H120,SUM($H120:J120,$D120))</f>
        <v>-0.26089416062595355</v>
      </c>
      <c r="L120" s="173">
        <f>-MIN(-$H120,SUM($H120:K120,$D120))</f>
        <v>-0.26089416062595355</v>
      </c>
      <c r="M120" s="50" t="s">
        <v>144</v>
      </c>
    </row>
    <row r="121" spans="1:13" ht="13.5" customHeight="1">
      <c r="A121" s="125"/>
      <c r="C121" s="146">
        <f>I117</f>
        <v>46387</v>
      </c>
      <c r="D121" s="171">
        <f>I36</f>
        <v>3.0090322850545372</v>
      </c>
      <c r="E121" s="148">
        <v>10</v>
      </c>
      <c r="F121" s="68"/>
      <c r="G121" s="150">
        <f t="shared" si="25"/>
        <v>-0.3009032285054537</v>
      </c>
      <c r="H121" s="174"/>
      <c r="I121" s="151">
        <f>-MIN(-$G121,$D121)</f>
        <v>-0.3009032285054537</v>
      </c>
      <c r="J121" s="173">
        <f ca="1">-MIN(-$I121,SUM($I121:J121,$D121))</f>
        <v>-0.3009032285054537</v>
      </c>
      <c r="K121" s="173">
        <f ca="1">-MIN(-$I121,SUM($I121:K121,$D121))</f>
        <v>-0.3009032285054537</v>
      </c>
      <c r="L121" s="173">
        <f ca="1">-MIN(-$I121,SUM($I121:L121,$D121))</f>
        <v>-0.3009032285054537</v>
      </c>
      <c r="M121" s="50" t="s">
        <v>144</v>
      </c>
    </row>
    <row r="122" spans="1:13" ht="13.5" customHeight="1">
      <c r="A122" s="125"/>
      <c r="C122" s="146">
        <f>J117</f>
        <v>46752</v>
      </c>
      <c r="D122" s="171">
        <f>J36</f>
        <v>3.3802073552164953</v>
      </c>
      <c r="E122" s="148">
        <v>10</v>
      </c>
      <c r="F122" s="68"/>
      <c r="G122" s="150">
        <f t="shared" si="25"/>
        <v>-0.33802073552164952</v>
      </c>
      <c r="H122" s="174"/>
      <c r="I122" s="174"/>
      <c r="J122" s="151">
        <f>-MIN(-$G122,$D122)</f>
        <v>-0.33802073552164952</v>
      </c>
      <c r="K122" s="173">
        <f ca="1">-MIN(-$J122,SUM($J122:L122,$D122))</f>
        <v>-0.33802073552164952</v>
      </c>
      <c r="L122" s="173">
        <f ca="1">-MIN(-$J122,SUM($J122:M122,$D122))</f>
        <v>-0.33802073552164952</v>
      </c>
      <c r="M122" s="50" t="s">
        <v>144</v>
      </c>
    </row>
    <row r="123" spans="1:13" ht="13.5" customHeight="1">
      <c r="A123" s="125"/>
      <c r="C123" s="146">
        <f>K117</f>
        <v>47118</v>
      </c>
      <c r="D123" s="171">
        <f>K36</f>
        <v>3.6957619988438841</v>
      </c>
      <c r="E123" s="148">
        <v>10</v>
      </c>
      <c r="F123" s="68"/>
      <c r="G123" s="150">
        <f t="shared" si="25"/>
        <v>-0.36957619988438839</v>
      </c>
      <c r="H123" s="174"/>
      <c r="I123" s="174"/>
      <c r="J123" s="174"/>
      <c r="K123" s="151">
        <f>-MIN(-$G123,$D123)</f>
        <v>-0.36957619988438839</v>
      </c>
      <c r="L123" s="173">
        <f ca="1">-MIN(-$K123,SUM($K123:N123,$D123))</f>
        <v>-0.36957619988438839</v>
      </c>
      <c r="M123" s="50" t="s">
        <v>144</v>
      </c>
    </row>
    <row r="124" spans="1:13" ht="13.5" customHeight="1">
      <c r="A124" s="125"/>
      <c r="C124" s="146">
        <f>L117</f>
        <v>47483</v>
      </c>
      <c r="D124" s="171">
        <f>L36</f>
        <v>3.9299019555263603</v>
      </c>
      <c r="E124" s="148">
        <v>10</v>
      </c>
      <c r="F124" s="68"/>
      <c r="G124" s="150">
        <f t="shared" si="25"/>
        <v>-0.39299019555263603</v>
      </c>
      <c r="H124" s="174"/>
      <c r="I124" s="174"/>
      <c r="J124" s="174"/>
      <c r="K124" s="174"/>
      <c r="L124" s="151">
        <f>-MIN(-$G124,$D124)</f>
        <v>-0.39299019555263603</v>
      </c>
      <c r="M124" s="50" t="s">
        <v>144</v>
      </c>
    </row>
    <row r="125" spans="1:13" ht="13.5" customHeight="1">
      <c r="C125" s="68"/>
      <c r="D125" s="155"/>
    </row>
    <row r="126" spans="1:13" ht="13.5" customHeight="1">
      <c r="C126" s="39" t="s">
        <v>131</v>
      </c>
      <c r="H126" s="156">
        <f>-SUM(H119:H125)</f>
        <v>5.829392560625954</v>
      </c>
      <c r="I126" s="156">
        <f t="shared" ref="I126:L126" si="26">-SUM(I119:I125)</f>
        <v>6.1302957891314076</v>
      </c>
      <c r="J126" s="156">
        <f t="shared" ca="1" si="26"/>
        <v>6.4683165246530567</v>
      </c>
      <c r="K126" s="156">
        <f t="shared" ca="1" si="26"/>
        <v>6.8378927245374452</v>
      </c>
      <c r="L126" s="156">
        <f t="shared" ca="1" si="26"/>
        <v>7.2308829200900817</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896D6-1779-4001-9474-94007B1CD17A}">
  <sheetPr>
    <outlinePr summaryBelow="0"/>
    <pageSetUpPr fitToPage="1"/>
  </sheetPr>
  <dimension ref="A1:S18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145</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3"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3"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3"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H164</f>
        <v>5.829392560625954</v>
      </c>
      <c r="I20" s="149">
        <f t="shared" ref="I20:L20" si="6">I164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163"/>
      <c r="I60" s="163"/>
      <c r="J60" s="163"/>
      <c r="K60" s="163"/>
      <c r="L60" s="163"/>
      <c r="M60" s="50"/>
    </row>
    <row r="61" spans="1:13" ht="13.5" customHeight="1" outlineLevel="1">
      <c r="A61" s="164"/>
      <c r="C61" s="91" t="s">
        <v>146</v>
      </c>
      <c r="F61" s="96">
        <f>SUM('Financials from CIP'!D47:D48)/1000</f>
        <v>16.781419000000003</v>
      </c>
      <c r="G61" s="96">
        <f>SUM('Financials from CIP'!E47:E48)/1000</f>
        <v>22.284721999999999</v>
      </c>
      <c r="H61" s="129"/>
      <c r="I61" s="129"/>
      <c r="J61" s="129"/>
      <c r="K61" s="129"/>
      <c r="L61" s="129"/>
      <c r="M61" s="50" t="s">
        <v>147</v>
      </c>
    </row>
    <row r="62" spans="1:13" ht="13.5" customHeight="1" outlineLevel="1">
      <c r="A62" s="164"/>
      <c r="C62" s="91" t="s">
        <v>31</v>
      </c>
      <c r="F62" s="96">
        <f>'Financials from CIP'!D49/1000</f>
        <v>0.80490099999999998</v>
      </c>
      <c r="G62" s="96">
        <f>'Financials from CIP'!E49/1000</f>
        <v>1.161057</v>
      </c>
      <c r="H62" s="129"/>
      <c r="I62" s="129"/>
      <c r="J62" s="129"/>
      <c r="K62" s="129"/>
      <c r="L62" s="129"/>
      <c r="M62" s="50" t="s">
        <v>147</v>
      </c>
    </row>
    <row r="63" spans="1:13" ht="13.5" customHeight="1" outlineLevel="1">
      <c r="A63" s="164"/>
      <c r="C63" s="91" t="s">
        <v>84</v>
      </c>
      <c r="F63" s="96">
        <f>'Financials from CIP'!D50/1000</f>
        <v>0.26978399999999997</v>
      </c>
      <c r="G63" s="96">
        <f>'Financials from CIP'!E50/1000</f>
        <v>0.34491899999999998</v>
      </c>
      <c r="H63" s="129"/>
      <c r="I63" s="129"/>
      <c r="J63" s="129"/>
      <c r="K63" s="129"/>
      <c r="L63" s="129"/>
      <c r="M63" s="50" t="s">
        <v>147</v>
      </c>
    </row>
    <row r="64" spans="1:13" ht="13.5" customHeight="1" outlineLevel="1">
      <c r="A64" s="82"/>
      <c r="C64" s="76" t="s">
        <v>33</v>
      </c>
      <c r="D64" s="77"/>
      <c r="E64" s="77"/>
      <c r="F64" s="93">
        <f>SUM(F60:F63)</f>
        <v>24.961756000000005</v>
      </c>
      <c r="G64" s="93">
        <f>SUM(G60:G63)</f>
        <v>26.74869</v>
      </c>
      <c r="H64" s="93">
        <f t="shared" ref="H64:L64" si="17">SUM(H60:H63)</f>
        <v>0</v>
      </c>
      <c r="I64" s="93">
        <f t="shared" si="17"/>
        <v>0</v>
      </c>
      <c r="J64" s="93">
        <f t="shared" si="17"/>
        <v>0</v>
      </c>
      <c r="K64" s="93">
        <f t="shared" si="17"/>
        <v>0</v>
      </c>
      <c r="L64" s="93">
        <f t="shared" si="17"/>
        <v>0</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18">SUM(H64,H67:H69)</f>
        <v>56.730951045633581</v>
      </c>
      <c r="I70" s="102">
        <f t="shared" si="18"/>
        <v>53.37173554155671</v>
      </c>
      <c r="J70" s="102">
        <f t="shared" ca="1" si="18"/>
        <v>50.045674372120146</v>
      </c>
      <c r="K70" s="102">
        <f t="shared" ca="1" si="18"/>
        <v>46.665591646426577</v>
      </c>
      <c r="L70" s="102">
        <f t="shared" ca="1" si="18"/>
        <v>43.126658681862857</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164"/>
      <c r="C73" s="59"/>
      <c r="D73" s="59"/>
      <c r="E73" s="59"/>
      <c r="F73" s="60"/>
      <c r="G73" s="60"/>
      <c r="H73" s="60"/>
      <c r="I73" s="60"/>
      <c r="J73" s="60"/>
      <c r="K73" s="60"/>
    </row>
    <row r="74" spans="1:13" ht="13.5" customHeight="1" outlineLevel="1">
      <c r="A74" s="164"/>
      <c r="C74" s="91" t="s">
        <v>37</v>
      </c>
      <c r="D74" s="95"/>
      <c r="E74" s="95"/>
      <c r="F74" s="96">
        <f>'Financials from CIP'!D58/1000</f>
        <v>2.8058170000000002</v>
      </c>
      <c r="G74" s="96">
        <f>'Financials from CIP'!E58/1000</f>
        <v>2.3607100000000001</v>
      </c>
      <c r="H74" s="129"/>
      <c r="I74" s="129"/>
      <c r="J74" s="129"/>
      <c r="K74" s="129"/>
      <c r="L74" s="129"/>
      <c r="M74" s="50" t="s">
        <v>147</v>
      </c>
    </row>
    <row r="75" spans="1:13" ht="13.5" customHeight="1" outlineLevel="1">
      <c r="A75" s="164"/>
      <c r="C75" s="91" t="s">
        <v>38</v>
      </c>
      <c r="D75" s="95"/>
      <c r="E75" s="95"/>
      <c r="F75" s="96">
        <f>'Financials from CIP'!D59/1000</f>
        <v>2.3839329999999999</v>
      </c>
      <c r="G75" s="96">
        <f>'Financials from CIP'!E59/1000</f>
        <v>2.7880379999999998</v>
      </c>
      <c r="H75" s="129"/>
      <c r="I75" s="129"/>
      <c r="J75" s="129"/>
      <c r="K75" s="129"/>
      <c r="L75" s="129"/>
      <c r="M75" s="50" t="s">
        <v>147</v>
      </c>
    </row>
    <row r="76" spans="1:13" ht="13.5" customHeight="1" outlineLevel="1">
      <c r="A76" s="164"/>
      <c r="C76" s="91" t="s">
        <v>39</v>
      </c>
      <c r="D76" s="95"/>
      <c r="E76" s="95"/>
      <c r="F76" s="96">
        <f>'Financials from CIP'!D60/1000</f>
        <v>2.0579079999999998</v>
      </c>
      <c r="G76" s="96">
        <f>'Financials from CIP'!E60/1000</f>
        <v>3.2020309999999998</v>
      </c>
      <c r="H76" s="129"/>
      <c r="I76" s="129"/>
      <c r="J76" s="129"/>
      <c r="K76" s="129"/>
      <c r="L76" s="129"/>
      <c r="M76" s="50" t="s">
        <v>147</v>
      </c>
    </row>
    <row r="77" spans="1:13" ht="13.5" customHeight="1" outlineLevel="1">
      <c r="A77" s="82"/>
      <c r="C77" s="76" t="s">
        <v>40</v>
      </c>
      <c r="D77" s="77"/>
      <c r="E77" s="77"/>
      <c r="F77" s="93">
        <f>SUM(F74:F76)</f>
        <v>7.2476579999999995</v>
      </c>
      <c r="G77" s="93">
        <f>SUM(G74:G76)</f>
        <v>8.3507789999999993</v>
      </c>
      <c r="H77" s="93">
        <f t="shared" ref="H77:L77" si="19">SUM(H74:H76)</f>
        <v>0</v>
      </c>
      <c r="I77" s="93">
        <f t="shared" si="19"/>
        <v>0</v>
      </c>
      <c r="J77" s="93">
        <f t="shared" si="19"/>
        <v>0</v>
      </c>
      <c r="K77" s="93">
        <f t="shared" si="19"/>
        <v>0</v>
      </c>
      <c r="L77" s="93">
        <f t="shared" si="19"/>
        <v>0</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3"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3" ht="13.5" customHeight="1" outlineLevel="1">
      <c r="A82" s="82"/>
      <c r="C82" s="76" t="s">
        <v>92</v>
      </c>
      <c r="D82" s="77"/>
      <c r="E82" s="77"/>
      <c r="F82" s="93">
        <f>SUM(F78:F81)</f>
        <v>20.226886000000004</v>
      </c>
      <c r="G82" s="93">
        <f>SUM(G78:G81)</f>
        <v>13.388756000000001</v>
      </c>
      <c r="H82" s="93">
        <f t="shared" ref="H82:L82" si="20">SUM(H78:H81)</f>
        <v>0</v>
      </c>
      <c r="I82" s="93">
        <f t="shared" si="20"/>
        <v>0</v>
      </c>
      <c r="J82" s="93">
        <f t="shared" si="20"/>
        <v>0</v>
      </c>
      <c r="K82" s="93">
        <f t="shared" si="20"/>
        <v>0</v>
      </c>
      <c r="L82" s="93">
        <f t="shared" si="20"/>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1">SUM(H77,H82:H83)</f>
        <v>0.42988799999999999</v>
      </c>
      <c r="I84" s="93">
        <f t="shared" si="21"/>
        <v>0.42988799999999999</v>
      </c>
      <c r="J84" s="93">
        <f t="shared" si="21"/>
        <v>0.42988799999999999</v>
      </c>
      <c r="K84" s="93">
        <f t="shared" si="21"/>
        <v>0.42988799999999999</v>
      </c>
      <c r="L84" s="93">
        <f t="shared" si="21"/>
        <v>0.42988799999999999</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2">SUM(H84:H86)</f>
        <v>72.27688098363798</v>
      </c>
      <c r="I87" s="105">
        <f t="shared" si="22"/>
        <v>80.874195791345741</v>
      </c>
      <c r="J87" s="105">
        <f t="shared" ca="1" si="22"/>
        <v>90.84014615977226</v>
      </c>
      <c r="K87" s="105">
        <f t="shared" ca="1" si="22"/>
        <v>101.91304187075953</v>
      </c>
      <c r="L87" s="105">
        <f t="shared" ca="1" si="22"/>
        <v>113.72551363633487</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3">F87-F70</f>
        <v>8.2790072042371321E-7</v>
      </c>
      <c r="G89" s="178">
        <f t="shared" si="23"/>
        <v>-5.0419180297467392E-7</v>
      </c>
      <c r="H89" s="178">
        <f t="shared" si="23"/>
        <v>15.545929938004399</v>
      </c>
      <c r="I89" s="178">
        <f t="shared" si="23"/>
        <v>27.502460249789031</v>
      </c>
      <c r="J89" s="178">
        <f t="shared" ca="1" si="23"/>
        <v>40.794471787652114</v>
      </c>
      <c r="K89" s="178">
        <f t="shared" ca="1" si="23"/>
        <v>55.247450224332951</v>
      </c>
      <c r="L89" s="178">
        <f t="shared" ca="1" si="23"/>
        <v>70.598854954472017</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A92" s="125"/>
      <c r="C92" s="118"/>
      <c r="D92" s="118"/>
      <c r="E92" s="118"/>
      <c r="M92" s="50"/>
    </row>
    <row r="93" spans="1:13" ht="21.75" thickTop="1">
      <c r="A93" s="125"/>
      <c r="B93" s="46" t="s">
        <v>61</v>
      </c>
      <c r="C93" s="47" t="s">
        <v>148</v>
      </c>
      <c r="D93" s="48"/>
      <c r="E93" s="49"/>
      <c r="F93" s="49"/>
      <c r="G93" s="49"/>
      <c r="H93" s="49"/>
      <c r="I93" s="49"/>
      <c r="J93" s="49"/>
      <c r="K93" s="49"/>
      <c r="L93" s="49"/>
    </row>
    <row r="94" spans="1:13" ht="5.0999999999999996" customHeight="1" outlineLevel="1">
      <c r="A94" s="125"/>
      <c r="C94" s="51"/>
      <c r="D94" s="52"/>
    </row>
    <row r="95" spans="1:13" ht="13.5" customHeight="1" outlineLevel="1">
      <c r="A95" s="125"/>
      <c r="C95" s="53"/>
      <c r="D95" s="53"/>
      <c r="E95" s="53"/>
      <c r="F95" s="54" t="s">
        <v>63</v>
      </c>
      <c r="G95" s="54" t="s">
        <v>63</v>
      </c>
      <c r="H95" s="55" t="s">
        <v>64</v>
      </c>
      <c r="I95" s="55"/>
      <c r="J95" s="55"/>
      <c r="K95" s="55"/>
      <c r="L95" s="55"/>
    </row>
    <row r="96" spans="1:13" ht="13.5" customHeight="1" outlineLevel="1" thickBot="1">
      <c r="A96" s="125"/>
      <c r="C96" s="56" t="s">
        <v>65</v>
      </c>
      <c r="D96" s="57"/>
      <c r="E96" s="57"/>
      <c r="F96" s="58">
        <f>F$11</f>
        <v>45291</v>
      </c>
      <c r="G96" s="58">
        <f>G$11</f>
        <v>45657</v>
      </c>
      <c r="H96" s="58">
        <f t="shared" ref="H96:L96" si="24">H$11</f>
        <v>46022</v>
      </c>
      <c r="I96" s="58">
        <f t="shared" si="24"/>
        <v>46387</v>
      </c>
      <c r="J96" s="58">
        <f t="shared" si="24"/>
        <v>46752</v>
      </c>
      <c r="K96" s="58">
        <f t="shared" si="24"/>
        <v>47118</v>
      </c>
      <c r="L96" s="58">
        <f t="shared" si="24"/>
        <v>47483</v>
      </c>
    </row>
    <row r="97" spans="1:13" ht="5.0999999999999996" customHeight="1" outlineLevel="1">
      <c r="A97" s="125"/>
      <c r="C97" s="59"/>
      <c r="D97" s="59"/>
      <c r="E97" s="59"/>
      <c r="F97" s="60"/>
      <c r="G97" s="60"/>
      <c r="H97" s="60"/>
      <c r="I97" s="60"/>
      <c r="J97" s="60"/>
      <c r="K97" s="60"/>
    </row>
    <row r="98" spans="1:13" ht="13.5" customHeight="1" outlineLevel="1">
      <c r="A98" s="125"/>
      <c r="C98" s="84" t="s">
        <v>51</v>
      </c>
      <c r="D98" s="85"/>
      <c r="E98" s="86"/>
      <c r="F98" s="86"/>
      <c r="G98" s="86"/>
      <c r="H98" s="86"/>
      <c r="I98" s="86"/>
      <c r="J98" s="86"/>
      <c r="K98" s="86"/>
      <c r="L98" s="87"/>
    </row>
    <row r="99" spans="1:13" ht="13.5" customHeight="1" outlineLevel="1">
      <c r="A99" s="125"/>
      <c r="C99" s="118"/>
      <c r="D99" s="118"/>
      <c r="E99" s="118"/>
    </row>
    <row r="100" spans="1:13" ht="13.5" customHeight="1" outlineLevel="1">
      <c r="A100" s="125"/>
      <c r="C100" s="91" t="str">
        <f>C61</f>
        <v>Accounts Receivable, Net</v>
      </c>
      <c r="D100" s="68"/>
      <c r="E100" s="68"/>
      <c r="F100" s="165"/>
      <c r="G100" s="165"/>
      <c r="H100" s="165"/>
      <c r="I100" s="165"/>
      <c r="J100" s="165"/>
      <c r="K100" s="165"/>
      <c r="L100" s="165"/>
      <c r="M100" s="50" t="s">
        <v>149</v>
      </c>
    </row>
    <row r="101" spans="1:13" ht="13.5" customHeight="1" outlineLevel="1">
      <c r="A101" s="125"/>
      <c r="C101" s="91" t="str">
        <f>C62</f>
        <v>Inventory</v>
      </c>
      <c r="D101" s="68"/>
      <c r="E101" s="68"/>
      <c r="F101" s="165"/>
      <c r="G101" s="165"/>
      <c r="H101" s="165"/>
      <c r="I101" s="165"/>
      <c r="J101" s="165"/>
      <c r="K101" s="165"/>
      <c r="L101" s="165"/>
      <c r="M101" s="50" t="s">
        <v>150</v>
      </c>
    </row>
    <row r="102" spans="1:13" ht="13.5" customHeight="1" outlineLevel="1">
      <c r="A102" s="125"/>
      <c r="C102" s="91" t="str">
        <f>C63</f>
        <v>Prepaids and Other Current Assets</v>
      </c>
      <c r="D102" s="68"/>
      <c r="E102" s="68"/>
      <c r="F102" s="165"/>
      <c r="G102" s="165"/>
      <c r="H102" s="165"/>
      <c r="I102" s="165"/>
      <c r="J102" s="165"/>
      <c r="K102" s="165"/>
      <c r="L102" s="165"/>
      <c r="M102" s="50" t="s">
        <v>151</v>
      </c>
    </row>
    <row r="103" spans="1:13" ht="13.5" customHeight="1" outlineLevel="1">
      <c r="A103" s="125"/>
      <c r="C103" s="65" t="s">
        <v>152</v>
      </c>
      <c r="D103" s="65"/>
      <c r="E103" s="65"/>
      <c r="F103" s="179">
        <f t="shared" ref="F103:L103" si="25">SUM(F100:F102)</f>
        <v>0</v>
      </c>
      <c r="G103" s="179">
        <f t="shared" si="25"/>
        <v>0</v>
      </c>
      <c r="H103" s="179">
        <f t="shared" si="25"/>
        <v>0</v>
      </c>
      <c r="I103" s="179">
        <f t="shared" si="25"/>
        <v>0</v>
      </c>
      <c r="J103" s="179">
        <f t="shared" si="25"/>
        <v>0</v>
      </c>
      <c r="K103" s="179">
        <f t="shared" si="25"/>
        <v>0</v>
      </c>
      <c r="L103" s="179">
        <f t="shared" si="25"/>
        <v>0</v>
      </c>
    </row>
    <row r="104" spans="1:13" ht="6" customHeight="1" outlineLevel="1">
      <c r="A104" s="125"/>
      <c r="C104" s="68"/>
      <c r="D104" s="68"/>
      <c r="E104" s="68"/>
      <c r="F104" s="154"/>
      <c r="G104" s="154"/>
      <c r="H104" s="154"/>
      <c r="I104" s="154"/>
      <c r="J104" s="154"/>
      <c r="K104" s="154"/>
      <c r="L104" s="154"/>
    </row>
    <row r="105" spans="1:13" ht="13.5" customHeight="1" outlineLevel="1">
      <c r="A105" s="125"/>
      <c r="C105" s="91" t="str">
        <f>C74</f>
        <v>Accounts Payable</v>
      </c>
      <c r="D105" s="68"/>
      <c r="E105" s="68"/>
      <c r="F105" s="165"/>
      <c r="G105" s="165"/>
      <c r="H105" s="165"/>
      <c r="I105" s="165"/>
      <c r="J105" s="165"/>
      <c r="K105" s="165"/>
      <c r="L105" s="165"/>
      <c r="M105" s="50" t="s">
        <v>153</v>
      </c>
    </row>
    <row r="106" spans="1:13" ht="13.5" customHeight="1" outlineLevel="1">
      <c r="A106" s="125"/>
      <c r="C106" s="91" t="str">
        <f>C75</f>
        <v>Wages Payable</v>
      </c>
      <c r="D106" s="68"/>
      <c r="E106" s="68"/>
      <c r="F106" s="165"/>
      <c r="G106" s="165"/>
      <c r="H106" s="165"/>
      <c r="I106" s="165"/>
      <c r="J106" s="165"/>
      <c r="K106" s="165"/>
      <c r="L106" s="165"/>
      <c r="M106" s="50" t="s">
        <v>154</v>
      </c>
    </row>
    <row r="107" spans="1:13" ht="13.5" customHeight="1" outlineLevel="1">
      <c r="A107" s="125"/>
      <c r="C107" s="91" t="str">
        <f>C76</f>
        <v>Accrued Expenses &amp; Other</v>
      </c>
      <c r="D107" s="68"/>
      <c r="E107" s="68"/>
      <c r="F107" s="165"/>
      <c r="G107" s="165"/>
      <c r="H107" s="165"/>
      <c r="I107" s="165"/>
      <c r="J107" s="165"/>
      <c r="K107" s="165"/>
      <c r="L107" s="165"/>
      <c r="M107" s="50" t="s">
        <v>155</v>
      </c>
    </row>
    <row r="108" spans="1:13" ht="13.5" customHeight="1" outlineLevel="1">
      <c r="A108" s="125"/>
      <c r="C108" s="65" t="s">
        <v>156</v>
      </c>
      <c r="D108" s="65"/>
      <c r="E108" s="65"/>
      <c r="F108" s="179">
        <f t="shared" ref="F108:L108" si="26">SUM(F105:F107)</f>
        <v>0</v>
      </c>
      <c r="G108" s="179">
        <f t="shared" si="26"/>
        <v>0</v>
      </c>
      <c r="H108" s="179">
        <f t="shared" si="26"/>
        <v>0</v>
      </c>
      <c r="I108" s="179">
        <f t="shared" si="26"/>
        <v>0</v>
      </c>
      <c r="J108" s="179">
        <f t="shared" si="26"/>
        <v>0</v>
      </c>
      <c r="K108" s="179">
        <f t="shared" si="26"/>
        <v>0</v>
      </c>
      <c r="L108" s="179">
        <f t="shared" si="26"/>
        <v>0</v>
      </c>
    </row>
    <row r="109" spans="1:13" ht="13.5" customHeight="1" outlineLevel="1">
      <c r="A109" s="125"/>
      <c r="C109" s="180" t="s">
        <v>157</v>
      </c>
      <c r="D109" s="180"/>
      <c r="E109" s="180"/>
      <c r="F109" s="181">
        <f t="shared" ref="F109:L109" si="27">F103-F108</f>
        <v>0</v>
      </c>
      <c r="G109" s="181">
        <f t="shared" si="27"/>
        <v>0</v>
      </c>
      <c r="H109" s="181">
        <f t="shared" si="27"/>
        <v>0</v>
      </c>
      <c r="I109" s="181">
        <f t="shared" si="27"/>
        <v>0</v>
      </c>
      <c r="J109" s="181">
        <f t="shared" si="27"/>
        <v>0</v>
      </c>
      <c r="K109" s="181">
        <f t="shared" si="27"/>
        <v>0</v>
      </c>
      <c r="L109" s="181">
        <f t="shared" si="27"/>
        <v>0</v>
      </c>
    </row>
    <row r="110" spans="1:13" ht="13.5" customHeight="1" outlineLevel="1">
      <c r="A110" s="125"/>
      <c r="C110" s="39"/>
      <c r="D110" s="39"/>
      <c r="E110" s="39"/>
      <c r="F110" s="182"/>
      <c r="G110" s="182"/>
      <c r="H110" s="182"/>
      <c r="I110" s="182"/>
      <c r="J110" s="182"/>
      <c r="K110" s="182"/>
      <c r="L110" s="182"/>
    </row>
    <row r="111" spans="1:13" ht="13.5" customHeight="1" outlineLevel="1">
      <c r="A111" s="125"/>
      <c r="C111" s="39" t="s">
        <v>158</v>
      </c>
      <c r="D111" s="39"/>
      <c r="E111" s="39"/>
      <c r="F111" s="183"/>
      <c r="G111" s="183"/>
      <c r="H111" s="183"/>
      <c r="I111" s="183"/>
      <c r="J111" s="183"/>
      <c r="K111" s="183"/>
      <c r="L111" s="183"/>
      <c r="M111" s="50" t="s">
        <v>159</v>
      </c>
    </row>
    <row r="112" spans="1:13" ht="13.5" customHeight="1" outlineLevel="1">
      <c r="A112" s="125"/>
    </row>
    <row r="113" spans="1:17" ht="13.5" customHeight="1" outlineLevel="1">
      <c r="A113" s="125"/>
      <c r="C113" s="84" t="s">
        <v>160</v>
      </c>
      <c r="D113" s="85"/>
      <c r="E113" s="86"/>
      <c r="F113" s="86"/>
      <c r="G113" s="86"/>
      <c r="H113" s="86"/>
      <c r="I113" s="86"/>
      <c r="J113" s="86"/>
      <c r="K113" s="86"/>
      <c r="L113" s="87"/>
    </row>
    <row r="114" spans="1:17" ht="13.5" customHeight="1" outlineLevel="1">
      <c r="A114" s="125"/>
      <c r="C114" s="68"/>
      <c r="D114" s="68"/>
      <c r="E114" s="68"/>
      <c r="F114" s="68"/>
    </row>
    <row r="115" spans="1:17" ht="13.5" customHeight="1" outlineLevel="1">
      <c r="A115" s="125"/>
      <c r="C115" s="68" t="s">
        <v>161</v>
      </c>
      <c r="D115" s="68"/>
      <c r="E115" s="68"/>
      <c r="F115" s="184"/>
      <c r="G115" s="184"/>
      <c r="H115" s="184"/>
      <c r="I115" s="184"/>
      <c r="J115" s="184"/>
      <c r="K115" s="184"/>
      <c r="L115" s="184"/>
      <c r="M115" s="50" t="s">
        <v>162</v>
      </c>
    </row>
    <row r="116" spans="1:17" ht="13.5" customHeight="1" outlineLevel="1">
      <c r="A116" s="125"/>
      <c r="C116" s="68" t="s">
        <v>66</v>
      </c>
      <c r="D116" s="68"/>
      <c r="E116" s="68"/>
      <c r="F116" s="165"/>
      <c r="G116" s="165"/>
      <c r="H116" s="165"/>
      <c r="I116" s="165"/>
      <c r="J116" s="165"/>
      <c r="K116" s="165"/>
      <c r="L116" s="165"/>
      <c r="M116" s="50" t="s">
        <v>162</v>
      </c>
    </row>
    <row r="117" spans="1:17" ht="13.5" customHeight="1" outlineLevel="1">
      <c r="A117" s="125"/>
      <c r="C117" s="68" t="s">
        <v>69</v>
      </c>
      <c r="D117" s="68"/>
      <c r="E117" s="68"/>
      <c r="F117" s="165"/>
      <c r="G117" s="165"/>
      <c r="H117" s="165"/>
      <c r="I117" s="165"/>
      <c r="J117" s="165"/>
      <c r="K117" s="165"/>
      <c r="L117" s="165"/>
      <c r="M117" s="50" t="s">
        <v>162</v>
      </c>
    </row>
    <row r="118" spans="1:17" ht="13.5" customHeight="1" outlineLevel="1">
      <c r="A118" s="125"/>
      <c r="F118" s="82"/>
    </row>
    <row r="119" spans="1:17" ht="13.5" customHeight="1" outlineLevel="1">
      <c r="A119" s="125"/>
      <c r="C119" s="98" t="s">
        <v>163</v>
      </c>
      <c r="D119" s="68"/>
      <c r="F119" s="185"/>
      <c r="G119" s="185"/>
      <c r="H119" s="186"/>
      <c r="I119" s="186"/>
      <c r="J119" s="186"/>
      <c r="K119" s="186"/>
      <c r="L119" s="186"/>
      <c r="M119" s="50" t="s">
        <v>164</v>
      </c>
    </row>
    <row r="120" spans="1:17" ht="13.5" customHeight="1" outlineLevel="1">
      <c r="A120" s="125"/>
      <c r="C120" s="98" t="s">
        <v>165</v>
      </c>
      <c r="D120" s="68"/>
      <c r="F120" s="185"/>
      <c r="G120" s="185"/>
      <c r="H120" s="186"/>
      <c r="I120" s="186"/>
      <c r="J120" s="186"/>
      <c r="K120" s="186"/>
      <c r="L120" s="186"/>
      <c r="M120" s="50" t="s">
        <v>166</v>
      </c>
    </row>
    <row r="121" spans="1:17" ht="13.5" customHeight="1" outlineLevel="1">
      <c r="A121" s="125"/>
      <c r="C121" s="98" t="s">
        <v>167</v>
      </c>
      <c r="D121" s="68"/>
      <c r="F121" s="187"/>
      <c r="G121" s="187"/>
      <c r="H121" s="135"/>
      <c r="I121" s="135"/>
      <c r="J121" s="135"/>
      <c r="K121" s="135"/>
      <c r="L121" s="135"/>
      <c r="M121" s="50" t="s">
        <v>168</v>
      </c>
    </row>
    <row r="122" spans="1:17" ht="13.5" customHeight="1" outlineLevel="1">
      <c r="A122" s="125"/>
      <c r="C122" s="98"/>
      <c r="D122" s="68"/>
      <c r="F122" s="188"/>
      <c r="G122" s="188"/>
      <c r="H122" s="189"/>
      <c r="I122" s="189"/>
      <c r="J122" s="189"/>
      <c r="K122" s="189"/>
      <c r="L122" s="189"/>
      <c r="Q122" s="190"/>
    </row>
    <row r="123" spans="1:17" ht="13.5" customHeight="1" outlineLevel="1">
      <c r="A123" s="125"/>
      <c r="C123" s="98" t="s">
        <v>169</v>
      </c>
      <c r="D123" s="68"/>
      <c r="F123" s="185"/>
      <c r="G123" s="185"/>
      <c r="H123" s="186"/>
      <c r="I123" s="186"/>
      <c r="J123" s="186"/>
      <c r="K123" s="186"/>
      <c r="L123" s="186"/>
      <c r="M123" s="50" t="s">
        <v>170</v>
      </c>
    </row>
    <row r="124" spans="1:17" ht="13.5" customHeight="1" outlineLevel="1">
      <c r="A124" s="125"/>
      <c r="C124" s="98" t="s">
        <v>171</v>
      </c>
      <c r="D124" s="68"/>
      <c r="F124" s="187"/>
      <c r="G124" s="187"/>
      <c r="H124" s="135"/>
      <c r="I124" s="135"/>
      <c r="J124" s="135"/>
      <c r="K124" s="135"/>
      <c r="L124" s="135"/>
      <c r="M124" s="50" t="s">
        <v>172</v>
      </c>
    </row>
    <row r="125" spans="1:17" ht="13.5" customHeight="1" outlineLevel="1">
      <c r="A125" s="125"/>
      <c r="C125" s="98" t="s">
        <v>173</v>
      </c>
      <c r="D125" s="68"/>
      <c r="F125" s="187"/>
      <c r="G125" s="187"/>
      <c r="H125" s="135"/>
      <c r="I125" s="135"/>
      <c r="J125" s="135"/>
      <c r="K125" s="135"/>
      <c r="L125" s="135"/>
      <c r="M125" s="50" t="s">
        <v>174</v>
      </c>
    </row>
    <row r="126" spans="1:17" ht="13.5" customHeight="1" outlineLevel="1">
      <c r="A126" s="125"/>
      <c r="C126" s="98"/>
      <c r="D126" s="68"/>
      <c r="F126" s="191"/>
      <c r="G126" s="191"/>
      <c r="H126" s="192"/>
      <c r="I126" s="192"/>
      <c r="J126" s="192"/>
      <c r="K126" s="192"/>
      <c r="L126" s="192"/>
    </row>
    <row r="127" spans="1:17" ht="5.0999999999999996" customHeight="1" outlineLevel="1" thickBot="1">
      <c r="A127" s="125"/>
      <c r="C127" s="157"/>
      <c r="D127" s="157"/>
      <c r="E127" s="157"/>
      <c r="F127" s="83"/>
      <c r="G127" s="83"/>
      <c r="H127" s="83"/>
      <c r="I127" s="83"/>
      <c r="J127" s="83"/>
      <c r="K127" s="83"/>
      <c r="L127" s="83"/>
    </row>
    <row r="128" spans="1:17" ht="13.5" customHeight="1" outlineLevel="1">
      <c r="A128" s="125"/>
    </row>
    <row r="129" spans="1:19" ht="13.5" customHeight="1" outlineLevel="1" thickBot="1">
      <c r="A129" s="125"/>
    </row>
    <row r="130" spans="1:19" ht="16.5" collapsed="1" thickTop="1" thickBot="1">
      <c r="A130" s="82"/>
      <c r="B130" s="46" t="s">
        <v>61</v>
      </c>
      <c r="C130" s="119" t="s">
        <v>96</v>
      </c>
      <c r="D130" s="82"/>
      <c r="E130" s="82"/>
      <c r="F130" s="82"/>
      <c r="G130" s="82"/>
      <c r="H130" s="82"/>
      <c r="I130" s="82"/>
      <c r="J130" s="82"/>
      <c r="K130" s="82"/>
      <c r="L130" s="82"/>
      <c r="M130" s="82"/>
      <c r="N130" s="82"/>
      <c r="O130" s="82"/>
      <c r="P130" s="82"/>
      <c r="Q130" s="82"/>
      <c r="R130" s="82"/>
      <c r="S130" s="82"/>
    </row>
    <row r="131" spans="1:19" ht="15.75" hidden="1" outlineLevel="1" thickBot="1">
      <c r="A131" s="82"/>
      <c r="B131" s="82"/>
      <c r="C131" s="120" t="s">
        <v>3</v>
      </c>
      <c r="D131" s="82"/>
      <c r="E131" s="82"/>
      <c r="F131" s="82"/>
      <c r="G131" s="82"/>
      <c r="H131" s="82"/>
      <c r="I131" s="82"/>
      <c r="J131" s="82"/>
      <c r="K131" s="82"/>
      <c r="L131" s="82"/>
      <c r="M131" s="82"/>
      <c r="N131" s="82"/>
      <c r="O131" s="82"/>
      <c r="P131" s="82"/>
      <c r="Q131" s="82"/>
      <c r="R131" s="82"/>
      <c r="S131" s="82"/>
    </row>
    <row r="132" spans="1:19" ht="15.75" hidden="1" outlineLevel="1" thickBot="1">
      <c r="A132" s="82"/>
      <c r="B132" s="82"/>
      <c r="C132" s="121" t="s">
        <v>97</v>
      </c>
      <c r="D132" s="82"/>
      <c r="E132" s="82"/>
      <c r="F132" s="122">
        <f>'Financials from CIP'!D13/1000-'Step 4'!F13</f>
        <v>0</v>
      </c>
      <c r="G132" s="122">
        <f>'Financials from CIP'!E13/1000-'Step 4'!G13</f>
        <v>0</v>
      </c>
      <c r="H132" s="82"/>
      <c r="I132" s="82"/>
      <c r="J132" s="82"/>
      <c r="K132" s="82"/>
      <c r="L132" s="82"/>
      <c r="M132" s="82"/>
      <c r="N132" s="82"/>
      <c r="O132" s="82"/>
      <c r="P132" s="82"/>
      <c r="Q132" s="82"/>
      <c r="R132" s="82"/>
      <c r="S132" s="82"/>
    </row>
    <row r="133" spans="1:19" ht="15.75" hidden="1" outlineLevel="1" thickBot="1">
      <c r="A133" s="82"/>
      <c r="B133" s="82"/>
      <c r="C133" s="121" t="s">
        <v>67</v>
      </c>
      <c r="D133" s="82"/>
      <c r="E133" s="82"/>
      <c r="F133" s="122">
        <f>'Financials from CIP'!D19/1000-'Step 4'!F15</f>
        <v>0</v>
      </c>
      <c r="G133" s="122">
        <f>'Financials from CIP'!E19/1000-'Step 4'!G15</f>
        <v>0</v>
      </c>
      <c r="H133" s="82"/>
      <c r="I133" s="82"/>
      <c r="J133" s="82"/>
      <c r="K133" s="82"/>
      <c r="L133" s="82"/>
      <c r="M133" s="82"/>
      <c r="N133" s="82"/>
      <c r="O133" s="82"/>
      <c r="P133" s="82"/>
      <c r="Q133" s="82"/>
      <c r="R133" s="82"/>
      <c r="S133" s="82"/>
    </row>
    <row r="134" spans="1:19" ht="15.75" hidden="1" outlineLevel="1" thickBot="1">
      <c r="A134" s="82"/>
      <c r="B134" s="82"/>
      <c r="C134" s="121" t="s">
        <v>70</v>
      </c>
      <c r="D134" s="82"/>
      <c r="E134" s="82"/>
      <c r="F134" s="122">
        <f>'Financials from CIP'!D36/1000-'Step 4'!F18</f>
        <v>0</v>
      </c>
      <c r="G134" s="122">
        <f>'Financials from CIP'!E36/1000-'Step 4'!G18</f>
        <v>0</v>
      </c>
      <c r="H134" s="82"/>
      <c r="I134" s="82"/>
      <c r="J134" s="82"/>
      <c r="K134" s="82"/>
      <c r="L134" s="82"/>
      <c r="M134" s="82"/>
      <c r="N134" s="82"/>
      <c r="O134" s="82"/>
      <c r="P134" s="82"/>
      <c r="Q134" s="82"/>
      <c r="R134" s="82"/>
      <c r="S134" s="82"/>
    </row>
    <row r="135" spans="1:19" ht="15.75" hidden="1" outlineLevel="1" thickBot="1">
      <c r="A135" s="82"/>
      <c r="B135" s="82"/>
      <c r="C135" s="121" t="s">
        <v>22</v>
      </c>
      <c r="D135" s="82"/>
      <c r="E135" s="82"/>
      <c r="F135" s="122">
        <f>'Financials from CIP'!D34/1000-'Step 4'!F33</f>
        <v>0</v>
      </c>
      <c r="G135" s="122">
        <f>'Financials from CIP'!E34/1000-'Step 4'!G33</f>
        <v>0</v>
      </c>
      <c r="H135" s="82"/>
      <c r="I135" s="82"/>
      <c r="J135" s="82"/>
      <c r="K135" s="82"/>
      <c r="L135" s="82"/>
      <c r="M135" s="82"/>
      <c r="N135" s="82"/>
      <c r="O135" s="82"/>
      <c r="P135" s="82"/>
      <c r="Q135" s="82"/>
      <c r="R135" s="82"/>
      <c r="S135" s="82"/>
    </row>
    <row r="136" spans="1:19" ht="15.75" hidden="1" outlineLevel="1" thickBot="1">
      <c r="A136" s="82"/>
      <c r="B136" s="82"/>
      <c r="C136" s="121"/>
      <c r="D136" s="82"/>
      <c r="E136" s="82"/>
      <c r="F136" s="122"/>
      <c r="G136" s="122"/>
      <c r="H136" s="82"/>
      <c r="I136" s="82"/>
      <c r="J136" s="82"/>
      <c r="K136" s="82"/>
      <c r="L136" s="82"/>
      <c r="M136" s="82"/>
      <c r="N136" s="82"/>
      <c r="O136" s="82"/>
      <c r="P136" s="82"/>
      <c r="Q136" s="82"/>
      <c r="R136" s="82"/>
      <c r="S136" s="82"/>
    </row>
    <row r="137" spans="1:19" ht="15.75" hidden="1" outlineLevel="1" thickBot="1">
      <c r="A137" s="82"/>
      <c r="B137" s="82"/>
      <c r="C137" s="120" t="s">
        <v>26</v>
      </c>
      <c r="D137" s="82"/>
      <c r="E137" s="82"/>
      <c r="F137" s="122"/>
      <c r="G137" s="122"/>
      <c r="H137" s="82"/>
      <c r="I137" s="82"/>
      <c r="J137" s="82"/>
      <c r="K137" s="82"/>
      <c r="L137" s="82"/>
      <c r="M137" s="82"/>
      <c r="N137" s="82"/>
      <c r="O137" s="82"/>
      <c r="P137" s="82"/>
      <c r="Q137" s="82"/>
      <c r="R137" s="82"/>
      <c r="S137" s="82"/>
    </row>
    <row r="138" spans="1:19" ht="15.75" hidden="1" outlineLevel="1" thickBot="1">
      <c r="A138" s="82"/>
      <c r="B138" s="82"/>
      <c r="C138" s="121" t="s">
        <v>98</v>
      </c>
      <c r="D138" s="82"/>
      <c r="E138" s="82"/>
      <c r="F138" s="122">
        <f>'Financials from CIP'!D46/1000-'Step 4'!F60</f>
        <v>0</v>
      </c>
      <c r="G138" s="122">
        <f>'Financials from CIP'!E46/1000-'Step 4'!G60</f>
        <v>0</v>
      </c>
      <c r="H138" s="82"/>
      <c r="I138" s="82"/>
      <c r="J138" s="82"/>
      <c r="K138" s="82"/>
      <c r="L138" s="82"/>
      <c r="M138" s="82"/>
      <c r="N138" s="82"/>
      <c r="O138" s="82"/>
      <c r="P138" s="82"/>
      <c r="Q138" s="82"/>
      <c r="R138" s="82"/>
      <c r="S138" s="82"/>
    </row>
    <row r="139" spans="1:19" ht="15.75" hidden="1" outlineLevel="1" thickBot="1">
      <c r="A139" s="82"/>
      <c r="B139" s="82"/>
      <c r="C139" s="121" t="s">
        <v>99</v>
      </c>
      <c r="D139" s="82"/>
      <c r="E139" s="82"/>
      <c r="F139" s="122">
        <f>'Financials from CIP'!D51/1000-'Step 4'!F64</f>
        <v>0</v>
      </c>
      <c r="G139" s="122">
        <f>'Financials from CIP'!E51/1000-'Step 4'!G64</f>
        <v>0</v>
      </c>
      <c r="H139" s="82"/>
      <c r="I139" s="82"/>
      <c r="J139" s="82"/>
      <c r="K139" s="82"/>
      <c r="L139" s="82"/>
      <c r="M139" s="82"/>
      <c r="N139" s="82"/>
      <c r="O139" s="82"/>
      <c r="P139" s="82"/>
      <c r="Q139" s="82"/>
      <c r="R139" s="82"/>
      <c r="S139" s="82"/>
    </row>
    <row r="140" spans="1:19" ht="15.75" hidden="1" outlineLevel="1" thickBot="1">
      <c r="A140" s="82"/>
      <c r="B140" s="82"/>
      <c r="C140" s="121" t="s">
        <v>36</v>
      </c>
      <c r="D140" s="82"/>
      <c r="E140" s="82"/>
      <c r="F140" s="122">
        <f>'Financials from CIP'!D56/1000-'Step 4'!F70</f>
        <v>0</v>
      </c>
      <c r="G140" s="122">
        <f>'Financials from CIP'!E56/1000-'Step 4'!G70</f>
        <v>0</v>
      </c>
      <c r="H140" s="82"/>
      <c r="I140" s="82"/>
      <c r="J140" s="82"/>
      <c r="K140" s="82"/>
      <c r="L140" s="82"/>
      <c r="M140" s="82"/>
      <c r="N140" s="82"/>
      <c r="O140" s="82"/>
      <c r="P140" s="82"/>
      <c r="Q140" s="82"/>
      <c r="R140" s="82"/>
      <c r="S140" s="82"/>
    </row>
    <row r="141" spans="1:19" ht="15.75" hidden="1" outlineLevel="1" thickBot="1">
      <c r="A141" s="82"/>
      <c r="B141" s="82"/>
      <c r="C141" s="121" t="s">
        <v>100</v>
      </c>
      <c r="D141" s="82"/>
      <c r="E141" s="82"/>
      <c r="F141" s="122">
        <f>'Financials from CIP'!D61/1000-'Step 4'!F77</f>
        <v>0</v>
      </c>
      <c r="G141" s="122">
        <f>'Financials from CIP'!E61/1000-'Step 4'!G77</f>
        <v>0</v>
      </c>
      <c r="H141" s="82"/>
      <c r="I141" s="82"/>
      <c r="J141" s="82"/>
      <c r="K141" s="82"/>
      <c r="L141" s="82"/>
      <c r="M141" s="82"/>
      <c r="N141" s="82"/>
      <c r="O141" s="82"/>
      <c r="P141" s="82"/>
      <c r="Q141" s="82"/>
      <c r="R141" s="82"/>
      <c r="S141" s="82"/>
    </row>
    <row r="142" spans="1:19" ht="15.75" hidden="1" outlineLevel="1" thickBot="1">
      <c r="A142" s="82"/>
      <c r="B142" s="82"/>
      <c r="C142" s="121" t="s">
        <v>101</v>
      </c>
      <c r="D142" s="82"/>
      <c r="E142" s="82"/>
      <c r="F142" s="122">
        <f>'Financials from CIP'!D69/1000-'Step 4'!F84</f>
        <v>0</v>
      </c>
      <c r="G142" s="122">
        <f>'Financials from CIP'!E69/1000-'Step 4'!G84</f>
        <v>0</v>
      </c>
      <c r="H142" s="82"/>
      <c r="I142" s="82"/>
      <c r="J142" s="82"/>
      <c r="K142" s="82"/>
      <c r="L142" s="82"/>
      <c r="M142" s="82"/>
      <c r="N142" s="82"/>
      <c r="O142" s="82"/>
      <c r="P142" s="82"/>
      <c r="Q142" s="82"/>
      <c r="R142" s="82"/>
      <c r="S142" s="82"/>
    </row>
    <row r="143" spans="1:19" ht="15.75" hidden="1" outlineLevel="1" thickBot="1">
      <c r="A143" s="82"/>
      <c r="B143" s="82"/>
      <c r="C143" s="121" t="s">
        <v>49</v>
      </c>
      <c r="D143" s="82"/>
      <c r="E143" s="82"/>
      <c r="F143" s="122">
        <f>'Financials from CIP'!D73/1000-SUM('Step 4'!F85:F86)</f>
        <v>0</v>
      </c>
      <c r="G143" s="122">
        <f>'Financials from CIP'!E73/1000-SUM('Step 4'!G85:G86)</f>
        <v>0</v>
      </c>
      <c r="H143" s="82"/>
      <c r="I143" s="82"/>
      <c r="J143" s="82"/>
      <c r="K143" s="82"/>
      <c r="L143" s="82"/>
      <c r="M143" s="82"/>
      <c r="N143" s="82"/>
      <c r="O143" s="82"/>
      <c r="P143" s="82"/>
      <c r="Q143" s="82"/>
      <c r="R143" s="82"/>
      <c r="S143" s="82"/>
    </row>
    <row r="144" spans="1:19" ht="15.75" hidden="1" outlineLevel="1" thickBot="1">
      <c r="A144" s="82"/>
      <c r="B144" s="82"/>
      <c r="C144" s="121"/>
      <c r="D144" s="82"/>
      <c r="E144" s="82"/>
      <c r="F144" s="122"/>
      <c r="G144" s="122"/>
      <c r="H144" s="82"/>
      <c r="I144" s="82"/>
      <c r="J144" s="82"/>
      <c r="K144" s="82"/>
      <c r="L144" s="82"/>
      <c r="M144" s="82"/>
      <c r="N144" s="82"/>
      <c r="O144" s="82"/>
      <c r="P144" s="82"/>
      <c r="Q144" s="82"/>
      <c r="R144" s="82"/>
      <c r="S144" s="82"/>
    </row>
    <row r="145" spans="1:19" ht="15.75" hidden="1" outlineLevel="1" thickBot="1">
      <c r="A145" s="82"/>
      <c r="B145" s="82"/>
      <c r="C145" s="119" t="s">
        <v>102</v>
      </c>
      <c r="D145" s="82"/>
      <c r="E145" s="82"/>
      <c r="F145" s="122"/>
      <c r="G145" s="122"/>
      <c r="H145" s="82"/>
      <c r="I145" s="82"/>
      <c r="J145" s="82"/>
      <c r="K145" s="82"/>
      <c r="L145" s="82"/>
      <c r="M145" s="82"/>
      <c r="N145" s="82"/>
      <c r="O145" s="82"/>
      <c r="P145" s="82"/>
      <c r="Q145" s="82"/>
      <c r="R145" s="82"/>
      <c r="S145" s="82"/>
    </row>
    <row r="146" spans="1:19" ht="15.75" hidden="1" outlineLevel="1" thickBot="1">
      <c r="A146" s="82"/>
      <c r="B146" s="82"/>
      <c r="C146" s="121" t="s">
        <v>103</v>
      </c>
      <c r="D146" s="82"/>
      <c r="E146" s="82"/>
      <c r="F146" s="122">
        <f>F70-F87</f>
        <v>-8.2790072042371321E-7</v>
      </c>
      <c r="G146" s="122">
        <f>G70-G87</f>
        <v>5.0419180297467392E-7</v>
      </c>
      <c r="H146" s="82"/>
      <c r="I146" s="82"/>
      <c r="J146" s="82"/>
      <c r="K146" s="82"/>
      <c r="L146" s="82"/>
      <c r="M146" s="82"/>
      <c r="N146" s="82"/>
      <c r="O146" s="82"/>
      <c r="P146" s="82"/>
      <c r="Q146" s="82"/>
      <c r="R146" s="82"/>
      <c r="S146" s="82"/>
    </row>
    <row r="147" spans="1:19" ht="19.5" hidden="1" customHeight="1" outlineLevel="1">
      <c r="A147" s="82"/>
      <c r="B147" s="82"/>
      <c r="C147" s="121"/>
      <c r="D147" s="82"/>
      <c r="E147" s="82"/>
      <c r="F147" s="122"/>
      <c r="G147" s="122"/>
      <c r="H147" s="82"/>
      <c r="I147" s="82"/>
      <c r="J147" s="82"/>
      <c r="K147" s="82"/>
      <c r="L147" s="82"/>
      <c r="M147" s="82"/>
      <c r="N147" s="82"/>
      <c r="O147" s="82"/>
      <c r="P147" s="82"/>
      <c r="Q147" s="82"/>
      <c r="R147" s="82"/>
      <c r="S147" s="82"/>
    </row>
    <row r="148" spans="1:19" s="114" customFormat="1" ht="13.5" hidden="1" customHeight="1" outlineLevel="1">
      <c r="A148" s="82"/>
      <c r="B148" s="110"/>
      <c r="C148" s="111"/>
      <c r="D148" s="111"/>
      <c r="E148" s="111"/>
      <c r="F148" s="112"/>
      <c r="G148" s="113"/>
      <c r="H148" s="113"/>
      <c r="I148" s="113"/>
      <c r="J148" s="113"/>
      <c r="K148" s="113"/>
      <c r="L148" s="113"/>
      <c r="M148" s="142"/>
    </row>
    <row r="149" spans="1:19" ht="5.0999999999999996" hidden="1" customHeight="1" outlineLevel="1" thickBot="1">
      <c r="A149" s="82"/>
      <c r="C149" s="115"/>
      <c r="D149" s="115"/>
      <c r="E149" s="115"/>
      <c r="F149" s="116"/>
      <c r="G149" s="116"/>
      <c r="H149" s="116"/>
      <c r="I149" s="116"/>
      <c r="J149" s="116"/>
      <c r="K149" s="116"/>
      <c r="L149" s="116"/>
      <c r="M149" s="50"/>
    </row>
    <row r="150" spans="1:19" ht="13.5" hidden="1" customHeight="1" outlineLevel="1">
      <c r="A150" s="82"/>
      <c r="C150" s="118"/>
      <c r="D150" s="118"/>
      <c r="E150" s="118"/>
      <c r="M150" s="50"/>
    </row>
    <row r="151" spans="1:19" ht="13.5" hidden="1" customHeight="1" outlineLevel="1" thickBot="1">
      <c r="A151" s="82"/>
      <c r="C151" s="118"/>
      <c r="D151" s="118"/>
      <c r="E151" s="118"/>
      <c r="M151" s="50"/>
    </row>
    <row r="152" spans="1:19" ht="19.5" customHeight="1" thickTop="1">
      <c r="A152" s="125"/>
      <c r="B152" s="46" t="s">
        <v>61</v>
      </c>
      <c r="C152" s="47" t="s">
        <v>124</v>
      </c>
      <c r="D152" s="48"/>
      <c r="E152" s="49"/>
      <c r="F152" s="49"/>
      <c r="G152" s="49"/>
      <c r="H152" s="49"/>
      <c r="I152" s="49"/>
      <c r="J152" s="49"/>
      <c r="K152" s="49"/>
      <c r="L152" s="49"/>
      <c r="M152" s="50"/>
    </row>
    <row r="153" spans="1:19" ht="5.0999999999999996" customHeight="1" outlineLevel="1">
      <c r="A153" s="125"/>
      <c r="M153" s="50"/>
    </row>
    <row r="154" spans="1:19" ht="13.5" customHeight="1" outlineLevel="1">
      <c r="A154" s="125"/>
      <c r="C154" s="53"/>
      <c r="D154" s="53"/>
      <c r="E154" s="53"/>
      <c r="F154" s="143"/>
      <c r="G154" s="54"/>
      <c r="H154" s="55" t="s">
        <v>64</v>
      </c>
      <c r="I154" s="55"/>
      <c r="J154" s="55"/>
      <c r="K154" s="55"/>
      <c r="L154" s="55"/>
      <c r="M154" s="50"/>
    </row>
    <row r="155" spans="1:19" ht="13.5" customHeight="1" outlineLevel="1" thickBot="1">
      <c r="A155" s="125"/>
      <c r="C155" s="56" t="s">
        <v>65</v>
      </c>
      <c r="D155" s="144" t="s">
        <v>126</v>
      </c>
      <c r="E155" s="57" t="s">
        <v>127</v>
      </c>
      <c r="F155" s="145" t="s">
        <v>128</v>
      </c>
      <c r="G155" s="58" t="s">
        <v>129</v>
      </c>
      <c r="H155" s="58">
        <f t="shared" ref="H155:L155" si="28">H$11</f>
        <v>46022</v>
      </c>
      <c r="I155" s="58">
        <f t="shared" si="28"/>
        <v>46387</v>
      </c>
      <c r="J155" s="58">
        <f t="shared" si="28"/>
        <v>46752</v>
      </c>
      <c r="K155" s="58">
        <f t="shared" si="28"/>
        <v>47118</v>
      </c>
      <c r="L155" s="58">
        <f t="shared" si="28"/>
        <v>47483</v>
      </c>
      <c r="M155" s="50"/>
    </row>
    <row r="156" spans="1:19" ht="13.5" customHeight="1" outlineLevel="1">
      <c r="A156" s="125"/>
      <c r="M156" s="50"/>
    </row>
    <row r="157" spans="1:19" ht="13.5" customHeight="1" outlineLevel="1">
      <c r="A157" s="125"/>
      <c r="C157" s="146">
        <f>G11</f>
        <v>45657</v>
      </c>
      <c r="D157" s="169">
        <f>G67</f>
        <v>55.684984</v>
      </c>
      <c r="E157" s="170">
        <v>10</v>
      </c>
      <c r="F157" s="149">
        <f>-G20</f>
        <v>-1.1617642799999999</v>
      </c>
      <c r="G157" s="150">
        <f t="shared" ref="G157:G162" si="29">IFERROR(-D157/E157,"N/M")</f>
        <v>-5.5684984000000002</v>
      </c>
      <c r="H157" s="154">
        <f>-MIN(-$G157,$D157)</f>
        <v>-5.5684984000000002</v>
      </c>
      <c r="I157" s="154">
        <f>-MIN(-$H157,SUM($H157:H157,$D157))</f>
        <v>-5.5684984000000002</v>
      </c>
      <c r="J157" s="154">
        <f>-MIN(-$H157,SUM($H157:I157,$D157))</f>
        <v>-5.5684984000000002</v>
      </c>
      <c r="K157" s="154">
        <f>-MIN(-$H157,SUM($H157:J157,$D157))</f>
        <v>-5.5684984000000002</v>
      </c>
      <c r="L157" s="154">
        <f>-MIN(-$H157,SUM($H157:K157,$D157))</f>
        <v>-5.5684984000000002</v>
      </c>
      <c r="M157" s="50"/>
    </row>
    <row r="158" spans="1:19" ht="13.5" customHeight="1" outlineLevel="1">
      <c r="C158" s="146">
        <f>H155</f>
        <v>46022</v>
      </c>
      <c r="D158" s="169">
        <f>H36</f>
        <v>2.6089416062595356</v>
      </c>
      <c r="E158" s="170">
        <v>10</v>
      </c>
      <c r="F158" s="68"/>
      <c r="G158" s="150">
        <f t="shared" si="29"/>
        <v>-0.26089416062595355</v>
      </c>
      <c r="H158" s="154">
        <f>-MIN(-$G158,$D158)</f>
        <v>-0.26089416062595355</v>
      </c>
      <c r="I158" s="193">
        <f>-MIN(-$H158,SUM($H158:H158,$D158))</f>
        <v>-0.26089416062595355</v>
      </c>
      <c r="J158" s="193">
        <f>-MIN(-$H158,SUM($H158:I158,$D158))</f>
        <v>-0.26089416062595355</v>
      </c>
      <c r="K158" s="193">
        <f>-MIN(-$H158,SUM($H158:J158,$D158))</f>
        <v>-0.26089416062595355</v>
      </c>
      <c r="L158" s="193">
        <f>-MIN(-$H158,SUM($H158:K158,$D158))</f>
        <v>-0.26089416062595355</v>
      </c>
      <c r="M158" s="50"/>
    </row>
    <row r="159" spans="1:19" ht="13.5" customHeight="1" outlineLevel="1">
      <c r="C159" s="146">
        <f>I155</f>
        <v>46387</v>
      </c>
      <c r="D159" s="169">
        <f>I36</f>
        <v>3.0090322850545372</v>
      </c>
      <c r="E159" s="170">
        <v>10</v>
      </c>
      <c r="F159" s="68"/>
      <c r="G159" s="150">
        <f t="shared" si="29"/>
        <v>-0.3009032285054537</v>
      </c>
      <c r="H159" s="194"/>
      <c r="I159" s="154">
        <f>-MIN(-$G159,$D159)</f>
        <v>-0.3009032285054537</v>
      </c>
      <c r="J159" s="193">
        <f ca="1">-MIN(-$I159,SUM($I159:J159,$D159))</f>
        <v>-0.3009032285054537</v>
      </c>
      <c r="K159" s="193">
        <f ca="1">-MIN(-$I159,SUM($I159:K159,$D159))</f>
        <v>-0.3009032285054537</v>
      </c>
      <c r="L159" s="193">
        <f ca="1">-MIN(-$I159,SUM($I159:L159,$D159))</f>
        <v>-0.3009032285054537</v>
      </c>
      <c r="M159" s="50"/>
    </row>
    <row r="160" spans="1:19" ht="13.5" customHeight="1" outlineLevel="1">
      <c r="C160" s="146">
        <f>J155</f>
        <v>46752</v>
      </c>
      <c r="D160" s="169">
        <f>J36</f>
        <v>3.3802073552164953</v>
      </c>
      <c r="E160" s="170">
        <v>10</v>
      </c>
      <c r="F160" s="68"/>
      <c r="G160" s="150">
        <f t="shared" si="29"/>
        <v>-0.33802073552164952</v>
      </c>
      <c r="H160" s="194"/>
      <c r="I160" s="194"/>
      <c r="J160" s="154">
        <f>-MIN(-$G160,$D160)</f>
        <v>-0.33802073552164952</v>
      </c>
      <c r="K160" s="193">
        <f ca="1">-MIN(-$J160,SUM($J160:L160,$D160))</f>
        <v>-0.33802073552164952</v>
      </c>
      <c r="L160" s="193">
        <f ca="1">-MIN(-$J160,SUM($J160:M160,$D160))</f>
        <v>-0.33802073552164952</v>
      </c>
      <c r="M160" s="50"/>
    </row>
    <row r="161" spans="1:19" ht="13.5" customHeight="1" outlineLevel="1">
      <c r="C161" s="146">
        <f>K155</f>
        <v>47118</v>
      </c>
      <c r="D161" s="169">
        <f>K36</f>
        <v>3.6957619988438841</v>
      </c>
      <c r="E161" s="170">
        <v>10</v>
      </c>
      <c r="F161" s="68"/>
      <c r="G161" s="150">
        <f t="shared" si="29"/>
        <v>-0.36957619988438839</v>
      </c>
      <c r="H161" s="194"/>
      <c r="I161" s="194"/>
      <c r="J161" s="194"/>
      <c r="K161" s="154">
        <f>-MIN(-$G161,$D161)</f>
        <v>-0.36957619988438839</v>
      </c>
      <c r="L161" s="193">
        <f ca="1">-MIN(-$K161,SUM($K161:N161,$D161))</f>
        <v>-0.36957619988438839</v>
      </c>
      <c r="M161" s="50"/>
    </row>
    <row r="162" spans="1:19" ht="13.5" customHeight="1" outlineLevel="1">
      <c r="C162" s="146">
        <f>L155</f>
        <v>47483</v>
      </c>
      <c r="D162" s="169">
        <f>L36</f>
        <v>3.9299019555263603</v>
      </c>
      <c r="E162" s="170">
        <v>10</v>
      </c>
      <c r="F162" s="68"/>
      <c r="G162" s="150">
        <f t="shared" si="29"/>
        <v>-0.39299019555263603</v>
      </c>
      <c r="H162" s="194"/>
      <c r="I162" s="194"/>
      <c r="J162" s="194"/>
      <c r="K162" s="194"/>
      <c r="L162" s="154">
        <f>-MIN(-$G162,$D162)</f>
        <v>-0.39299019555263603</v>
      </c>
      <c r="M162" s="50"/>
    </row>
    <row r="163" spans="1:19" ht="13.5" customHeight="1" outlineLevel="1">
      <c r="C163" s="68"/>
      <c r="D163" s="155"/>
    </row>
    <row r="164" spans="1:19" ht="13.5" customHeight="1" outlineLevel="1">
      <c r="C164" s="39" t="s">
        <v>131</v>
      </c>
      <c r="H164" s="156">
        <f>-SUM(H157:H163)</f>
        <v>5.829392560625954</v>
      </c>
      <c r="I164" s="156">
        <f t="shared" ref="I164:L164" si="30">-SUM(I157:I163)</f>
        <v>6.1302957891314076</v>
      </c>
      <c r="J164" s="156">
        <f t="shared" ca="1" si="30"/>
        <v>6.4683165246530567</v>
      </c>
      <c r="K164" s="156">
        <f t="shared" ca="1" si="30"/>
        <v>6.8378927245374452</v>
      </c>
      <c r="L164" s="156">
        <f t="shared" ca="1" si="30"/>
        <v>7.2308829200900817</v>
      </c>
    </row>
    <row r="165" spans="1:19" ht="5.0999999999999996" customHeight="1" outlineLevel="1" thickBot="1">
      <c r="C165" s="157"/>
      <c r="D165" s="157"/>
      <c r="E165" s="157"/>
      <c r="F165" s="83"/>
      <c r="G165" s="83"/>
      <c r="H165" s="83"/>
      <c r="I165" s="83"/>
      <c r="J165" s="83"/>
      <c r="K165" s="83"/>
      <c r="L165" s="83"/>
    </row>
    <row r="166" spans="1:19" ht="13.5" customHeight="1" outlineLevel="1"/>
    <row r="167" spans="1:19" ht="19.5" customHeight="1">
      <c r="A167" s="82"/>
      <c r="B167" s="82"/>
      <c r="C167" s="121"/>
      <c r="D167" s="82"/>
      <c r="E167" s="82"/>
      <c r="F167" s="82"/>
      <c r="G167" s="82"/>
      <c r="H167" s="82"/>
      <c r="I167" s="82"/>
      <c r="J167" s="82"/>
      <c r="K167" s="82"/>
      <c r="L167" s="82"/>
      <c r="M167" s="82"/>
      <c r="N167" s="82"/>
      <c r="O167" s="82"/>
      <c r="P167" s="82"/>
      <c r="Q167" s="82"/>
      <c r="R167" s="82"/>
      <c r="S167" s="82"/>
    </row>
    <row r="168" spans="1:19" ht="19.5" customHeight="1">
      <c r="A168" s="82"/>
      <c r="B168" s="82"/>
      <c r="C168" s="121"/>
      <c r="D168" s="82"/>
      <c r="E168" s="82"/>
      <c r="F168" s="82"/>
      <c r="G168" s="82"/>
      <c r="H168" s="82"/>
      <c r="I168" s="82"/>
      <c r="J168" s="82"/>
      <c r="K168" s="82"/>
      <c r="L168" s="82"/>
      <c r="M168" s="82"/>
      <c r="N168" s="82"/>
      <c r="O168" s="82"/>
      <c r="P168" s="82"/>
      <c r="Q168" s="82"/>
      <c r="R168" s="82"/>
      <c r="S168" s="82"/>
    </row>
    <row r="169" spans="1:19" ht="5.0999999999999996" customHeight="1">
      <c r="A169" s="82"/>
      <c r="B169" s="82"/>
      <c r="C169" s="82"/>
      <c r="D169" s="82"/>
      <c r="E169" s="82"/>
      <c r="F169" s="82"/>
      <c r="G169" s="82"/>
      <c r="H169" s="82"/>
      <c r="I169" s="82"/>
      <c r="J169" s="82"/>
      <c r="K169" s="82"/>
      <c r="L169" s="82"/>
      <c r="M169" s="82"/>
      <c r="N169" s="82"/>
      <c r="O169" s="82"/>
      <c r="P169" s="82"/>
      <c r="Q169" s="82"/>
      <c r="R169" s="82"/>
      <c r="S169" s="82"/>
    </row>
    <row r="170" spans="1:19" ht="13.5" customHeight="1">
      <c r="A170" s="82"/>
      <c r="B170" s="82"/>
      <c r="C170" s="123"/>
      <c r="D170" s="82"/>
      <c r="E170" s="82"/>
      <c r="F170" s="82"/>
      <c r="G170" s="82"/>
      <c r="H170" s="82"/>
      <c r="I170" s="82"/>
      <c r="J170" s="82"/>
      <c r="K170" s="82"/>
      <c r="L170" s="82"/>
      <c r="M170" s="82"/>
      <c r="N170" s="82"/>
      <c r="O170" s="82"/>
      <c r="P170" s="82"/>
      <c r="Q170" s="82"/>
      <c r="R170" s="82"/>
      <c r="S170" s="82"/>
    </row>
    <row r="171" spans="1:19" ht="13.5" customHeight="1">
      <c r="A171" s="82"/>
      <c r="B171" s="82"/>
      <c r="C171" s="82"/>
      <c r="D171" s="82"/>
      <c r="E171" s="82"/>
      <c r="F171" s="124"/>
      <c r="G171" s="124"/>
      <c r="H171" s="82"/>
      <c r="I171" s="82"/>
      <c r="J171" s="82"/>
      <c r="K171" s="82"/>
      <c r="L171" s="82"/>
      <c r="M171" s="82"/>
      <c r="N171" s="82"/>
      <c r="O171" s="82"/>
      <c r="P171" s="82"/>
      <c r="Q171" s="82"/>
      <c r="R171" s="82"/>
      <c r="S171" s="82"/>
    </row>
    <row r="172" spans="1:19" ht="13.5" customHeight="1">
      <c r="A172" s="82"/>
      <c r="B172" s="82"/>
      <c r="C172" s="82"/>
      <c r="D172" s="82"/>
      <c r="E172" s="82"/>
      <c r="F172" s="124"/>
      <c r="G172" s="124"/>
      <c r="H172" s="82"/>
      <c r="I172" s="82"/>
      <c r="J172" s="82"/>
      <c r="K172" s="82"/>
      <c r="L172" s="82"/>
      <c r="M172" s="82"/>
      <c r="N172" s="82"/>
      <c r="O172" s="82"/>
      <c r="P172" s="82"/>
      <c r="Q172" s="82"/>
      <c r="R172" s="82"/>
      <c r="S172" s="82"/>
    </row>
    <row r="173" spans="1:19" ht="13.5" customHeight="1">
      <c r="A173" s="82"/>
      <c r="B173" s="82"/>
      <c r="C173" s="82"/>
      <c r="D173" s="82"/>
      <c r="E173" s="82"/>
      <c r="F173" s="124"/>
      <c r="G173" s="124"/>
      <c r="H173" s="82"/>
      <c r="I173" s="82"/>
      <c r="J173" s="82"/>
      <c r="K173" s="82"/>
      <c r="L173" s="82"/>
      <c r="M173" s="82"/>
      <c r="N173" s="82"/>
      <c r="O173" s="82"/>
      <c r="P173" s="82"/>
      <c r="Q173" s="82"/>
      <c r="R173" s="82"/>
      <c r="S173" s="82"/>
    </row>
    <row r="174" spans="1:19" ht="13.5" customHeight="1">
      <c r="A174" s="82"/>
      <c r="B174" s="82"/>
      <c r="C174" s="82"/>
      <c r="D174" s="82"/>
      <c r="E174" s="82"/>
      <c r="F174" s="124"/>
      <c r="G174" s="124"/>
      <c r="H174" s="82"/>
      <c r="I174" s="82"/>
      <c r="J174" s="82"/>
      <c r="K174" s="82"/>
      <c r="L174" s="82"/>
      <c r="M174" s="82"/>
      <c r="N174" s="82"/>
      <c r="O174" s="82"/>
      <c r="P174" s="82"/>
      <c r="Q174" s="82"/>
      <c r="R174" s="82"/>
      <c r="S174" s="82"/>
    </row>
    <row r="175" spans="1:19" ht="13.5" customHeight="1">
      <c r="A175" s="82"/>
      <c r="B175" s="82"/>
      <c r="C175" s="82"/>
      <c r="D175" s="82"/>
      <c r="E175" s="82"/>
      <c r="F175" s="82"/>
      <c r="G175" s="82"/>
      <c r="H175" s="82"/>
      <c r="I175" s="82"/>
      <c r="J175" s="82"/>
      <c r="K175" s="82"/>
      <c r="L175" s="82"/>
      <c r="M175" s="82"/>
      <c r="N175" s="82"/>
      <c r="O175" s="82"/>
      <c r="P175" s="82"/>
      <c r="Q175" s="82"/>
      <c r="R175" s="82"/>
      <c r="S175" s="82"/>
    </row>
    <row r="176" spans="1:19" ht="13.5" customHeight="1">
      <c r="A176" s="82"/>
      <c r="B176" s="82"/>
      <c r="C176" s="123"/>
      <c r="D176" s="82"/>
      <c r="E176" s="82"/>
      <c r="F176" s="82"/>
      <c r="G176" s="82"/>
      <c r="H176" s="82"/>
      <c r="I176" s="82"/>
      <c r="J176" s="82"/>
      <c r="K176" s="82"/>
      <c r="L176" s="82"/>
      <c r="M176" s="82"/>
      <c r="N176" s="82"/>
      <c r="O176" s="82"/>
      <c r="P176" s="82"/>
      <c r="Q176" s="82"/>
      <c r="R176" s="82"/>
      <c r="S176" s="82"/>
    </row>
    <row r="177" spans="1:19" ht="13.5" customHeight="1">
      <c r="A177" s="82"/>
      <c r="B177" s="82"/>
      <c r="C177" s="82"/>
      <c r="D177" s="82"/>
      <c r="E177" s="82"/>
      <c r="F177" s="124"/>
      <c r="G177" s="124"/>
      <c r="H177" s="82"/>
      <c r="I177" s="82"/>
      <c r="J177" s="82"/>
      <c r="K177" s="82"/>
      <c r="L177" s="82"/>
      <c r="M177" s="82"/>
      <c r="N177" s="82"/>
      <c r="O177" s="82"/>
      <c r="P177" s="82"/>
      <c r="Q177" s="82"/>
      <c r="R177" s="82"/>
      <c r="S177" s="82"/>
    </row>
    <row r="178" spans="1:19" ht="13.5" customHeight="1">
      <c r="A178" s="82"/>
      <c r="B178" s="82"/>
      <c r="C178" s="82"/>
      <c r="D178" s="82"/>
      <c r="E178" s="82"/>
      <c r="F178" s="124"/>
      <c r="G178" s="124"/>
      <c r="H178" s="82"/>
      <c r="I178" s="82"/>
      <c r="J178" s="82"/>
      <c r="K178" s="82"/>
      <c r="L178" s="82"/>
      <c r="M178" s="82"/>
      <c r="N178" s="82"/>
      <c r="O178" s="82"/>
      <c r="P178" s="82"/>
      <c r="Q178" s="82"/>
      <c r="R178" s="82"/>
      <c r="S178" s="82"/>
    </row>
    <row r="179" spans="1:19" ht="13.5" customHeight="1">
      <c r="A179" s="82"/>
      <c r="B179" s="82"/>
      <c r="C179" s="82"/>
      <c r="D179" s="82"/>
      <c r="E179" s="82"/>
      <c r="F179" s="124"/>
      <c r="G179" s="124"/>
      <c r="H179" s="82"/>
      <c r="I179" s="82"/>
      <c r="J179" s="82"/>
      <c r="K179" s="82"/>
      <c r="L179" s="82"/>
      <c r="M179" s="82"/>
      <c r="N179" s="82"/>
      <c r="O179" s="82"/>
      <c r="P179" s="82"/>
      <c r="Q179" s="82"/>
      <c r="R179" s="82"/>
      <c r="S179" s="82"/>
    </row>
    <row r="180" spans="1:19" ht="13.5" customHeight="1">
      <c r="A180" s="82"/>
      <c r="B180" s="82"/>
      <c r="C180" s="82"/>
      <c r="D180" s="82"/>
      <c r="E180" s="82"/>
      <c r="F180" s="124"/>
      <c r="G180" s="124"/>
      <c r="H180" s="82"/>
      <c r="I180" s="82"/>
      <c r="J180" s="82"/>
      <c r="K180" s="82"/>
      <c r="L180" s="82"/>
      <c r="M180" s="82"/>
      <c r="N180" s="82"/>
      <c r="O180" s="82"/>
      <c r="P180" s="82"/>
      <c r="Q180" s="82"/>
      <c r="R180" s="82"/>
      <c r="S180" s="82"/>
    </row>
    <row r="181" spans="1:19" ht="5.0999999999999996" customHeight="1">
      <c r="A181" s="82"/>
      <c r="B181" s="82"/>
      <c r="C181" s="82"/>
      <c r="D181" s="82"/>
      <c r="E181" s="82"/>
      <c r="F181" s="82"/>
      <c r="G181" s="82"/>
      <c r="H181" s="82"/>
      <c r="I181" s="82"/>
      <c r="J181" s="82"/>
      <c r="K181" s="82"/>
      <c r="L181" s="82"/>
      <c r="M181" s="82"/>
      <c r="N181" s="82"/>
      <c r="O181" s="82"/>
      <c r="P181" s="82"/>
      <c r="Q181" s="82"/>
      <c r="R181" s="82"/>
      <c r="S181" s="82"/>
    </row>
    <row r="182" spans="1:19" ht="13.5" customHeight="1">
      <c r="A182" s="82"/>
      <c r="B182" s="82"/>
      <c r="C182" s="82"/>
      <c r="D182" s="82"/>
      <c r="E182" s="82"/>
      <c r="F182" s="124"/>
      <c r="G182" s="124"/>
      <c r="H182" s="82"/>
      <c r="I182" s="82"/>
      <c r="J182" s="82"/>
      <c r="K182" s="82"/>
      <c r="L182" s="82"/>
      <c r="M182" s="82"/>
      <c r="N182" s="82"/>
      <c r="O182" s="82"/>
      <c r="P182" s="82"/>
      <c r="Q182" s="82"/>
      <c r="R182" s="82"/>
      <c r="S182" s="82"/>
    </row>
    <row r="183" spans="1:19" ht="13.5" customHeight="1">
      <c r="A183" s="82"/>
      <c r="B183" s="82"/>
      <c r="C183" s="82"/>
      <c r="D183" s="82"/>
      <c r="E183" s="82"/>
      <c r="F183" s="124"/>
      <c r="G183" s="124"/>
      <c r="H183" s="82"/>
      <c r="I183" s="82"/>
      <c r="J183" s="82"/>
      <c r="K183" s="82"/>
      <c r="L183" s="82"/>
      <c r="M183" s="82"/>
      <c r="N183" s="82"/>
      <c r="O183" s="82"/>
      <c r="P183" s="82"/>
      <c r="Q183" s="82"/>
      <c r="R183" s="82"/>
      <c r="S183" s="82"/>
    </row>
    <row r="184" spans="1:19" ht="13.5" customHeight="1">
      <c r="A184" s="82"/>
      <c r="B184" s="82"/>
      <c r="C184" s="82"/>
      <c r="D184" s="82"/>
      <c r="E184" s="82"/>
      <c r="F184" s="82"/>
      <c r="G184" s="82"/>
      <c r="H184" s="82"/>
      <c r="I184" s="82"/>
      <c r="J184" s="82"/>
      <c r="K184" s="82"/>
      <c r="L184" s="82"/>
      <c r="M184" s="82"/>
      <c r="N184" s="82"/>
      <c r="O184" s="82"/>
      <c r="P184" s="82"/>
      <c r="Q184" s="82"/>
      <c r="R184" s="82"/>
      <c r="S184" s="82"/>
    </row>
    <row r="185" spans="1:19" ht="13.5" customHeight="1">
      <c r="F185" s="124"/>
      <c r="G185" s="124"/>
    </row>
  </sheetData>
  <pageMargins left="0.25" right="0.25" top="0.75" bottom="0.75" header="0.3" footer="0.3"/>
  <pageSetup scale="47" orientation="landscape" r:id="rId1"/>
  <headerFooter alignWithMargins="0">
    <oddHeader>&amp;A</oddHeader>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E7ED9-032A-4366-B98A-E9770D8BD79A}">
  <sheetPr>
    <tabColor rgb="FF416D89"/>
    <outlinePr summaryBelow="0"/>
    <pageSetUpPr fitToPage="1"/>
  </sheetPr>
  <dimension ref="A1:S18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145</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3"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3"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3"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H164</f>
        <v>5.829392560625954</v>
      </c>
      <c r="I20" s="149">
        <f t="shared" ref="I20:L20" si="6">I164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163"/>
      <c r="I60" s="163"/>
      <c r="J60" s="163"/>
      <c r="K60" s="163"/>
      <c r="L60" s="163"/>
      <c r="M60" s="50"/>
    </row>
    <row r="61" spans="1:13" ht="13.5" customHeight="1" outlineLevel="1">
      <c r="A61" s="164"/>
      <c r="C61" s="91" t="s">
        <v>146</v>
      </c>
      <c r="F61" s="96">
        <f>SUM('Financials from CIP'!D47:D48)/1000</f>
        <v>16.781419000000003</v>
      </c>
      <c r="G61" s="96">
        <f>SUM('Financials from CIP'!E47:E48)/1000</f>
        <v>22.284721999999999</v>
      </c>
      <c r="H61" s="129">
        <f>H100</f>
        <v>24.012610811683217</v>
      </c>
      <c r="I61" s="129">
        <f t="shared" ref="I61:L61" si="17">I100</f>
        <v>27.695031965240773</v>
      </c>
      <c r="J61" s="129">
        <f t="shared" si="17"/>
        <v>31.111314829301037</v>
      </c>
      <c r="K61" s="129">
        <f t="shared" si="17"/>
        <v>34.015669157916122</v>
      </c>
      <c r="L61" s="129">
        <f t="shared" si="17"/>
        <v>36.170685445667161</v>
      </c>
      <c r="M61" s="50" t="s">
        <v>147</v>
      </c>
    </row>
    <row r="62" spans="1:13" ht="13.5" customHeight="1" outlineLevel="1">
      <c r="A62" s="164"/>
      <c r="C62" s="91" t="s">
        <v>31</v>
      </c>
      <c r="F62" s="96">
        <f>'Financials from CIP'!D49/1000</f>
        <v>0.80490099999999998</v>
      </c>
      <c r="G62" s="96">
        <f>'Financials from CIP'!E49/1000</f>
        <v>1.161057</v>
      </c>
      <c r="H62" s="129">
        <f t="shared" ref="H62:L63" si="18">H101</f>
        <v>1.2029011201180084</v>
      </c>
      <c r="I62" s="129">
        <f t="shared" si="18"/>
        <v>1.3873703794209342</v>
      </c>
      <c r="J62" s="129">
        <f t="shared" si="18"/>
        <v>1.558507558799139</v>
      </c>
      <c r="K62" s="129">
        <f t="shared" si="18"/>
        <v>1.7039999045715051</v>
      </c>
      <c r="L62" s="129">
        <f t="shared" si="18"/>
        <v>1.8119544925477122</v>
      </c>
      <c r="M62" s="50" t="s">
        <v>147</v>
      </c>
    </row>
    <row r="63" spans="1:13" ht="13.5" customHeight="1" outlineLevel="1">
      <c r="A63" s="164"/>
      <c r="C63" s="91" t="s">
        <v>84</v>
      </c>
      <c r="F63" s="96">
        <f>'Financials from CIP'!D50/1000</f>
        <v>0.26978399999999997</v>
      </c>
      <c r="G63" s="96">
        <f>'Financials from CIP'!E50/1000</f>
        <v>0.34491899999999998</v>
      </c>
      <c r="H63" s="129">
        <f t="shared" si="18"/>
        <v>0.3792215684283346</v>
      </c>
      <c r="I63" s="129">
        <f t="shared" si="18"/>
        <v>0.43737657441320382</v>
      </c>
      <c r="J63" s="129">
        <f t="shared" si="18"/>
        <v>0.49132856472628733</v>
      </c>
      <c r="K63" s="129">
        <f t="shared" si="18"/>
        <v>0.53719587221761422</v>
      </c>
      <c r="L63" s="129">
        <f t="shared" si="18"/>
        <v>0.57122918342390505</v>
      </c>
      <c r="M63" s="50" t="s">
        <v>147</v>
      </c>
    </row>
    <row r="64" spans="1:13" ht="13.5" customHeight="1" outlineLevel="1">
      <c r="A64" s="82"/>
      <c r="C64" s="76" t="s">
        <v>33</v>
      </c>
      <c r="D64" s="77"/>
      <c r="E64" s="77"/>
      <c r="F64" s="93">
        <f>SUM(F60:F63)</f>
        <v>24.961756000000005</v>
      </c>
      <c r="G64" s="93">
        <f>SUM(G60:G63)</f>
        <v>26.74869</v>
      </c>
      <c r="H64" s="93">
        <f t="shared" ref="H64:L64" si="19">SUM(H60:H63)</f>
        <v>25.594733500229559</v>
      </c>
      <c r="I64" s="93">
        <f t="shared" si="19"/>
        <v>29.519778919074909</v>
      </c>
      <c r="J64" s="93">
        <f t="shared" si="19"/>
        <v>33.161150952826461</v>
      </c>
      <c r="K64" s="93">
        <f t="shared" si="19"/>
        <v>36.256864934705241</v>
      </c>
      <c r="L64" s="93">
        <f t="shared" si="19"/>
        <v>38.553869121638776</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20">SUM(H64,H67:H69)</f>
        <v>82.32568454586314</v>
      </c>
      <c r="I70" s="102">
        <f t="shared" si="20"/>
        <v>82.891514460631612</v>
      </c>
      <c r="J70" s="102">
        <f t="shared" ca="1" si="20"/>
        <v>83.206825324946607</v>
      </c>
      <c r="K70" s="102">
        <f t="shared" ca="1" si="20"/>
        <v>82.922456581131812</v>
      </c>
      <c r="L70" s="102">
        <f t="shared" ca="1" si="20"/>
        <v>81.680527803501633</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164"/>
      <c r="C73" s="59"/>
      <c r="D73" s="59"/>
      <c r="E73" s="59"/>
      <c r="F73" s="60"/>
      <c r="G73" s="60"/>
      <c r="H73" s="60"/>
      <c r="I73" s="60"/>
      <c r="J73" s="60"/>
      <c r="K73" s="60"/>
    </row>
    <row r="74" spans="1:13" ht="13.5" customHeight="1" outlineLevel="1">
      <c r="A74" s="164"/>
      <c r="C74" s="91" t="s">
        <v>37</v>
      </c>
      <c r="D74" s="95"/>
      <c r="E74" s="95"/>
      <c r="F74" s="96">
        <f>'Financials from CIP'!D58/1000</f>
        <v>2.8058170000000002</v>
      </c>
      <c r="G74" s="96">
        <f>'Financials from CIP'!E58/1000</f>
        <v>2.3607100000000001</v>
      </c>
      <c r="H74" s="129">
        <f>H105</f>
        <v>3.2375302691281114</v>
      </c>
      <c r="I74" s="129">
        <f t="shared" ref="I74:L74" si="21">I105</f>
        <v>3.7340173042871405</v>
      </c>
      <c r="J74" s="129">
        <f t="shared" si="21"/>
        <v>4.1946219118843056</v>
      </c>
      <c r="K74" s="129">
        <f t="shared" si="21"/>
        <v>4.5862051147649199</v>
      </c>
      <c r="L74" s="129">
        <f t="shared" si="21"/>
        <v>4.8767578795922875</v>
      </c>
      <c r="M74" s="50" t="s">
        <v>147</v>
      </c>
    </row>
    <row r="75" spans="1:13" ht="13.5" customHeight="1" outlineLevel="1">
      <c r="A75" s="164"/>
      <c r="C75" s="91" t="s">
        <v>38</v>
      </c>
      <c r="D75" s="95"/>
      <c r="E75" s="95"/>
      <c r="F75" s="96">
        <f>'Financials from CIP'!D59/1000</f>
        <v>2.3839329999999999</v>
      </c>
      <c r="G75" s="96">
        <f>'Financials from CIP'!E59/1000</f>
        <v>2.7880379999999998</v>
      </c>
      <c r="H75" s="129">
        <f t="shared" ref="H75:L76" si="22">H106</f>
        <v>3.1966854452582232</v>
      </c>
      <c r="I75" s="129">
        <f t="shared" si="22"/>
        <v>3.6869087782063024</v>
      </c>
      <c r="J75" s="129">
        <f t="shared" si="22"/>
        <v>4.1417023778724023</v>
      </c>
      <c r="K75" s="129">
        <f t="shared" si="22"/>
        <v>4.5283453498910609</v>
      </c>
      <c r="L75" s="129">
        <f t="shared" si="22"/>
        <v>4.8152324882940372</v>
      </c>
      <c r="M75" s="50" t="s">
        <v>147</v>
      </c>
    </row>
    <row r="76" spans="1:13" ht="13.5" customHeight="1" outlineLevel="1">
      <c r="A76" s="164"/>
      <c r="C76" s="91" t="s">
        <v>39</v>
      </c>
      <c r="D76" s="95"/>
      <c r="E76" s="95"/>
      <c r="F76" s="96">
        <f>'Financials from CIP'!D60/1000</f>
        <v>2.0579079999999998</v>
      </c>
      <c r="G76" s="96">
        <f>'Financials from CIP'!E60/1000</f>
        <v>3.2020309999999998</v>
      </c>
      <c r="H76" s="129">
        <f t="shared" si="22"/>
        <v>3.2317636858846019</v>
      </c>
      <c r="I76" s="129">
        <f t="shared" si="22"/>
        <v>3.727366394541769</v>
      </c>
      <c r="J76" s="129">
        <f t="shared" si="22"/>
        <v>4.1871505882458564</v>
      </c>
      <c r="K76" s="129">
        <f t="shared" si="22"/>
        <v>4.5780363159066395</v>
      </c>
      <c r="L76" s="129">
        <f t="shared" si="22"/>
        <v>4.8680715576328382</v>
      </c>
      <c r="M76" s="50" t="s">
        <v>147</v>
      </c>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3"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3" ht="13.5" customHeight="1" outlineLevel="1">
      <c r="A82" s="82"/>
      <c r="C82" s="76" t="s">
        <v>92</v>
      </c>
      <c r="D82" s="77"/>
      <c r="E82" s="77"/>
      <c r="F82" s="93">
        <f>SUM(F78:F81)</f>
        <v>20.226886000000004</v>
      </c>
      <c r="G82" s="93">
        <f>SUM(G78:G81)</f>
        <v>13.388756000000001</v>
      </c>
      <c r="H82" s="93">
        <f t="shared" ref="H82:L82" si="24">SUM(H78:H81)</f>
        <v>0</v>
      </c>
      <c r="I82" s="93">
        <f t="shared" si="24"/>
        <v>0</v>
      </c>
      <c r="J82" s="93">
        <f t="shared" si="24"/>
        <v>0</v>
      </c>
      <c r="K82" s="93">
        <f t="shared" si="24"/>
        <v>0</v>
      </c>
      <c r="L82" s="93">
        <f t="shared" si="24"/>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5">SUM(H77,H82:H83)</f>
        <v>10.095867400270937</v>
      </c>
      <c r="I84" s="93">
        <f t="shared" si="25"/>
        <v>11.578180477035213</v>
      </c>
      <c r="J84" s="93">
        <f t="shared" si="25"/>
        <v>12.953362878002563</v>
      </c>
      <c r="K84" s="93">
        <f t="shared" si="25"/>
        <v>14.122474780562621</v>
      </c>
      <c r="L84" s="93">
        <f t="shared" si="25"/>
        <v>14.989949925519163</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6">SUM(H84:H86)</f>
        <v>81.942860383908922</v>
      </c>
      <c r="I87" s="105">
        <f t="shared" si="26"/>
        <v>92.022488268380954</v>
      </c>
      <c r="J87" s="105">
        <f t="shared" ca="1" si="26"/>
        <v>103.36362103777482</v>
      </c>
      <c r="K87" s="105">
        <f t="shared" ca="1" si="26"/>
        <v>115.60562865132215</v>
      </c>
      <c r="L87" s="105">
        <f t="shared" ca="1" si="26"/>
        <v>128.28557556185402</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si="27"/>
        <v>-0.38282416195421831</v>
      </c>
      <c r="I89" s="178">
        <f t="shared" si="27"/>
        <v>9.1309738077493421</v>
      </c>
      <c r="J89" s="178">
        <f t="shared" ca="1" si="27"/>
        <v>20.156795712828213</v>
      </c>
      <c r="K89" s="178">
        <f t="shared" ca="1" si="27"/>
        <v>32.683172070190338</v>
      </c>
      <c r="L89" s="178">
        <f t="shared" ca="1" si="27"/>
        <v>46.605047758352384</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A92" s="125"/>
      <c r="C92" s="118"/>
      <c r="D92" s="118"/>
      <c r="E92" s="118"/>
      <c r="M92" s="50"/>
    </row>
    <row r="93" spans="1:13" ht="21.75" thickTop="1">
      <c r="A93" s="125"/>
      <c r="B93" s="46" t="s">
        <v>61</v>
      </c>
      <c r="C93" s="47" t="s">
        <v>148</v>
      </c>
      <c r="D93" s="48"/>
      <c r="E93" s="49"/>
      <c r="F93" s="49"/>
      <c r="G93" s="49"/>
      <c r="H93" s="49"/>
      <c r="I93" s="49"/>
      <c r="J93" s="49"/>
      <c r="K93" s="49"/>
      <c r="L93" s="49"/>
    </row>
    <row r="94" spans="1:13" ht="5.0999999999999996" customHeight="1" outlineLevel="1">
      <c r="A94" s="125"/>
      <c r="C94" s="51"/>
      <c r="D94" s="52"/>
    </row>
    <row r="95" spans="1:13" ht="13.5" customHeight="1" outlineLevel="1">
      <c r="A95" s="125"/>
      <c r="C95" s="53"/>
      <c r="D95" s="53"/>
      <c r="E95" s="53"/>
      <c r="F95" s="54" t="s">
        <v>63</v>
      </c>
      <c r="G95" s="54" t="s">
        <v>63</v>
      </c>
      <c r="H95" s="55" t="s">
        <v>64</v>
      </c>
      <c r="I95" s="55"/>
      <c r="J95" s="55"/>
      <c r="K95" s="55"/>
      <c r="L95" s="55"/>
    </row>
    <row r="96" spans="1:13" ht="13.5" customHeight="1" outlineLevel="1" thickBot="1">
      <c r="A96" s="125"/>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A97" s="125"/>
      <c r="C97" s="59"/>
      <c r="D97" s="59"/>
      <c r="E97" s="59"/>
      <c r="F97" s="60"/>
      <c r="G97" s="60"/>
      <c r="H97" s="60"/>
      <c r="I97" s="60"/>
      <c r="J97" s="60"/>
      <c r="K97" s="60"/>
    </row>
    <row r="98" spans="1:13" ht="13.5" customHeight="1" outlineLevel="1">
      <c r="A98" s="125"/>
      <c r="C98" s="84" t="s">
        <v>51</v>
      </c>
      <c r="D98" s="85"/>
      <c r="E98" s="86"/>
      <c r="F98" s="86"/>
      <c r="G98" s="86"/>
      <c r="H98" s="86"/>
      <c r="I98" s="86"/>
      <c r="J98" s="86"/>
      <c r="K98" s="86"/>
      <c r="L98" s="87"/>
    </row>
    <row r="99" spans="1:13" ht="13.5" customHeight="1" outlineLevel="1">
      <c r="A99" s="125"/>
      <c r="C99" s="118"/>
      <c r="D99" s="118"/>
      <c r="E99" s="118"/>
    </row>
    <row r="100" spans="1:13" ht="13.5" customHeight="1" outlineLevel="1">
      <c r="A100" s="125"/>
      <c r="C100" s="91" t="str">
        <f>C61</f>
        <v>Accounts Receivable, Net</v>
      </c>
      <c r="D100" s="68"/>
      <c r="E100" s="68"/>
      <c r="F100" s="165">
        <f>F61</f>
        <v>16.781419000000003</v>
      </c>
      <c r="G100" s="165">
        <f>G61</f>
        <v>22.284721999999999</v>
      </c>
      <c r="H100" s="165">
        <f>(H115/365)*H119</f>
        <v>24.012610811683217</v>
      </c>
      <c r="I100" s="165">
        <f>(I115/365)*I119</f>
        <v>27.695031965240773</v>
      </c>
      <c r="J100" s="165">
        <f>(J115/365)*J119</f>
        <v>31.111314829301037</v>
      </c>
      <c r="K100" s="165">
        <f>(K115/365)*K119</f>
        <v>34.015669157916122</v>
      </c>
      <c r="L100" s="165">
        <f>(L115/365)*L119</f>
        <v>36.170685445667161</v>
      </c>
      <c r="M100" s="50" t="s">
        <v>149</v>
      </c>
    </row>
    <row r="101" spans="1:13" ht="13.5" customHeight="1" outlineLevel="1">
      <c r="A101" s="125"/>
      <c r="C101" s="91" t="str">
        <f>C62</f>
        <v>Inventory</v>
      </c>
      <c r="D101" s="68"/>
      <c r="E101" s="68"/>
      <c r="F101" s="165">
        <f t="shared" ref="F101:G102" si="29">F62</f>
        <v>0.80490099999999998</v>
      </c>
      <c r="G101" s="165">
        <f t="shared" si="29"/>
        <v>1.161057</v>
      </c>
      <c r="H101" s="165">
        <f>(H116/365)*H120</f>
        <v>1.2029011201180084</v>
      </c>
      <c r="I101" s="165">
        <f t="shared" ref="I101:L101" si="30">(I116/365)*I120</f>
        <v>1.3873703794209342</v>
      </c>
      <c r="J101" s="165">
        <f t="shared" si="30"/>
        <v>1.558507558799139</v>
      </c>
      <c r="K101" s="165">
        <f t="shared" si="30"/>
        <v>1.7039999045715051</v>
      </c>
      <c r="L101" s="165">
        <f t="shared" si="30"/>
        <v>1.8119544925477122</v>
      </c>
      <c r="M101" s="50" t="s">
        <v>150</v>
      </c>
    </row>
    <row r="102" spans="1:13" ht="13.5" customHeight="1" outlineLevel="1">
      <c r="A102" s="125"/>
      <c r="C102" s="91" t="str">
        <f>C63</f>
        <v>Prepaids and Other Current Assets</v>
      </c>
      <c r="D102" s="68"/>
      <c r="E102" s="68"/>
      <c r="F102" s="165">
        <f t="shared" si="29"/>
        <v>0.26978399999999997</v>
      </c>
      <c r="G102" s="165">
        <f t="shared" si="29"/>
        <v>0.34491899999999998</v>
      </c>
      <c r="H102" s="165">
        <f>H121*H117</f>
        <v>0.3792215684283346</v>
      </c>
      <c r="I102" s="165">
        <f t="shared" ref="I102:L102" si="31">I121*I117</f>
        <v>0.43737657441320382</v>
      </c>
      <c r="J102" s="165">
        <f t="shared" si="31"/>
        <v>0.49132856472628733</v>
      </c>
      <c r="K102" s="165">
        <f t="shared" si="31"/>
        <v>0.53719587221761422</v>
      </c>
      <c r="L102" s="165">
        <f t="shared" si="31"/>
        <v>0.57122918342390505</v>
      </c>
      <c r="M102" s="50" t="s">
        <v>151</v>
      </c>
    </row>
    <row r="103" spans="1:13" ht="13.5" customHeight="1" outlineLevel="1">
      <c r="A103" s="125"/>
      <c r="C103" s="65" t="s">
        <v>152</v>
      </c>
      <c r="D103" s="65"/>
      <c r="E103" s="65"/>
      <c r="F103" s="179">
        <f t="shared" ref="F103:L103" si="32">SUM(F100:F102)</f>
        <v>17.856104000000006</v>
      </c>
      <c r="G103" s="179">
        <f t="shared" si="32"/>
        <v>23.790697999999999</v>
      </c>
      <c r="H103" s="179">
        <f t="shared" si="32"/>
        <v>25.594733500229559</v>
      </c>
      <c r="I103" s="179">
        <f t="shared" si="32"/>
        <v>29.519778919074909</v>
      </c>
      <c r="J103" s="179">
        <f t="shared" si="32"/>
        <v>33.161150952826461</v>
      </c>
      <c r="K103" s="179">
        <f t="shared" si="32"/>
        <v>36.256864934705241</v>
      </c>
      <c r="L103" s="179">
        <f t="shared" si="32"/>
        <v>38.553869121638776</v>
      </c>
    </row>
    <row r="104" spans="1:13" ht="6" customHeight="1" outlineLevel="1">
      <c r="A104" s="125"/>
      <c r="C104" s="68"/>
      <c r="D104" s="68"/>
      <c r="E104" s="68"/>
      <c r="F104" s="154"/>
      <c r="G104" s="154"/>
      <c r="H104" s="154"/>
      <c r="I104" s="154"/>
      <c r="J104" s="154"/>
      <c r="K104" s="154"/>
      <c r="L104" s="154"/>
    </row>
    <row r="105" spans="1:13" ht="13.5" customHeight="1" outlineLevel="1">
      <c r="A105" s="125"/>
      <c r="C105" s="91" t="str">
        <f>C74</f>
        <v>Accounts Payable</v>
      </c>
      <c r="D105" s="68"/>
      <c r="E105" s="68"/>
      <c r="F105" s="165">
        <f>F74</f>
        <v>2.8058170000000002</v>
      </c>
      <c r="G105" s="165">
        <f t="shared" ref="G105:G107" si="33">G74</f>
        <v>2.3607100000000001</v>
      </c>
      <c r="H105" s="165">
        <f>(H116/365)*H123</f>
        <v>3.2375302691281114</v>
      </c>
      <c r="I105" s="165">
        <f>(I116/365)*I123</f>
        <v>3.7340173042871405</v>
      </c>
      <c r="J105" s="165">
        <f>(J116/365)*J123</f>
        <v>4.1946219118843056</v>
      </c>
      <c r="K105" s="165">
        <f>(K116/365)*K123</f>
        <v>4.5862051147649199</v>
      </c>
      <c r="L105" s="165">
        <f>(L116/365)*L123</f>
        <v>4.8767578795922875</v>
      </c>
      <c r="M105" s="50" t="s">
        <v>153</v>
      </c>
    </row>
    <row r="106" spans="1:13" ht="13.5" customHeight="1" outlineLevel="1">
      <c r="A106" s="125"/>
      <c r="C106" s="91" t="str">
        <f>C75</f>
        <v>Wages Payable</v>
      </c>
      <c r="D106" s="68"/>
      <c r="E106" s="68"/>
      <c r="F106" s="165">
        <f t="shared" ref="F106:F107" si="34">F75</f>
        <v>2.3839329999999999</v>
      </c>
      <c r="G106" s="165">
        <f t="shared" si="33"/>
        <v>2.7880379999999998</v>
      </c>
      <c r="H106" s="165">
        <f>H124*H117</f>
        <v>3.1966854452582232</v>
      </c>
      <c r="I106" s="165">
        <f t="shared" ref="I106:L106" si="35">I124*I117</f>
        <v>3.6869087782063024</v>
      </c>
      <c r="J106" s="165">
        <f t="shared" si="35"/>
        <v>4.1417023778724023</v>
      </c>
      <c r="K106" s="165">
        <f t="shared" si="35"/>
        <v>4.5283453498910609</v>
      </c>
      <c r="L106" s="165">
        <f t="shared" si="35"/>
        <v>4.8152324882940372</v>
      </c>
      <c r="M106" s="50" t="s">
        <v>154</v>
      </c>
    </row>
    <row r="107" spans="1:13" ht="13.5" customHeight="1" outlineLevel="1">
      <c r="A107" s="125"/>
      <c r="C107" s="91" t="str">
        <f>C76</f>
        <v>Accrued Expenses &amp; Other</v>
      </c>
      <c r="D107" s="68"/>
      <c r="E107" s="68"/>
      <c r="F107" s="165">
        <f t="shared" si="34"/>
        <v>2.0579079999999998</v>
      </c>
      <c r="G107" s="165">
        <f t="shared" si="33"/>
        <v>3.2020309999999998</v>
      </c>
      <c r="H107" s="165">
        <f>H125*H117</f>
        <v>3.2317636858846019</v>
      </c>
      <c r="I107" s="165">
        <f t="shared" ref="I107:L107" si="36">I125*I117</f>
        <v>3.727366394541769</v>
      </c>
      <c r="J107" s="165">
        <f t="shared" si="36"/>
        <v>4.1871505882458564</v>
      </c>
      <c r="K107" s="165">
        <f t="shared" si="36"/>
        <v>4.5780363159066395</v>
      </c>
      <c r="L107" s="165">
        <f t="shared" si="36"/>
        <v>4.8680715576328382</v>
      </c>
      <c r="M107" s="50" t="s">
        <v>155</v>
      </c>
    </row>
    <row r="108" spans="1:13" ht="13.5" customHeight="1" outlineLevel="1">
      <c r="A108" s="125"/>
      <c r="C108" s="65" t="s">
        <v>156</v>
      </c>
      <c r="D108" s="65"/>
      <c r="E108" s="65"/>
      <c r="F108" s="179">
        <f t="shared" ref="F108:L108" si="37">SUM(F105:F107)</f>
        <v>7.2476579999999995</v>
      </c>
      <c r="G108" s="179">
        <f t="shared" si="37"/>
        <v>8.3507789999999993</v>
      </c>
      <c r="H108" s="179">
        <f t="shared" si="37"/>
        <v>9.6659794002709365</v>
      </c>
      <c r="I108" s="179">
        <f t="shared" si="37"/>
        <v>11.148292477035213</v>
      </c>
      <c r="J108" s="179">
        <f t="shared" si="37"/>
        <v>12.523474878002563</v>
      </c>
      <c r="K108" s="179">
        <f t="shared" si="37"/>
        <v>13.692586780562621</v>
      </c>
      <c r="L108" s="179">
        <f t="shared" si="37"/>
        <v>14.560061925519163</v>
      </c>
    </row>
    <row r="109" spans="1:13" ht="13.5" customHeight="1" outlineLevel="1">
      <c r="A109" s="125"/>
      <c r="C109" s="180" t="s">
        <v>157</v>
      </c>
      <c r="D109" s="180"/>
      <c r="E109" s="180"/>
      <c r="F109" s="181">
        <f t="shared" ref="F109:L109" si="38">F103-F108</f>
        <v>10.608446000000006</v>
      </c>
      <c r="G109" s="181">
        <f t="shared" si="38"/>
        <v>15.439919</v>
      </c>
      <c r="H109" s="181">
        <f t="shared" si="38"/>
        <v>15.928754099958622</v>
      </c>
      <c r="I109" s="181">
        <f t="shared" si="38"/>
        <v>18.371486442039696</v>
      </c>
      <c r="J109" s="181">
        <f t="shared" si="38"/>
        <v>20.637676074823897</v>
      </c>
      <c r="K109" s="181">
        <f t="shared" si="38"/>
        <v>22.56427815414262</v>
      </c>
      <c r="L109" s="181">
        <f t="shared" si="38"/>
        <v>23.993807196119612</v>
      </c>
    </row>
    <row r="110" spans="1:13" ht="13.5" customHeight="1" outlineLevel="1">
      <c r="A110" s="125"/>
      <c r="C110" s="39"/>
      <c r="D110" s="39"/>
      <c r="E110" s="39"/>
      <c r="F110" s="182"/>
      <c r="G110" s="182"/>
      <c r="H110" s="182"/>
      <c r="I110" s="182"/>
      <c r="J110" s="182"/>
      <c r="K110" s="182"/>
      <c r="L110" s="182"/>
    </row>
    <row r="111" spans="1:13" ht="13.5" customHeight="1" outlineLevel="1">
      <c r="A111" s="125"/>
      <c r="C111" s="39" t="s">
        <v>158</v>
      </c>
      <c r="D111" s="39"/>
      <c r="E111" s="39"/>
      <c r="F111" s="183"/>
      <c r="G111" s="183">
        <f t="shared" ref="G111:L111" si="39">G109-F109</f>
        <v>4.8314729999999937</v>
      </c>
      <c r="H111" s="183">
        <f t="shared" si="39"/>
        <v>0.48883509995862262</v>
      </c>
      <c r="I111" s="183">
        <f t="shared" si="39"/>
        <v>2.442732342081074</v>
      </c>
      <c r="J111" s="183">
        <f t="shared" si="39"/>
        <v>2.2661896327842008</v>
      </c>
      <c r="K111" s="183">
        <f t="shared" si="39"/>
        <v>1.9266020793187231</v>
      </c>
      <c r="L111" s="183">
        <f t="shared" si="39"/>
        <v>1.4295290419769913</v>
      </c>
      <c r="M111" s="50" t="s">
        <v>159</v>
      </c>
    </row>
    <row r="112" spans="1:13" ht="13.5" customHeight="1" outlineLevel="1">
      <c r="A112" s="125"/>
    </row>
    <row r="113" spans="1:17" ht="13.5" customHeight="1" outlineLevel="1">
      <c r="A113" s="125"/>
      <c r="C113" s="84" t="s">
        <v>160</v>
      </c>
      <c r="D113" s="85"/>
      <c r="E113" s="86"/>
      <c r="F113" s="86"/>
      <c r="G113" s="86"/>
      <c r="H113" s="86"/>
      <c r="I113" s="86"/>
      <c r="J113" s="86"/>
      <c r="K113" s="86"/>
      <c r="L113" s="87"/>
    </row>
    <row r="114" spans="1:17" ht="13.5" customHeight="1" outlineLevel="1">
      <c r="A114" s="125"/>
      <c r="C114" s="68"/>
      <c r="D114" s="68"/>
      <c r="E114" s="68"/>
      <c r="F114" s="68"/>
    </row>
    <row r="115" spans="1:17" ht="13.5" customHeight="1" outlineLevel="1">
      <c r="A115" s="125"/>
      <c r="C115" s="68" t="s">
        <v>161</v>
      </c>
      <c r="D115" s="68"/>
      <c r="E115" s="68"/>
      <c r="F115" s="184">
        <f t="shared" ref="F115:L116" si="40">F13</f>
        <v>78.565675999999996</v>
      </c>
      <c r="G115" s="184">
        <f t="shared" si="40"/>
        <v>90.614007999999998</v>
      </c>
      <c r="H115" s="184">
        <f t="shared" si="40"/>
        <v>104.5099955077592</v>
      </c>
      <c r="I115" s="184">
        <f t="shared" si="40"/>
        <v>120.53698321160066</v>
      </c>
      <c r="J115" s="184">
        <f t="shared" si="40"/>
        <v>135.4056582414087</v>
      </c>
      <c r="K115" s="184">
        <f t="shared" si="40"/>
        <v>148.04626863637753</v>
      </c>
      <c r="L115" s="184">
        <f t="shared" si="40"/>
        <v>157.42553790111026</v>
      </c>
      <c r="M115" s="50" t="s">
        <v>162</v>
      </c>
    </row>
    <row r="116" spans="1:17" ht="13.5" customHeight="1" outlineLevel="1">
      <c r="A116" s="125"/>
      <c r="C116" s="68" t="s">
        <v>66</v>
      </c>
      <c r="D116" s="68"/>
      <c r="E116" s="68"/>
      <c r="F116" s="165">
        <f>F14</f>
        <v>51.562188999999996</v>
      </c>
      <c r="G116" s="165">
        <f t="shared" si="40"/>
        <v>61.618676000000001</v>
      </c>
      <c r="H116" s="165">
        <f t="shared" si="40"/>
        <v>69.828708282059708</v>
      </c>
      <c r="I116" s="165">
        <f t="shared" si="40"/>
        <v>80.537194523728473</v>
      </c>
      <c r="J116" s="165">
        <f t="shared" si="40"/>
        <v>90.471750220079329</v>
      </c>
      <c r="K116" s="165">
        <f t="shared" si="40"/>
        <v>98.917616966977391</v>
      </c>
      <c r="L116" s="165">
        <f t="shared" si="40"/>
        <v>105.18440756632523</v>
      </c>
      <c r="M116" s="50" t="s">
        <v>162</v>
      </c>
    </row>
    <row r="117" spans="1:17" ht="13.5" customHeight="1" outlineLevel="1">
      <c r="A117" s="125"/>
      <c r="C117" s="68" t="s">
        <v>69</v>
      </c>
      <c r="D117" s="68"/>
      <c r="E117" s="68"/>
      <c r="F117" s="165">
        <f>F17</f>
        <v>14.179914999999999</v>
      </c>
      <c r="G117" s="165">
        <f t="shared" ref="G117:L117" si="41">G17</f>
        <v>15.4366889395</v>
      </c>
      <c r="H117" s="165">
        <f t="shared" si="41"/>
        <v>18.333216581804578</v>
      </c>
      <c r="I117" s="165">
        <f t="shared" si="41"/>
        <v>21.144681985672378</v>
      </c>
      <c r="J117" s="165">
        <f t="shared" si="41"/>
        <v>23.752955369300096</v>
      </c>
      <c r="K117" s="165">
        <f t="shared" si="41"/>
        <v>25.970380094765407</v>
      </c>
      <c r="L117" s="165">
        <f t="shared" si="41"/>
        <v>27.615698075825332</v>
      </c>
      <c r="M117" s="50" t="s">
        <v>162</v>
      </c>
    </row>
    <row r="118" spans="1:17" ht="13.5" customHeight="1" outlineLevel="1">
      <c r="A118" s="125"/>
      <c r="F118" s="82"/>
    </row>
    <row r="119" spans="1:17" ht="13.5" customHeight="1" outlineLevel="1">
      <c r="A119" s="125"/>
      <c r="C119" s="98" t="s">
        <v>163</v>
      </c>
      <c r="D119" s="68"/>
      <c r="F119" s="185">
        <f>F100/(F115/365)</f>
        <v>77.963027200326025</v>
      </c>
      <c r="G119" s="185">
        <f>G100/(G115/365)</f>
        <v>89.764526584013367</v>
      </c>
      <c r="H119" s="186">
        <f>AVERAGE(F119:G119)</f>
        <v>83.863776892169696</v>
      </c>
      <c r="I119" s="186">
        <f>H119</f>
        <v>83.863776892169696</v>
      </c>
      <c r="J119" s="186">
        <f t="shared" ref="J119:L119" si="42">I119</f>
        <v>83.863776892169696</v>
      </c>
      <c r="K119" s="186">
        <f t="shared" si="42"/>
        <v>83.863776892169696</v>
      </c>
      <c r="L119" s="186">
        <f t="shared" si="42"/>
        <v>83.863776892169696</v>
      </c>
      <c r="M119" s="50" t="s">
        <v>164</v>
      </c>
    </row>
    <row r="120" spans="1:17" ht="13.5" customHeight="1" outlineLevel="1">
      <c r="A120" s="125"/>
      <c r="C120" s="98" t="s">
        <v>165</v>
      </c>
      <c r="D120" s="68"/>
      <c r="F120" s="185">
        <f>F101/(F116/365)</f>
        <v>5.697757808536795</v>
      </c>
      <c r="G120" s="185">
        <f>G101/(G116/365)</f>
        <v>6.877554542067732</v>
      </c>
      <c r="H120" s="186">
        <f>AVERAGE(F120:G120)</f>
        <v>6.2876561753022635</v>
      </c>
      <c r="I120" s="186">
        <f>H120</f>
        <v>6.2876561753022635</v>
      </c>
      <c r="J120" s="186">
        <f>I120</f>
        <v>6.2876561753022635</v>
      </c>
      <c r="K120" s="186">
        <f>J120</f>
        <v>6.2876561753022635</v>
      </c>
      <c r="L120" s="186">
        <f>K120</f>
        <v>6.2876561753022635</v>
      </c>
      <c r="M120" s="50" t="s">
        <v>166</v>
      </c>
    </row>
    <row r="121" spans="1:17" ht="13.5" customHeight="1" outlineLevel="1">
      <c r="A121" s="125"/>
      <c r="C121" s="98" t="s">
        <v>167</v>
      </c>
      <c r="D121" s="68"/>
      <c r="F121" s="187">
        <f>F102/F117</f>
        <v>1.9025784005052216E-2</v>
      </c>
      <c r="G121" s="187">
        <f>G102/G117</f>
        <v>2.2344105096100488E-2</v>
      </c>
      <c r="H121" s="135">
        <f>AVERAGE(F121:G121)</f>
        <v>2.0684944550576352E-2</v>
      </c>
      <c r="I121" s="135">
        <f>H121</f>
        <v>2.0684944550576352E-2</v>
      </c>
      <c r="J121" s="135">
        <f t="shared" ref="J121:L121" si="43">I121</f>
        <v>2.0684944550576352E-2</v>
      </c>
      <c r="K121" s="135">
        <f t="shared" si="43"/>
        <v>2.0684944550576352E-2</v>
      </c>
      <c r="L121" s="135">
        <f t="shared" si="43"/>
        <v>2.0684944550576352E-2</v>
      </c>
      <c r="M121" s="50" t="s">
        <v>168</v>
      </c>
    </row>
    <row r="122" spans="1:17" ht="13.5" customHeight="1" outlineLevel="1">
      <c r="A122" s="125"/>
      <c r="C122" s="98"/>
      <c r="D122" s="68"/>
      <c r="F122" s="188"/>
      <c r="G122" s="188"/>
      <c r="H122" s="189"/>
      <c r="I122" s="189"/>
      <c r="J122" s="189"/>
      <c r="K122" s="189"/>
      <c r="L122" s="189"/>
      <c r="Q122" s="190"/>
    </row>
    <row r="123" spans="1:17" ht="13.5" customHeight="1" outlineLevel="1">
      <c r="A123" s="125"/>
      <c r="C123" s="98" t="s">
        <v>169</v>
      </c>
      <c r="D123" s="68"/>
      <c r="F123" s="185">
        <f>F105/(F116/365)</f>
        <v>19.861903167066863</v>
      </c>
      <c r="G123" s="185">
        <f>G105/(G116/365)</f>
        <v>13.983733600507742</v>
      </c>
      <c r="H123" s="186">
        <f>AVERAGE(F123:G123)</f>
        <v>16.922818383787302</v>
      </c>
      <c r="I123" s="186">
        <f t="shared" ref="I123:L125" si="44">H123</f>
        <v>16.922818383787302</v>
      </c>
      <c r="J123" s="186">
        <f t="shared" si="44"/>
        <v>16.922818383787302</v>
      </c>
      <c r="K123" s="186">
        <f t="shared" si="44"/>
        <v>16.922818383787302</v>
      </c>
      <c r="L123" s="186">
        <f t="shared" si="44"/>
        <v>16.922818383787302</v>
      </c>
      <c r="M123" s="50" t="s">
        <v>170</v>
      </c>
    </row>
    <row r="124" spans="1:17" ht="13.5" customHeight="1" outlineLevel="1">
      <c r="A124" s="125"/>
      <c r="C124" s="98" t="s">
        <v>171</v>
      </c>
      <c r="D124" s="68"/>
      <c r="F124" s="187">
        <f>F106/F117</f>
        <v>0.16812040128590333</v>
      </c>
      <c r="G124" s="187">
        <f>G106/G117</f>
        <v>0.18061114082993923</v>
      </c>
      <c r="H124" s="135">
        <f>AVERAGE(F124:G124)</f>
        <v>0.17436577105792128</v>
      </c>
      <c r="I124" s="135">
        <f>H124</f>
        <v>0.17436577105792128</v>
      </c>
      <c r="J124" s="135">
        <f t="shared" si="44"/>
        <v>0.17436577105792128</v>
      </c>
      <c r="K124" s="135">
        <f t="shared" si="44"/>
        <v>0.17436577105792128</v>
      </c>
      <c r="L124" s="135">
        <f t="shared" si="44"/>
        <v>0.17436577105792128</v>
      </c>
      <c r="M124" s="50" t="s">
        <v>172</v>
      </c>
    </row>
    <row r="125" spans="1:17" ht="13.5" customHeight="1" outlineLevel="1">
      <c r="A125" s="125"/>
      <c r="C125" s="98" t="s">
        <v>173</v>
      </c>
      <c r="D125" s="68"/>
      <c r="F125" s="187">
        <f>F107/F117</f>
        <v>0.14512837347755611</v>
      </c>
      <c r="G125" s="187">
        <f>G107/G117</f>
        <v>0.20742991016723272</v>
      </c>
      <c r="H125" s="135">
        <f>AVERAGE(F125:G125)</f>
        <v>0.1762791418223944</v>
      </c>
      <c r="I125" s="135">
        <f>H125</f>
        <v>0.1762791418223944</v>
      </c>
      <c r="J125" s="135">
        <f t="shared" si="44"/>
        <v>0.1762791418223944</v>
      </c>
      <c r="K125" s="135">
        <f t="shared" si="44"/>
        <v>0.1762791418223944</v>
      </c>
      <c r="L125" s="135">
        <f t="shared" si="44"/>
        <v>0.1762791418223944</v>
      </c>
      <c r="M125" s="50" t="s">
        <v>174</v>
      </c>
    </row>
    <row r="126" spans="1:17" ht="13.5" customHeight="1" outlineLevel="1">
      <c r="A126" s="125"/>
      <c r="C126" s="98"/>
      <c r="D126" s="68"/>
      <c r="F126" s="191"/>
      <c r="G126" s="191"/>
      <c r="H126" s="192"/>
      <c r="I126" s="192"/>
      <c r="J126" s="192"/>
      <c r="K126" s="192"/>
      <c r="L126" s="192"/>
    </row>
    <row r="127" spans="1:17" ht="5.0999999999999996" customHeight="1" outlineLevel="1" thickBot="1">
      <c r="A127" s="125"/>
      <c r="C127" s="157"/>
      <c r="D127" s="157"/>
      <c r="E127" s="157"/>
      <c r="F127" s="83"/>
      <c r="G127" s="83"/>
      <c r="H127" s="83"/>
      <c r="I127" s="83"/>
      <c r="J127" s="83"/>
      <c r="K127" s="83"/>
      <c r="L127" s="83"/>
    </row>
    <row r="128" spans="1:17" ht="13.5" customHeight="1" outlineLevel="1">
      <c r="A128" s="125"/>
    </row>
    <row r="129" spans="1:19" ht="13.5" customHeight="1" outlineLevel="1" thickBot="1">
      <c r="A129" s="125"/>
    </row>
    <row r="130" spans="1:19" ht="16.5" collapsed="1" thickTop="1" thickBot="1">
      <c r="A130" s="82"/>
      <c r="B130" s="46" t="s">
        <v>61</v>
      </c>
      <c r="C130" s="119" t="s">
        <v>96</v>
      </c>
      <c r="D130" s="82"/>
      <c r="E130" s="82"/>
      <c r="F130" s="82"/>
      <c r="G130" s="82"/>
      <c r="H130" s="82"/>
      <c r="I130" s="82"/>
      <c r="J130" s="82"/>
      <c r="K130" s="82"/>
      <c r="L130" s="82"/>
      <c r="M130" s="82"/>
      <c r="N130" s="82"/>
      <c r="O130" s="82"/>
      <c r="P130" s="82"/>
      <c r="Q130" s="82"/>
      <c r="R130" s="82"/>
      <c r="S130" s="82"/>
    </row>
    <row r="131" spans="1:19" ht="15.75" hidden="1" outlineLevel="1" thickBot="1">
      <c r="A131" s="82"/>
      <c r="B131" s="82"/>
      <c r="C131" s="120" t="s">
        <v>3</v>
      </c>
      <c r="D131" s="82"/>
      <c r="E131" s="82"/>
      <c r="F131" s="82"/>
      <c r="G131" s="82"/>
      <c r="H131" s="82"/>
      <c r="I131" s="82"/>
      <c r="J131" s="82"/>
      <c r="K131" s="82"/>
      <c r="L131" s="82"/>
      <c r="M131" s="82"/>
      <c r="N131" s="82"/>
      <c r="O131" s="82"/>
      <c r="P131" s="82"/>
      <c r="Q131" s="82"/>
      <c r="R131" s="82"/>
      <c r="S131" s="82"/>
    </row>
    <row r="132" spans="1:19" ht="15.75" hidden="1" outlineLevel="1" thickBot="1">
      <c r="A132" s="82"/>
      <c r="B132" s="82"/>
      <c r="C132" s="121" t="s">
        <v>97</v>
      </c>
      <c r="D132" s="82"/>
      <c r="E132" s="82"/>
      <c r="F132" s="122">
        <f>'Financials from CIP'!D13/1000-'Step 4 Answer Key'!F13</f>
        <v>0</v>
      </c>
      <c r="G132" s="122">
        <f>'Financials from CIP'!E13/1000-'Step 4 Answer Key'!G13</f>
        <v>0</v>
      </c>
      <c r="H132" s="82"/>
      <c r="I132" s="82"/>
      <c r="J132" s="82"/>
      <c r="K132" s="82"/>
      <c r="L132" s="82"/>
      <c r="M132" s="82"/>
      <c r="N132" s="82"/>
      <c r="O132" s="82"/>
      <c r="P132" s="82"/>
      <c r="Q132" s="82"/>
      <c r="R132" s="82"/>
      <c r="S132" s="82"/>
    </row>
    <row r="133" spans="1:19" ht="15.75" hidden="1" outlineLevel="1" thickBot="1">
      <c r="A133" s="82"/>
      <c r="B133" s="82"/>
      <c r="C133" s="121" t="s">
        <v>67</v>
      </c>
      <c r="D133" s="82"/>
      <c r="E133" s="82"/>
      <c r="F133" s="122">
        <f>'Financials from CIP'!D19/1000-'Step 4 Answer Key'!F15</f>
        <v>0</v>
      </c>
      <c r="G133" s="122">
        <f>'Financials from CIP'!E19/1000-'Step 4 Answer Key'!G15</f>
        <v>0</v>
      </c>
      <c r="H133" s="82"/>
      <c r="I133" s="82"/>
      <c r="J133" s="82"/>
      <c r="K133" s="82"/>
      <c r="L133" s="82"/>
      <c r="M133" s="82"/>
      <c r="N133" s="82"/>
      <c r="O133" s="82"/>
      <c r="P133" s="82"/>
      <c r="Q133" s="82"/>
      <c r="R133" s="82"/>
      <c r="S133" s="82"/>
    </row>
    <row r="134" spans="1:19" ht="15.75" hidden="1" outlineLevel="1" thickBot="1">
      <c r="A134" s="82"/>
      <c r="B134" s="82"/>
      <c r="C134" s="121" t="s">
        <v>70</v>
      </c>
      <c r="D134" s="82"/>
      <c r="E134" s="82"/>
      <c r="F134" s="122">
        <f>'Financials from CIP'!D36/1000-'Step 4 Answer Key'!F18</f>
        <v>0</v>
      </c>
      <c r="G134" s="122">
        <f>'Financials from CIP'!E36/1000-'Step 4 Answer Key'!G18</f>
        <v>0</v>
      </c>
      <c r="H134" s="82"/>
      <c r="I134" s="82"/>
      <c r="J134" s="82"/>
      <c r="K134" s="82"/>
      <c r="L134" s="82"/>
      <c r="M134" s="82"/>
      <c r="N134" s="82"/>
      <c r="O134" s="82"/>
      <c r="P134" s="82"/>
      <c r="Q134" s="82"/>
      <c r="R134" s="82"/>
      <c r="S134" s="82"/>
    </row>
    <row r="135" spans="1:19" ht="15.75" hidden="1" outlineLevel="1" thickBot="1">
      <c r="A135" s="82"/>
      <c r="B135" s="82"/>
      <c r="C135" s="121" t="s">
        <v>22</v>
      </c>
      <c r="D135" s="82"/>
      <c r="E135" s="82"/>
      <c r="F135" s="122">
        <f>'Financials from CIP'!D34/1000-'Step 4 Answer Key'!F33</f>
        <v>0</v>
      </c>
      <c r="G135" s="122">
        <f>'Financials from CIP'!E34/1000-'Step 4 Answer Key'!G33</f>
        <v>0</v>
      </c>
      <c r="H135" s="82"/>
      <c r="I135" s="82"/>
      <c r="J135" s="82"/>
      <c r="K135" s="82"/>
      <c r="L135" s="82"/>
      <c r="M135" s="82"/>
      <c r="N135" s="82"/>
      <c r="O135" s="82"/>
      <c r="P135" s="82"/>
      <c r="Q135" s="82"/>
      <c r="R135" s="82"/>
      <c r="S135" s="82"/>
    </row>
    <row r="136" spans="1:19" ht="15.75" hidden="1" outlineLevel="1" thickBot="1">
      <c r="A136" s="82"/>
      <c r="B136" s="82"/>
      <c r="C136" s="121"/>
      <c r="D136" s="82"/>
      <c r="E136" s="82"/>
      <c r="F136" s="122"/>
      <c r="G136" s="122"/>
      <c r="H136" s="82"/>
      <c r="I136" s="82"/>
      <c r="J136" s="82"/>
      <c r="K136" s="82"/>
      <c r="L136" s="82"/>
      <c r="M136" s="82"/>
      <c r="N136" s="82"/>
      <c r="O136" s="82"/>
      <c r="P136" s="82"/>
      <c r="Q136" s="82"/>
      <c r="R136" s="82"/>
      <c r="S136" s="82"/>
    </row>
    <row r="137" spans="1:19" ht="15.75" hidden="1" outlineLevel="1" thickBot="1">
      <c r="A137" s="82"/>
      <c r="B137" s="82"/>
      <c r="C137" s="120" t="s">
        <v>26</v>
      </c>
      <c r="D137" s="82"/>
      <c r="E137" s="82"/>
      <c r="F137" s="122"/>
      <c r="G137" s="122"/>
      <c r="H137" s="82"/>
      <c r="I137" s="82"/>
      <c r="J137" s="82"/>
      <c r="K137" s="82"/>
      <c r="L137" s="82"/>
      <c r="M137" s="82"/>
      <c r="N137" s="82"/>
      <c r="O137" s="82"/>
      <c r="P137" s="82"/>
      <c r="Q137" s="82"/>
      <c r="R137" s="82"/>
      <c r="S137" s="82"/>
    </row>
    <row r="138" spans="1:19" ht="15.75" hidden="1" outlineLevel="1" thickBot="1">
      <c r="A138" s="82"/>
      <c r="B138" s="82"/>
      <c r="C138" s="121" t="s">
        <v>98</v>
      </c>
      <c r="D138" s="82"/>
      <c r="E138" s="82"/>
      <c r="F138" s="122">
        <f>'Financials from CIP'!D46/1000-'Step 4 Answer Key'!F60</f>
        <v>0</v>
      </c>
      <c r="G138" s="122">
        <f>'Financials from CIP'!E46/1000-'Step 4 Answer Key'!G60</f>
        <v>0</v>
      </c>
      <c r="H138" s="82"/>
      <c r="I138" s="82"/>
      <c r="J138" s="82"/>
      <c r="K138" s="82"/>
      <c r="L138" s="82"/>
      <c r="M138" s="82"/>
      <c r="N138" s="82"/>
      <c r="O138" s="82"/>
      <c r="P138" s="82"/>
      <c r="Q138" s="82"/>
      <c r="R138" s="82"/>
      <c r="S138" s="82"/>
    </row>
    <row r="139" spans="1:19" ht="15.75" hidden="1" outlineLevel="1" thickBot="1">
      <c r="A139" s="82"/>
      <c r="B139" s="82"/>
      <c r="C139" s="121" t="s">
        <v>99</v>
      </c>
      <c r="D139" s="82"/>
      <c r="E139" s="82"/>
      <c r="F139" s="122">
        <f>'Financials from CIP'!D51/1000-'Step 4 Answer Key'!F64</f>
        <v>0</v>
      </c>
      <c r="G139" s="122">
        <f>'Financials from CIP'!E51/1000-'Step 4 Answer Key'!G64</f>
        <v>0</v>
      </c>
      <c r="H139" s="82"/>
      <c r="I139" s="82"/>
      <c r="J139" s="82"/>
      <c r="K139" s="82"/>
      <c r="L139" s="82"/>
      <c r="M139" s="82"/>
      <c r="N139" s="82"/>
      <c r="O139" s="82"/>
      <c r="P139" s="82"/>
      <c r="Q139" s="82"/>
      <c r="R139" s="82"/>
      <c r="S139" s="82"/>
    </row>
    <row r="140" spans="1:19" ht="15.75" hidden="1" outlineLevel="1" thickBot="1">
      <c r="A140" s="82"/>
      <c r="B140" s="82"/>
      <c r="C140" s="121" t="s">
        <v>36</v>
      </c>
      <c r="D140" s="82"/>
      <c r="E140" s="82"/>
      <c r="F140" s="122">
        <f>'Financials from CIP'!D56/1000-'Step 4 Answer Key'!F70</f>
        <v>0</v>
      </c>
      <c r="G140" s="122">
        <f>'Financials from CIP'!E56/1000-'Step 4 Answer Key'!G70</f>
        <v>0</v>
      </c>
      <c r="H140" s="82"/>
      <c r="I140" s="82"/>
      <c r="J140" s="82"/>
      <c r="K140" s="82"/>
      <c r="L140" s="82"/>
      <c r="M140" s="82"/>
      <c r="N140" s="82"/>
      <c r="O140" s="82"/>
      <c r="P140" s="82"/>
      <c r="Q140" s="82"/>
      <c r="R140" s="82"/>
      <c r="S140" s="82"/>
    </row>
    <row r="141" spans="1:19" ht="15.75" hidden="1" outlineLevel="1" thickBot="1">
      <c r="A141" s="82"/>
      <c r="B141" s="82"/>
      <c r="C141" s="121" t="s">
        <v>100</v>
      </c>
      <c r="D141" s="82"/>
      <c r="E141" s="82"/>
      <c r="F141" s="122">
        <f>'Financials from CIP'!D61/1000-'Step 4 Answer Key'!F77</f>
        <v>0</v>
      </c>
      <c r="G141" s="122">
        <f>'Financials from CIP'!E61/1000-'Step 4 Answer Key'!G77</f>
        <v>0</v>
      </c>
      <c r="H141" s="82"/>
      <c r="I141" s="82"/>
      <c r="J141" s="82"/>
      <c r="K141" s="82"/>
      <c r="L141" s="82"/>
      <c r="M141" s="82"/>
      <c r="N141" s="82"/>
      <c r="O141" s="82"/>
      <c r="P141" s="82"/>
      <c r="Q141" s="82"/>
      <c r="R141" s="82"/>
      <c r="S141" s="82"/>
    </row>
    <row r="142" spans="1:19" ht="15.75" hidden="1" outlineLevel="1" thickBot="1">
      <c r="A142" s="82"/>
      <c r="B142" s="82"/>
      <c r="C142" s="121" t="s">
        <v>101</v>
      </c>
      <c r="D142" s="82"/>
      <c r="E142" s="82"/>
      <c r="F142" s="122">
        <f>'Financials from CIP'!D69/1000-'Step 4 Answer Key'!F84</f>
        <v>0</v>
      </c>
      <c r="G142" s="122">
        <f>'Financials from CIP'!E69/1000-'Step 4 Answer Key'!G84</f>
        <v>0</v>
      </c>
      <c r="H142" s="82"/>
      <c r="I142" s="82"/>
      <c r="J142" s="82"/>
      <c r="K142" s="82"/>
      <c r="L142" s="82"/>
      <c r="M142" s="82"/>
      <c r="N142" s="82"/>
      <c r="O142" s="82"/>
      <c r="P142" s="82"/>
      <c r="Q142" s="82"/>
      <c r="R142" s="82"/>
      <c r="S142" s="82"/>
    </row>
    <row r="143" spans="1:19" ht="15.75" hidden="1" outlineLevel="1" thickBot="1">
      <c r="A143" s="82"/>
      <c r="B143" s="82"/>
      <c r="C143" s="121" t="s">
        <v>49</v>
      </c>
      <c r="D143" s="82"/>
      <c r="E143" s="82"/>
      <c r="F143" s="122">
        <f>'Financials from CIP'!D73/1000-SUM('Step 4 Answer Key'!F85:F86)</f>
        <v>0</v>
      </c>
      <c r="G143" s="122">
        <f>'Financials from CIP'!E73/1000-SUM('Step 4 Answer Key'!G85:G86)</f>
        <v>0</v>
      </c>
      <c r="H143" s="82"/>
      <c r="I143" s="82"/>
      <c r="J143" s="82"/>
      <c r="K143" s="82"/>
      <c r="L143" s="82"/>
      <c r="M143" s="82"/>
      <c r="N143" s="82"/>
      <c r="O143" s="82"/>
      <c r="P143" s="82"/>
      <c r="Q143" s="82"/>
      <c r="R143" s="82"/>
      <c r="S143" s="82"/>
    </row>
    <row r="144" spans="1:19" ht="15.75" hidden="1" outlineLevel="1" thickBot="1">
      <c r="A144" s="82"/>
      <c r="B144" s="82"/>
      <c r="C144" s="121"/>
      <c r="D144" s="82"/>
      <c r="E144" s="82"/>
      <c r="F144" s="122"/>
      <c r="G144" s="122"/>
      <c r="H144" s="82"/>
      <c r="I144" s="82"/>
      <c r="J144" s="82"/>
      <c r="K144" s="82"/>
      <c r="L144" s="82"/>
      <c r="M144" s="82"/>
      <c r="N144" s="82"/>
      <c r="O144" s="82"/>
      <c r="P144" s="82"/>
      <c r="Q144" s="82"/>
      <c r="R144" s="82"/>
      <c r="S144" s="82"/>
    </row>
    <row r="145" spans="1:19" ht="15.75" hidden="1" outlineLevel="1" thickBot="1">
      <c r="A145" s="82"/>
      <c r="B145" s="82"/>
      <c r="C145" s="119" t="s">
        <v>102</v>
      </c>
      <c r="D145" s="82"/>
      <c r="E145" s="82"/>
      <c r="F145" s="122"/>
      <c r="G145" s="122"/>
      <c r="H145" s="82"/>
      <c r="I145" s="82"/>
      <c r="J145" s="82"/>
      <c r="K145" s="82"/>
      <c r="L145" s="82"/>
      <c r="M145" s="82"/>
      <c r="N145" s="82"/>
      <c r="O145" s="82"/>
      <c r="P145" s="82"/>
      <c r="Q145" s="82"/>
      <c r="R145" s="82"/>
      <c r="S145" s="82"/>
    </row>
    <row r="146" spans="1:19" ht="15.75" hidden="1" outlineLevel="1" thickBot="1">
      <c r="A146" s="82"/>
      <c r="B146" s="82"/>
      <c r="C146" s="121" t="s">
        <v>103</v>
      </c>
      <c r="D146" s="82"/>
      <c r="E146" s="82"/>
      <c r="F146" s="122">
        <f>F70-F87</f>
        <v>-8.2790072042371321E-7</v>
      </c>
      <c r="G146" s="122">
        <f>G70-G87</f>
        <v>5.0419180297467392E-7</v>
      </c>
      <c r="H146" s="82"/>
      <c r="I146" s="82"/>
      <c r="J146" s="82"/>
      <c r="K146" s="82"/>
      <c r="L146" s="82"/>
      <c r="M146" s="82"/>
      <c r="N146" s="82"/>
      <c r="O146" s="82"/>
      <c r="P146" s="82"/>
      <c r="Q146" s="82"/>
      <c r="R146" s="82"/>
      <c r="S146" s="82"/>
    </row>
    <row r="147" spans="1:19" ht="19.5" hidden="1" customHeight="1" outlineLevel="1">
      <c r="A147" s="82"/>
      <c r="B147" s="82"/>
      <c r="C147" s="121"/>
      <c r="D147" s="82"/>
      <c r="E147" s="82"/>
      <c r="F147" s="122"/>
      <c r="G147" s="122"/>
      <c r="H147" s="82"/>
      <c r="I147" s="82"/>
      <c r="J147" s="82"/>
      <c r="K147" s="82"/>
      <c r="L147" s="82"/>
      <c r="M147" s="82"/>
      <c r="N147" s="82"/>
      <c r="O147" s="82"/>
      <c r="P147" s="82"/>
      <c r="Q147" s="82"/>
      <c r="R147" s="82"/>
      <c r="S147" s="82"/>
    </row>
    <row r="148" spans="1:19" s="114" customFormat="1" ht="13.5" hidden="1" customHeight="1" outlineLevel="1">
      <c r="A148" s="82"/>
      <c r="B148" s="110"/>
      <c r="C148" s="111"/>
      <c r="D148" s="111"/>
      <c r="E148" s="111"/>
      <c r="F148" s="112"/>
      <c r="G148" s="113"/>
      <c r="H148" s="113"/>
      <c r="I148" s="113"/>
      <c r="J148" s="113"/>
      <c r="K148" s="113"/>
      <c r="L148" s="113"/>
      <c r="M148" s="142"/>
    </row>
    <row r="149" spans="1:19" ht="5.0999999999999996" hidden="1" customHeight="1" outlineLevel="1" thickBot="1">
      <c r="A149" s="82"/>
      <c r="C149" s="115"/>
      <c r="D149" s="115"/>
      <c r="E149" s="115"/>
      <c r="F149" s="116"/>
      <c r="G149" s="116"/>
      <c r="H149" s="116"/>
      <c r="I149" s="116"/>
      <c r="J149" s="116"/>
      <c r="K149" s="116"/>
      <c r="L149" s="116"/>
      <c r="M149" s="50"/>
    </row>
    <row r="150" spans="1:19" ht="13.5" hidden="1" customHeight="1" outlineLevel="1">
      <c r="A150" s="82"/>
      <c r="C150" s="118"/>
      <c r="D150" s="118"/>
      <c r="E150" s="118"/>
      <c r="M150" s="50"/>
    </row>
    <row r="151" spans="1:19" ht="13.5" hidden="1" customHeight="1" outlineLevel="1" thickBot="1">
      <c r="A151" s="82"/>
      <c r="C151" s="118"/>
      <c r="D151" s="118"/>
      <c r="E151" s="118"/>
      <c r="M151" s="50"/>
    </row>
    <row r="152" spans="1:19" ht="19.5" customHeight="1" thickTop="1">
      <c r="A152" s="125"/>
      <c r="B152" s="46" t="s">
        <v>61</v>
      </c>
      <c r="C152" s="47" t="s">
        <v>124</v>
      </c>
      <c r="D152" s="48"/>
      <c r="E152" s="49"/>
      <c r="F152" s="49"/>
      <c r="G152" s="49"/>
      <c r="H152" s="49"/>
      <c r="I152" s="49"/>
      <c r="J152" s="49"/>
      <c r="K152" s="49"/>
      <c r="L152" s="49"/>
      <c r="M152" s="50"/>
    </row>
    <row r="153" spans="1:19" ht="5.0999999999999996" customHeight="1" outlineLevel="1">
      <c r="A153" s="125"/>
      <c r="M153" s="50"/>
    </row>
    <row r="154" spans="1:19" ht="13.5" customHeight="1" outlineLevel="1">
      <c r="A154" s="125"/>
      <c r="C154" s="53"/>
      <c r="D154" s="53"/>
      <c r="E154" s="53"/>
      <c r="F154" s="143"/>
      <c r="G154" s="54"/>
      <c r="H154" s="55" t="s">
        <v>64</v>
      </c>
      <c r="I154" s="55"/>
      <c r="J154" s="55"/>
      <c r="K154" s="55"/>
      <c r="L154" s="55"/>
      <c r="M154" s="50"/>
    </row>
    <row r="155" spans="1:19" ht="13.5" customHeight="1" outlineLevel="1" thickBot="1">
      <c r="A155" s="125"/>
      <c r="C155" s="56" t="s">
        <v>65</v>
      </c>
      <c r="D155" s="144" t="s">
        <v>126</v>
      </c>
      <c r="E155" s="57" t="s">
        <v>127</v>
      </c>
      <c r="F155" s="145" t="s">
        <v>128</v>
      </c>
      <c r="G155" s="58" t="s">
        <v>129</v>
      </c>
      <c r="H155" s="58">
        <f t="shared" ref="H155:L155" si="45">H$11</f>
        <v>46022</v>
      </c>
      <c r="I155" s="58">
        <f t="shared" si="45"/>
        <v>46387</v>
      </c>
      <c r="J155" s="58">
        <f t="shared" si="45"/>
        <v>46752</v>
      </c>
      <c r="K155" s="58">
        <f t="shared" si="45"/>
        <v>47118</v>
      </c>
      <c r="L155" s="58">
        <f t="shared" si="45"/>
        <v>47483</v>
      </c>
      <c r="M155" s="50"/>
    </row>
    <row r="156" spans="1:19" ht="13.5" customHeight="1" outlineLevel="1">
      <c r="A156" s="125"/>
      <c r="M156" s="50"/>
    </row>
    <row r="157" spans="1:19" ht="13.5" customHeight="1" outlineLevel="1">
      <c r="A157" s="125"/>
      <c r="C157" s="146">
        <f>G11</f>
        <v>45657</v>
      </c>
      <c r="D157" s="169">
        <f>G67</f>
        <v>55.684984</v>
      </c>
      <c r="E157" s="170">
        <v>10</v>
      </c>
      <c r="F157" s="149">
        <f>-G20</f>
        <v>-1.1617642799999999</v>
      </c>
      <c r="G157" s="150">
        <f t="shared" ref="G157:G162" si="46">IFERROR(-D157/E157,"N/M")</f>
        <v>-5.5684984000000002</v>
      </c>
      <c r="H157" s="154">
        <f>-MIN(-$G157,$D157)</f>
        <v>-5.5684984000000002</v>
      </c>
      <c r="I157" s="154">
        <f>-MIN(-$H157,SUM($H157:H157,$D157))</f>
        <v>-5.5684984000000002</v>
      </c>
      <c r="J157" s="154">
        <f>-MIN(-$H157,SUM($H157:I157,$D157))</f>
        <v>-5.5684984000000002</v>
      </c>
      <c r="K157" s="154">
        <f>-MIN(-$H157,SUM($H157:J157,$D157))</f>
        <v>-5.5684984000000002</v>
      </c>
      <c r="L157" s="154">
        <f>-MIN(-$H157,SUM($H157:K157,$D157))</f>
        <v>-5.5684984000000002</v>
      </c>
      <c r="M157" s="50"/>
    </row>
    <row r="158" spans="1:19" ht="13.5" customHeight="1" outlineLevel="1">
      <c r="C158" s="146">
        <f>H155</f>
        <v>46022</v>
      </c>
      <c r="D158" s="169">
        <f>H36</f>
        <v>2.6089416062595356</v>
      </c>
      <c r="E158" s="170">
        <v>10</v>
      </c>
      <c r="F158" s="68"/>
      <c r="G158" s="150">
        <f t="shared" si="46"/>
        <v>-0.26089416062595355</v>
      </c>
      <c r="H158" s="154">
        <f>-MIN(-$G158,$D158)</f>
        <v>-0.26089416062595355</v>
      </c>
      <c r="I158" s="193">
        <f>-MIN(-$H158,SUM($H158:H158,$D158))</f>
        <v>-0.26089416062595355</v>
      </c>
      <c r="J158" s="193">
        <f>-MIN(-$H158,SUM($H158:I158,$D158))</f>
        <v>-0.26089416062595355</v>
      </c>
      <c r="K158" s="193">
        <f>-MIN(-$H158,SUM($H158:J158,$D158))</f>
        <v>-0.26089416062595355</v>
      </c>
      <c r="L158" s="193">
        <f>-MIN(-$H158,SUM($H158:K158,$D158))</f>
        <v>-0.26089416062595355</v>
      </c>
      <c r="M158" s="50"/>
    </row>
    <row r="159" spans="1:19" ht="13.5" customHeight="1" outlineLevel="1">
      <c r="C159" s="146">
        <f>I155</f>
        <v>46387</v>
      </c>
      <c r="D159" s="169">
        <f>I36</f>
        <v>3.0090322850545372</v>
      </c>
      <c r="E159" s="170">
        <v>10</v>
      </c>
      <c r="F159" s="68"/>
      <c r="G159" s="150">
        <f t="shared" si="46"/>
        <v>-0.3009032285054537</v>
      </c>
      <c r="H159" s="194"/>
      <c r="I159" s="154">
        <f>-MIN(-$G159,$D159)</f>
        <v>-0.3009032285054537</v>
      </c>
      <c r="J159" s="193">
        <f ca="1">-MIN(-$I159,SUM($I159:J159,$D159))</f>
        <v>-0.3009032285054537</v>
      </c>
      <c r="K159" s="193">
        <f ca="1">-MIN(-$I159,SUM($I159:K159,$D159))</f>
        <v>-0.3009032285054537</v>
      </c>
      <c r="L159" s="193">
        <f ca="1">-MIN(-$I159,SUM($I159:L159,$D159))</f>
        <v>-0.3009032285054537</v>
      </c>
      <c r="M159" s="50"/>
    </row>
    <row r="160" spans="1:19" ht="13.5" customHeight="1" outlineLevel="1">
      <c r="C160" s="146">
        <f>J155</f>
        <v>46752</v>
      </c>
      <c r="D160" s="169">
        <f>J36</f>
        <v>3.3802073552164953</v>
      </c>
      <c r="E160" s="170">
        <v>10</v>
      </c>
      <c r="F160" s="68"/>
      <c r="G160" s="150">
        <f t="shared" si="46"/>
        <v>-0.33802073552164952</v>
      </c>
      <c r="H160" s="194"/>
      <c r="I160" s="194"/>
      <c r="J160" s="154">
        <f>-MIN(-$G160,$D160)</f>
        <v>-0.33802073552164952</v>
      </c>
      <c r="K160" s="193">
        <f ca="1">-MIN(-$J160,SUM($J160:L160,$D160))</f>
        <v>-0.33802073552164952</v>
      </c>
      <c r="L160" s="193">
        <f ca="1">-MIN(-$J160,SUM($J160:M160,$D160))</f>
        <v>-0.33802073552164952</v>
      </c>
      <c r="M160" s="50"/>
    </row>
    <row r="161" spans="1:19" ht="13.5" customHeight="1" outlineLevel="1">
      <c r="C161" s="146">
        <f>K155</f>
        <v>47118</v>
      </c>
      <c r="D161" s="169">
        <f>K36</f>
        <v>3.6957619988438841</v>
      </c>
      <c r="E161" s="170">
        <v>10</v>
      </c>
      <c r="F161" s="68"/>
      <c r="G161" s="150">
        <f t="shared" si="46"/>
        <v>-0.36957619988438839</v>
      </c>
      <c r="H161" s="194"/>
      <c r="I161" s="194"/>
      <c r="J161" s="194"/>
      <c r="K161" s="154">
        <f>-MIN(-$G161,$D161)</f>
        <v>-0.36957619988438839</v>
      </c>
      <c r="L161" s="193">
        <f ca="1">-MIN(-$K161,SUM($K161:N161,$D161))</f>
        <v>-0.36957619988438839</v>
      </c>
      <c r="M161" s="50"/>
    </row>
    <row r="162" spans="1:19" ht="13.5" customHeight="1" outlineLevel="1">
      <c r="C162" s="146">
        <f>L155</f>
        <v>47483</v>
      </c>
      <c r="D162" s="169">
        <f>L36</f>
        <v>3.9299019555263603</v>
      </c>
      <c r="E162" s="170">
        <v>10</v>
      </c>
      <c r="F162" s="68"/>
      <c r="G162" s="150">
        <f t="shared" si="46"/>
        <v>-0.39299019555263603</v>
      </c>
      <c r="H162" s="194"/>
      <c r="I162" s="194"/>
      <c r="J162" s="194"/>
      <c r="K162" s="194"/>
      <c r="L162" s="154">
        <f>-MIN(-$G162,$D162)</f>
        <v>-0.39299019555263603</v>
      </c>
      <c r="M162" s="50"/>
    </row>
    <row r="163" spans="1:19" ht="13.5" customHeight="1" outlineLevel="1">
      <c r="C163" s="68"/>
      <c r="D163" s="155"/>
    </row>
    <row r="164" spans="1:19" ht="13.5" customHeight="1" outlineLevel="1">
      <c r="C164" s="39" t="s">
        <v>131</v>
      </c>
      <c r="H164" s="156">
        <f>-SUM(H157:H163)</f>
        <v>5.829392560625954</v>
      </c>
      <c r="I164" s="156">
        <f t="shared" ref="I164:L164" si="47">-SUM(I157:I163)</f>
        <v>6.1302957891314076</v>
      </c>
      <c r="J164" s="156">
        <f t="shared" ca="1" si="47"/>
        <v>6.4683165246530567</v>
      </c>
      <c r="K164" s="156">
        <f t="shared" ca="1" si="47"/>
        <v>6.8378927245374452</v>
      </c>
      <c r="L164" s="156">
        <f t="shared" ca="1" si="47"/>
        <v>7.2308829200900817</v>
      </c>
    </row>
    <row r="165" spans="1:19" ht="5.0999999999999996" customHeight="1" outlineLevel="1" thickBot="1">
      <c r="C165" s="157"/>
      <c r="D165" s="157"/>
      <c r="E165" s="157"/>
      <c r="F165" s="83"/>
      <c r="G165" s="83"/>
      <c r="H165" s="83"/>
      <c r="I165" s="83"/>
      <c r="J165" s="83"/>
      <c r="K165" s="83"/>
      <c r="L165" s="83"/>
    </row>
    <row r="166" spans="1:19" ht="13.5" customHeight="1" outlineLevel="1"/>
    <row r="167" spans="1:19" ht="19.5" customHeight="1">
      <c r="A167" s="82"/>
      <c r="B167" s="82"/>
      <c r="C167" s="121"/>
      <c r="D167" s="82"/>
      <c r="E167" s="82"/>
      <c r="F167" s="82"/>
      <c r="G167" s="82"/>
      <c r="H167" s="82"/>
      <c r="I167" s="82"/>
      <c r="J167" s="82"/>
      <c r="K167" s="82"/>
      <c r="L167" s="82"/>
      <c r="M167" s="82"/>
      <c r="N167" s="82"/>
      <c r="O167" s="82"/>
      <c r="P167" s="82"/>
      <c r="Q167" s="82"/>
      <c r="R167" s="82"/>
      <c r="S167" s="82"/>
    </row>
    <row r="168" spans="1:19" ht="19.5" customHeight="1">
      <c r="A168" s="82"/>
      <c r="B168" s="82"/>
      <c r="C168" s="121"/>
      <c r="D168" s="82"/>
      <c r="E168" s="82"/>
      <c r="F168" s="82"/>
      <c r="G168" s="82"/>
      <c r="H168" s="82"/>
      <c r="I168" s="82"/>
      <c r="J168" s="82"/>
      <c r="K168" s="82"/>
      <c r="L168" s="82"/>
      <c r="M168" s="82"/>
      <c r="N168" s="82"/>
      <c r="O168" s="82"/>
      <c r="P168" s="82"/>
      <c r="Q168" s="82"/>
      <c r="R168" s="82"/>
      <c r="S168" s="82"/>
    </row>
    <row r="169" spans="1:19" ht="5.0999999999999996" customHeight="1">
      <c r="A169" s="82"/>
      <c r="B169" s="82"/>
      <c r="C169" s="82"/>
      <c r="D169" s="82"/>
      <c r="E169" s="82"/>
      <c r="F169" s="82"/>
      <c r="G169" s="82"/>
      <c r="H169" s="82"/>
      <c r="I169" s="82"/>
      <c r="J169" s="82"/>
      <c r="K169" s="82"/>
      <c r="L169" s="82"/>
      <c r="M169" s="82"/>
      <c r="N169" s="82"/>
      <c r="O169" s="82"/>
      <c r="P169" s="82"/>
      <c r="Q169" s="82"/>
      <c r="R169" s="82"/>
      <c r="S169" s="82"/>
    </row>
    <row r="170" spans="1:19" ht="13.5" customHeight="1">
      <c r="A170" s="82"/>
      <c r="B170" s="82"/>
      <c r="C170" s="123"/>
      <c r="D170" s="82"/>
      <c r="E170" s="82"/>
      <c r="F170" s="82"/>
      <c r="G170" s="82"/>
      <c r="H170" s="82"/>
      <c r="I170" s="82"/>
      <c r="J170" s="82"/>
      <c r="K170" s="82"/>
      <c r="L170" s="82"/>
      <c r="M170" s="82"/>
      <c r="N170" s="82"/>
      <c r="O170" s="82"/>
      <c r="P170" s="82"/>
      <c r="Q170" s="82"/>
      <c r="R170" s="82"/>
      <c r="S170" s="82"/>
    </row>
    <row r="171" spans="1:19" ht="13.5" customHeight="1">
      <c r="A171" s="82"/>
      <c r="B171" s="82"/>
      <c r="C171" s="82"/>
      <c r="D171" s="82"/>
      <c r="E171" s="82"/>
      <c r="F171" s="124"/>
      <c r="G171" s="124"/>
      <c r="H171" s="82"/>
      <c r="I171" s="82"/>
      <c r="J171" s="82"/>
      <c r="K171" s="82"/>
      <c r="L171" s="82"/>
      <c r="M171" s="82"/>
      <c r="N171" s="82"/>
      <c r="O171" s="82"/>
      <c r="P171" s="82"/>
      <c r="Q171" s="82"/>
      <c r="R171" s="82"/>
      <c r="S171" s="82"/>
    </row>
    <row r="172" spans="1:19" ht="13.5" customHeight="1">
      <c r="A172" s="82"/>
      <c r="B172" s="82"/>
      <c r="C172" s="82"/>
      <c r="D172" s="82"/>
      <c r="E172" s="82"/>
      <c r="F172" s="124"/>
      <c r="G172" s="124"/>
      <c r="H172" s="82"/>
      <c r="I172" s="82"/>
      <c r="J172" s="82"/>
      <c r="K172" s="82"/>
      <c r="L172" s="82"/>
      <c r="M172" s="82"/>
      <c r="N172" s="82"/>
      <c r="O172" s="82"/>
      <c r="P172" s="82"/>
      <c r="Q172" s="82"/>
      <c r="R172" s="82"/>
      <c r="S172" s="82"/>
    </row>
    <row r="173" spans="1:19" ht="13.5" customHeight="1">
      <c r="A173" s="82"/>
      <c r="B173" s="82"/>
      <c r="C173" s="82"/>
      <c r="D173" s="82"/>
      <c r="E173" s="82"/>
      <c r="F173" s="124"/>
      <c r="G173" s="124"/>
      <c r="H173" s="82"/>
      <c r="I173" s="82"/>
      <c r="J173" s="82"/>
      <c r="K173" s="82"/>
      <c r="L173" s="82"/>
      <c r="M173" s="82"/>
      <c r="N173" s="82"/>
      <c r="O173" s="82"/>
      <c r="P173" s="82"/>
      <c r="Q173" s="82"/>
      <c r="R173" s="82"/>
      <c r="S173" s="82"/>
    </row>
    <row r="174" spans="1:19" ht="13.5" customHeight="1">
      <c r="A174" s="82"/>
      <c r="B174" s="82"/>
      <c r="C174" s="82"/>
      <c r="D174" s="82"/>
      <c r="E174" s="82"/>
      <c r="F174" s="124"/>
      <c r="G174" s="124"/>
      <c r="H174" s="82"/>
      <c r="I174" s="82"/>
      <c r="J174" s="82"/>
      <c r="K174" s="82"/>
      <c r="L174" s="82"/>
      <c r="M174" s="82"/>
      <c r="N174" s="82"/>
      <c r="O174" s="82"/>
      <c r="P174" s="82"/>
      <c r="Q174" s="82"/>
      <c r="R174" s="82"/>
      <c r="S174" s="82"/>
    </row>
    <row r="175" spans="1:19" ht="13.5" customHeight="1">
      <c r="A175" s="82"/>
      <c r="B175" s="82"/>
      <c r="C175" s="82"/>
      <c r="D175" s="82"/>
      <c r="E175" s="82"/>
      <c r="F175" s="82"/>
      <c r="G175" s="82"/>
      <c r="H175" s="82"/>
      <c r="I175" s="82"/>
      <c r="J175" s="82"/>
      <c r="K175" s="82"/>
      <c r="L175" s="82"/>
      <c r="M175" s="82"/>
      <c r="N175" s="82"/>
      <c r="O175" s="82"/>
      <c r="P175" s="82"/>
      <c r="Q175" s="82"/>
      <c r="R175" s="82"/>
      <c r="S175" s="82"/>
    </row>
    <row r="176" spans="1:19" ht="13.5" customHeight="1">
      <c r="A176" s="82"/>
      <c r="B176" s="82"/>
      <c r="C176" s="123"/>
      <c r="D176" s="82"/>
      <c r="E176" s="82"/>
      <c r="F176" s="82"/>
      <c r="G176" s="82"/>
      <c r="H176" s="82"/>
      <c r="I176" s="82"/>
      <c r="J176" s="82"/>
      <c r="K176" s="82"/>
      <c r="L176" s="82"/>
      <c r="M176" s="82"/>
      <c r="N176" s="82"/>
      <c r="O176" s="82"/>
      <c r="P176" s="82"/>
      <c r="Q176" s="82"/>
      <c r="R176" s="82"/>
      <c r="S176" s="82"/>
    </row>
    <row r="177" spans="1:19" ht="13.5" customHeight="1">
      <c r="A177" s="82"/>
      <c r="B177" s="82"/>
      <c r="C177" s="82"/>
      <c r="D177" s="82"/>
      <c r="E177" s="82"/>
      <c r="F177" s="124"/>
      <c r="G177" s="124"/>
      <c r="H177" s="82"/>
      <c r="I177" s="82"/>
      <c r="J177" s="82"/>
      <c r="K177" s="82"/>
      <c r="L177" s="82"/>
      <c r="M177" s="82"/>
      <c r="N177" s="82"/>
      <c r="O177" s="82"/>
      <c r="P177" s="82"/>
      <c r="Q177" s="82"/>
      <c r="R177" s="82"/>
      <c r="S177" s="82"/>
    </row>
    <row r="178" spans="1:19" ht="13.5" customHeight="1">
      <c r="A178" s="82"/>
      <c r="B178" s="82"/>
      <c r="C178" s="82"/>
      <c r="D178" s="82"/>
      <c r="E178" s="82"/>
      <c r="F178" s="124"/>
      <c r="G178" s="124"/>
      <c r="H178" s="82"/>
      <c r="I178" s="82"/>
      <c r="J178" s="82"/>
      <c r="K178" s="82"/>
      <c r="L178" s="82"/>
      <c r="M178" s="82"/>
      <c r="N178" s="82"/>
      <c r="O178" s="82"/>
      <c r="P178" s="82"/>
      <c r="Q178" s="82"/>
      <c r="R178" s="82"/>
      <c r="S178" s="82"/>
    </row>
    <row r="179" spans="1:19" ht="13.5" customHeight="1">
      <c r="A179" s="82"/>
      <c r="B179" s="82"/>
      <c r="C179" s="82"/>
      <c r="D179" s="82"/>
      <c r="E179" s="82"/>
      <c r="F179" s="124"/>
      <c r="G179" s="124"/>
      <c r="H179" s="82"/>
      <c r="I179" s="82"/>
      <c r="J179" s="82"/>
      <c r="K179" s="82"/>
      <c r="L179" s="82"/>
      <c r="M179" s="82"/>
      <c r="N179" s="82"/>
      <c r="O179" s="82"/>
      <c r="P179" s="82"/>
      <c r="Q179" s="82"/>
      <c r="R179" s="82"/>
      <c r="S179" s="82"/>
    </row>
    <row r="180" spans="1:19" ht="13.5" customHeight="1">
      <c r="A180" s="82"/>
      <c r="B180" s="82"/>
      <c r="C180" s="82"/>
      <c r="D180" s="82"/>
      <c r="E180" s="82"/>
      <c r="F180" s="124"/>
      <c r="G180" s="124"/>
      <c r="H180" s="82"/>
      <c r="I180" s="82"/>
      <c r="J180" s="82"/>
      <c r="K180" s="82"/>
      <c r="L180" s="82"/>
      <c r="M180" s="82"/>
      <c r="N180" s="82"/>
      <c r="O180" s="82"/>
      <c r="P180" s="82"/>
      <c r="Q180" s="82"/>
      <c r="R180" s="82"/>
      <c r="S180" s="82"/>
    </row>
    <row r="181" spans="1:19" ht="5.0999999999999996" customHeight="1">
      <c r="A181" s="82"/>
      <c r="B181" s="82"/>
      <c r="C181" s="82"/>
      <c r="D181" s="82"/>
      <c r="E181" s="82"/>
      <c r="F181" s="82"/>
      <c r="G181" s="82"/>
      <c r="H181" s="82"/>
      <c r="I181" s="82"/>
      <c r="J181" s="82"/>
      <c r="K181" s="82"/>
      <c r="L181" s="82"/>
      <c r="M181" s="82"/>
      <c r="N181" s="82"/>
      <c r="O181" s="82"/>
      <c r="P181" s="82"/>
      <c r="Q181" s="82"/>
      <c r="R181" s="82"/>
      <c r="S181" s="82"/>
    </row>
    <row r="182" spans="1:19" ht="13.5" customHeight="1">
      <c r="A182" s="82"/>
      <c r="B182" s="82"/>
      <c r="C182" s="82"/>
      <c r="D182" s="82"/>
      <c r="E182" s="82"/>
      <c r="F182" s="124"/>
      <c r="G182" s="124"/>
      <c r="H182" s="82"/>
      <c r="I182" s="82"/>
      <c r="J182" s="82"/>
      <c r="K182" s="82"/>
      <c r="L182" s="82"/>
      <c r="M182" s="82"/>
      <c r="N182" s="82"/>
      <c r="O182" s="82"/>
      <c r="P182" s="82"/>
      <c r="Q182" s="82"/>
      <c r="R182" s="82"/>
      <c r="S182" s="82"/>
    </row>
    <row r="183" spans="1:19" ht="13.5" customHeight="1">
      <c r="A183" s="82"/>
      <c r="B183" s="82"/>
      <c r="C183" s="82"/>
      <c r="D183" s="82"/>
      <c r="E183" s="82"/>
      <c r="F183" s="124"/>
      <c r="G183" s="124"/>
      <c r="H183" s="82"/>
      <c r="I183" s="82"/>
      <c r="J183" s="82"/>
      <c r="K183" s="82"/>
      <c r="L183" s="82"/>
      <c r="M183" s="82"/>
      <c r="N183" s="82"/>
      <c r="O183" s="82"/>
      <c r="P183" s="82"/>
      <c r="Q183" s="82"/>
      <c r="R183" s="82"/>
      <c r="S183" s="82"/>
    </row>
    <row r="184" spans="1:19" ht="13.5" customHeight="1">
      <c r="A184" s="82"/>
      <c r="B184" s="82"/>
      <c r="C184" s="82"/>
      <c r="D184" s="82"/>
      <c r="E184" s="82"/>
      <c r="F184" s="82"/>
      <c r="G184" s="82"/>
      <c r="H184" s="82"/>
      <c r="I184" s="82"/>
      <c r="J184" s="82"/>
      <c r="K184" s="82"/>
      <c r="L184" s="82"/>
      <c r="M184" s="82"/>
      <c r="N184" s="82"/>
      <c r="O184" s="82"/>
      <c r="P184" s="82"/>
      <c r="Q184" s="82"/>
      <c r="R184" s="82"/>
      <c r="S184" s="82"/>
    </row>
    <row r="185" spans="1:19" ht="13.5" customHeight="1">
      <c r="F185" s="124"/>
      <c r="G185" s="124"/>
    </row>
  </sheetData>
  <pageMargins left="0.25" right="0.25" top="0.75" bottom="0.75" header="0.3" footer="0.3"/>
  <pageSetup scale="47" orientation="landscape" r:id="rId1"/>
  <headerFooter alignWithMargins="0">
    <oddHeader>&amp;A</oddHeader>
    <oddFoote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D1F26-7FFC-4B90-92DB-BE0FC4451888}">
  <sheetPr>
    <outlinePr summaryBelow="0"/>
    <pageSetUpPr fitToPage="1"/>
  </sheetPr>
  <dimension ref="A1:S21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175</v>
      </c>
      <c r="D3" s="34"/>
      <c r="E3" s="38"/>
      <c r="F3" s="38"/>
      <c r="G3" s="38"/>
      <c r="H3" s="34"/>
      <c r="I3" s="34"/>
      <c r="J3" s="34"/>
      <c r="K3" s="34"/>
      <c r="L3" s="34"/>
    </row>
    <row r="4" spans="2:14" ht="13.5" customHeight="1" outlineLevel="1">
      <c r="C4" s="37"/>
      <c r="D4" s="34"/>
      <c r="E4" s="38"/>
      <c r="F4" s="38"/>
      <c r="G4" s="38"/>
      <c r="H4" s="34"/>
      <c r="I4" s="34"/>
      <c r="J4" s="34"/>
      <c r="K4" s="34"/>
      <c r="L4" s="34"/>
      <c r="N4" s="195" t="s">
        <v>176</v>
      </c>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125"/>
      <c r="C60" s="88" t="s">
        <v>82</v>
      </c>
      <c r="F60" s="141">
        <f>'Financials from CIP'!D46/1000</f>
        <v>7.1056520000000001</v>
      </c>
      <c r="G60" s="141">
        <f>'Financials from CIP'!E46/1000</f>
        <v>2.9579920000000004</v>
      </c>
      <c r="H60" s="196"/>
      <c r="I60" s="196"/>
      <c r="J60" s="196"/>
      <c r="K60" s="196"/>
      <c r="L60" s="196"/>
      <c r="M60" s="50" t="s">
        <v>177</v>
      </c>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7">I130</f>
        <v>27.695031965240773</v>
      </c>
      <c r="J61" s="149">
        <f t="shared" si="17"/>
        <v>31.111314829301037</v>
      </c>
      <c r="K61" s="149">
        <f t="shared" si="17"/>
        <v>34.015669157916122</v>
      </c>
      <c r="L61" s="149">
        <f t="shared" si="17"/>
        <v>36.170685445667161</v>
      </c>
      <c r="M61" s="50"/>
    </row>
    <row r="62" spans="1:13" ht="13.5" customHeight="1" outlineLevel="1">
      <c r="A62" s="82"/>
      <c r="C62" s="91" t="s">
        <v>31</v>
      </c>
      <c r="F62" s="96">
        <f>'Financials from CIP'!D49/1000</f>
        <v>0.80490099999999998</v>
      </c>
      <c r="G62" s="96">
        <f>'Financials from CIP'!E49/1000</f>
        <v>1.161057</v>
      </c>
      <c r="H62" s="149">
        <f t="shared" ref="H62:L63" si="18">H131</f>
        <v>1.2029011201180084</v>
      </c>
      <c r="I62" s="149">
        <f t="shared" si="18"/>
        <v>1.3873703794209342</v>
      </c>
      <c r="J62" s="149">
        <f t="shared" si="18"/>
        <v>1.558507558799139</v>
      </c>
      <c r="K62" s="149">
        <f t="shared" si="18"/>
        <v>1.7039999045715051</v>
      </c>
      <c r="L62" s="149">
        <f t="shared" si="18"/>
        <v>1.8119544925477122</v>
      </c>
      <c r="M62" s="50"/>
    </row>
    <row r="63" spans="1:13" ht="13.5" customHeight="1" outlineLevel="1">
      <c r="A63" s="82"/>
      <c r="C63" s="91" t="s">
        <v>84</v>
      </c>
      <c r="F63" s="96">
        <f>'Financials from CIP'!D50/1000</f>
        <v>0.26978399999999997</v>
      </c>
      <c r="G63" s="96">
        <f>'Financials from CIP'!E50/1000</f>
        <v>0.34491899999999998</v>
      </c>
      <c r="H63" s="149">
        <f t="shared" si="18"/>
        <v>0.3792215684283346</v>
      </c>
      <c r="I63" s="149">
        <f t="shared" si="18"/>
        <v>0.43737657441320382</v>
      </c>
      <c r="J63" s="149">
        <f t="shared" si="18"/>
        <v>0.49132856472628733</v>
      </c>
      <c r="K63" s="149">
        <f t="shared" si="18"/>
        <v>0.53719587221761422</v>
      </c>
      <c r="L63" s="149">
        <f t="shared" si="18"/>
        <v>0.57122918342390505</v>
      </c>
      <c r="M63" s="50"/>
    </row>
    <row r="64" spans="1:13" ht="13.5" customHeight="1" outlineLevel="1">
      <c r="A64" s="82"/>
      <c r="C64" s="76" t="s">
        <v>33</v>
      </c>
      <c r="D64" s="77"/>
      <c r="E64" s="77"/>
      <c r="F64" s="93">
        <f>SUM(F60:F63)</f>
        <v>24.961756000000005</v>
      </c>
      <c r="G64" s="93">
        <f>SUM(G60:G63)</f>
        <v>26.74869</v>
      </c>
      <c r="H64" s="93">
        <f t="shared" ref="H64:L64" si="19">SUM(H60:H63)</f>
        <v>25.594733500229559</v>
      </c>
      <c r="I64" s="93">
        <f t="shared" si="19"/>
        <v>29.519778919074909</v>
      </c>
      <c r="J64" s="93">
        <f t="shared" si="19"/>
        <v>33.161150952826461</v>
      </c>
      <c r="K64" s="93">
        <f t="shared" si="19"/>
        <v>36.256864934705241</v>
      </c>
      <c r="L64" s="93">
        <f t="shared" si="19"/>
        <v>38.553869121638776</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20">SUM(H64,H67:H69)</f>
        <v>82.32568454586314</v>
      </c>
      <c r="I70" s="102">
        <f t="shared" si="20"/>
        <v>82.891514460631612</v>
      </c>
      <c r="J70" s="102">
        <f t="shared" ca="1" si="20"/>
        <v>83.206825324946607</v>
      </c>
      <c r="K70" s="102">
        <f t="shared" ca="1" si="20"/>
        <v>82.922456581131812</v>
      </c>
      <c r="L70" s="102">
        <f t="shared" ca="1" si="20"/>
        <v>81.680527803501633</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1">I135</f>
        <v>3.7340173042871405</v>
      </c>
      <c r="J74" s="149">
        <f t="shared" si="21"/>
        <v>4.1946219118843056</v>
      </c>
      <c r="K74" s="149">
        <f t="shared" si="21"/>
        <v>4.5862051147649199</v>
      </c>
      <c r="L74" s="149">
        <f t="shared" si="21"/>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2">H136</f>
        <v>3.1966854452582232</v>
      </c>
      <c r="I75" s="149">
        <f t="shared" si="22"/>
        <v>3.6869087782063024</v>
      </c>
      <c r="J75" s="149">
        <f t="shared" si="22"/>
        <v>4.1417023778724023</v>
      </c>
      <c r="K75" s="149">
        <f t="shared" si="22"/>
        <v>4.5283453498910609</v>
      </c>
      <c r="L75" s="149">
        <f t="shared" si="22"/>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2"/>
        <v>3.2317636858846019</v>
      </c>
      <c r="I76" s="149">
        <f t="shared" si="22"/>
        <v>3.727366394541769</v>
      </c>
      <c r="J76" s="149">
        <f t="shared" si="22"/>
        <v>4.1871505882458564</v>
      </c>
      <c r="K76" s="149">
        <f t="shared" si="22"/>
        <v>4.5780363159066395</v>
      </c>
      <c r="L76" s="149">
        <f t="shared" si="22"/>
        <v>4.8680715576328382</v>
      </c>
      <c r="M76" s="50"/>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3"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3" ht="13.5" customHeight="1" outlineLevel="1">
      <c r="A82" s="82"/>
      <c r="C82" s="76" t="s">
        <v>92</v>
      </c>
      <c r="D82" s="77"/>
      <c r="E82" s="77"/>
      <c r="F82" s="93">
        <f>SUM(F78:F81)</f>
        <v>20.226886000000004</v>
      </c>
      <c r="G82" s="93">
        <f>SUM(G78:G81)</f>
        <v>13.388756000000001</v>
      </c>
      <c r="H82" s="93">
        <f t="shared" ref="H82:L82" si="24">SUM(H78:H81)</f>
        <v>0</v>
      </c>
      <c r="I82" s="93">
        <f t="shared" si="24"/>
        <v>0</v>
      </c>
      <c r="J82" s="93">
        <f t="shared" si="24"/>
        <v>0</v>
      </c>
      <c r="K82" s="93">
        <f t="shared" si="24"/>
        <v>0</v>
      </c>
      <c r="L82" s="93">
        <f t="shared" si="24"/>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5">SUM(H77,H82:H83)</f>
        <v>10.095867400270937</v>
      </c>
      <c r="I84" s="93">
        <f t="shared" si="25"/>
        <v>11.578180477035213</v>
      </c>
      <c r="J84" s="93">
        <f t="shared" si="25"/>
        <v>12.953362878002563</v>
      </c>
      <c r="K84" s="93">
        <f t="shared" si="25"/>
        <v>14.122474780562621</v>
      </c>
      <c r="L84" s="93">
        <f t="shared" si="25"/>
        <v>14.989949925519163</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6">SUM(H84:H86)</f>
        <v>81.942860383908922</v>
      </c>
      <c r="I87" s="105">
        <f t="shared" si="26"/>
        <v>92.022488268380954</v>
      </c>
      <c r="J87" s="105">
        <f t="shared" ca="1" si="26"/>
        <v>103.36362103777482</v>
      </c>
      <c r="K87" s="105">
        <f t="shared" ca="1" si="26"/>
        <v>115.60562865132215</v>
      </c>
      <c r="L87" s="105">
        <f t="shared" ca="1" si="26"/>
        <v>128.28557556185402</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si="27"/>
        <v>-0.38282416195421831</v>
      </c>
      <c r="I89" s="178">
        <f t="shared" si="27"/>
        <v>9.1309738077493421</v>
      </c>
      <c r="J89" s="178">
        <f t="shared" ca="1" si="27"/>
        <v>20.156795712828213</v>
      </c>
      <c r="K89" s="178">
        <f t="shared" ca="1" si="27"/>
        <v>32.683172070190338</v>
      </c>
      <c r="L89" s="178">
        <f t="shared" ca="1" si="27"/>
        <v>46.605047758352384</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A93" s="125"/>
      <c r="B93" s="46" t="s">
        <v>61</v>
      </c>
      <c r="C93" s="47" t="s">
        <v>178</v>
      </c>
      <c r="D93" s="48"/>
      <c r="E93" s="49"/>
      <c r="F93" s="49"/>
      <c r="G93" s="49"/>
      <c r="H93" s="49"/>
      <c r="I93" s="49"/>
      <c r="J93" s="49"/>
      <c r="K93" s="49"/>
      <c r="L93" s="49"/>
    </row>
    <row r="94" spans="1:13" ht="5.0999999999999996" customHeight="1" outlineLevel="1">
      <c r="A94" s="125"/>
      <c r="C94" s="51"/>
      <c r="D94" s="52"/>
    </row>
    <row r="95" spans="1:13" ht="13.5" customHeight="1" outlineLevel="1">
      <c r="A95" s="125"/>
      <c r="C95" s="53"/>
      <c r="D95" s="53"/>
      <c r="E95" s="53"/>
      <c r="F95" s="54" t="s">
        <v>63</v>
      </c>
      <c r="G95" s="54" t="s">
        <v>63</v>
      </c>
      <c r="H95" s="55" t="s">
        <v>64</v>
      </c>
      <c r="I95" s="55"/>
      <c r="J95" s="55"/>
      <c r="K95" s="55"/>
      <c r="L95" s="55"/>
    </row>
    <row r="96" spans="1:13" ht="13.5" customHeight="1" outlineLevel="1" thickBot="1">
      <c r="A96" s="125"/>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A97" s="125"/>
      <c r="C97" s="59"/>
      <c r="D97" s="59"/>
      <c r="E97" s="59"/>
      <c r="F97" s="60"/>
      <c r="G97" s="60"/>
      <c r="H97" s="60"/>
      <c r="I97" s="60"/>
      <c r="J97" s="60"/>
      <c r="K97" s="60"/>
    </row>
    <row r="98" spans="1:13" ht="13.5" customHeight="1" outlineLevel="1">
      <c r="A98" s="125"/>
      <c r="C98" s="84" t="s">
        <v>179</v>
      </c>
      <c r="D98" s="85"/>
      <c r="E98" s="86"/>
      <c r="F98" s="86"/>
      <c r="G98" s="86"/>
      <c r="H98" s="86"/>
      <c r="I98" s="86"/>
      <c r="J98" s="86"/>
      <c r="K98" s="86"/>
      <c r="L98" s="87"/>
      <c r="M98" s="50" t="s">
        <v>180</v>
      </c>
    </row>
    <row r="99" spans="1:13" ht="13.5" customHeight="1" outlineLevel="1">
      <c r="A99" s="125"/>
      <c r="C99" s="118"/>
      <c r="D99" s="118"/>
      <c r="E99" s="118"/>
    </row>
    <row r="100" spans="1:13" ht="13.5" customHeight="1" outlineLevel="1">
      <c r="A100" s="125"/>
      <c r="C100" s="68" t="s">
        <v>22</v>
      </c>
      <c r="D100" s="68"/>
      <c r="E100" s="68"/>
      <c r="F100" s="68"/>
      <c r="G100" s="147"/>
      <c r="H100" s="129"/>
      <c r="I100" s="129"/>
      <c r="J100" s="129"/>
      <c r="K100" s="129"/>
      <c r="L100" s="129"/>
      <c r="M100" s="50" t="s">
        <v>181</v>
      </c>
    </row>
    <row r="101" spans="1:13" ht="13.5" customHeight="1" outlineLevel="1">
      <c r="A101" s="125"/>
      <c r="C101" s="91" t="s">
        <v>15</v>
      </c>
      <c r="D101" s="68"/>
      <c r="E101" s="68"/>
      <c r="F101" s="68"/>
      <c r="G101" s="154"/>
      <c r="H101" s="129"/>
      <c r="I101" s="129"/>
      <c r="J101" s="129"/>
      <c r="K101" s="129"/>
      <c r="L101" s="129"/>
      <c r="M101" s="50" t="s">
        <v>182</v>
      </c>
    </row>
    <row r="102" spans="1:13" ht="13.5" customHeight="1" outlineLevel="1">
      <c r="A102" s="125"/>
      <c r="C102" s="91" t="s">
        <v>183</v>
      </c>
      <c r="D102" s="68"/>
      <c r="E102" s="68"/>
      <c r="F102" s="68"/>
      <c r="G102" s="154"/>
      <c r="H102" s="129"/>
      <c r="I102" s="129"/>
      <c r="J102" s="129"/>
      <c r="K102" s="129"/>
      <c r="L102" s="129"/>
      <c r="M102" s="50" t="s">
        <v>184</v>
      </c>
    </row>
    <row r="103" spans="1:13" ht="13.5" customHeight="1" outlineLevel="1">
      <c r="A103" s="125"/>
      <c r="C103" s="65" t="s">
        <v>185</v>
      </c>
      <c r="D103" s="65"/>
      <c r="E103" s="65"/>
      <c r="F103" s="65"/>
      <c r="G103" s="197"/>
      <c r="H103" s="198">
        <f>SUM(H100:H102)</f>
        <v>0</v>
      </c>
      <c r="I103" s="198">
        <f t="shared" ref="I103:L103" si="29">SUM(I100:I102)</f>
        <v>0</v>
      </c>
      <c r="J103" s="198">
        <f t="shared" si="29"/>
        <v>0</v>
      </c>
      <c r="K103" s="198">
        <f t="shared" si="29"/>
        <v>0</v>
      </c>
      <c r="L103" s="198">
        <f t="shared" si="29"/>
        <v>0</v>
      </c>
      <c r="M103" s="50" t="s">
        <v>186</v>
      </c>
    </row>
    <row r="104" spans="1:13" ht="13.5" customHeight="1" outlineLevel="1">
      <c r="A104" s="125"/>
      <c r="C104" s="91" t="s">
        <v>187</v>
      </c>
      <c r="D104" s="68"/>
      <c r="E104" s="68"/>
      <c r="F104" s="68"/>
      <c r="G104" s="154"/>
      <c r="H104" s="129"/>
      <c r="I104" s="129"/>
      <c r="J104" s="129"/>
      <c r="K104" s="129"/>
      <c r="L104" s="129"/>
      <c r="M104" s="50" t="s">
        <v>188</v>
      </c>
    </row>
    <row r="105" spans="1:13" ht="13.5" customHeight="1" outlineLevel="1">
      <c r="A105" s="125"/>
      <c r="C105" s="180" t="s">
        <v>189</v>
      </c>
      <c r="D105" s="180"/>
      <c r="E105" s="180"/>
      <c r="F105" s="180"/>
      <c r="G105" s="199"/>
      <c r="H105" s="200">
        <f>+SUM(H103:H104)</f>
        <v>0</v>
      </c>
      <c r="I105" s="200">
        <f t="shared" ref="I105:L105" si="30">+SUM(I103:I104)</f>
        <v>0</v>
      </c>
      <c r="J105" s="200">
        <f t="shared" si="30"/>
        <v>0</v>
      </c>
      <c r="K105" s="200">
        <f t="shared" si="30"/>
        <v>0</v>
      </c>
      <c r="L105" s="200">
        <f t="shared" si="30"/>
        <v>0</v>
      </c>
      <c r="M105" s="50"/>
    </row>
    <row r="106" spans="1:13" ht="13.5" customHeight="1" outlineLevel="1">
      <c r="A106" s="125"/>
      <c r="C106" s="68"/>
      <c r="D106" s="68"/>
      <c r="E106" s="68"/>
      <c r="F106" s="68"/>
      <c r="G106" s="154"/>
      <c r="H106" s="154"/>
      <c r="I106" s="154"/>
      <c r="J106" s="154"/>
      <c r="K106" s="154"/>
      <c r="L106" s="154"/>
    </row>
    <row r="107" spans="1:13" ht="13.5" customHeight="1" outlineLevel="1">
      <c r="A107" s="125"/>
      <c r="C107" s="84" t="s">
        <v>190</v>
      </c>
      <c r="D107" s="85"/>
      <c r="E107" s="86"/>
      <c r="F107" s="86"/>
      <c r="G107" s="86"/>
      <c r="H107" s="201"/>
      <c r="I107" s="201"/>
      <c r="J107" s="201"/>
      <c r="K107" s="201"/>
      <c r="L107" s="202"/>
    </row>
    <row r="108" spans="1:13" ht="13.5" customHeight="1" outlineLevel="1">
      <c r="A108" s="125"/>
      <c r="C108" s="118"/>
      <c r="D108" s="118"/>
      <c r="E108" s="118"/>
      <c r="H108" s="68"/>
      <c r="I108" s="68"/>
      <c r="J108" s="68"/>
      <c r="K108" s="68"/>
      <c r="L108" s="68"/>
    </row>
    <row r="109" spans="1:13" ht="13.5" customHeight="1" outlineLevel="1">
      <c r="A109" s="125"/>
      <c r="C109" s="39" t="s">
        <v>191</v>
      </c>
      <c r="D109" s="68"/>
      <c r="E109" s="68"/>
      <c r="F109" s="68"/>
      <c r="G109" s="147"/>
      <c r="H109" s="203"/>
      <c r="I109" s="203"/>
      <c r="J109" s="203"/>
      <c r="K109" s="203"/>
      <c r="L109" s="203"/>
      <c r="M109" s="50" t="s">
        <v>192</v>
      </c>
    </row>
    <row r="110" spans="1:13" ht="13.5" customHeight="1" outlineLevel="1">
      <c r="A110" s="125"/>
      <c r="C110" s="68"/>
      <c r="D110" s="68"/>
      <c r="E110" s="68"/>
      <c r="F110" s="68"/>
      <c r="G110" s="154"/>
      <c r="H110" s="154"/>
      <c r="I110" s="154"/>
      <c r="J110" s="154"/>
      <c r="K110" s="154"/>
      <c r="L110" s="154"/>
    </row>
    <row r="111" spans="1:13" ht="13.5" customHeight="1" outlineLevel="1">
      <c r="A111" s="125"/>
      <c r="C111" s="84" t="s">
        <v>193</v>
      </c>
      <c r="D111" s="85"/>
      <c r="E111" s="86"/>
      <c r="F111" s="86"/>
      <c r="G111" s="86"/>
      <c r="H111" s="201"/>
      <c r="I111" s="201"/>
      <c r="J111" s="201"/>
      <c r="K111" s="201"/>
      <c r="L111" s="202"/>
    </row>
    <row r="112" spans="1:13" ht="13.5" customHeight="1" outlineLevel="1">
      <c r="A112" s="125"/>
      <c r="C112" s="118"/>
      <c r="D112" s="118"/>
      <c r="E112" s="118"/>
      <c r="H112" s="68"/>
      <c r="I112" s="68"/>
      <c r="J112" s="68"/>
      <c r="K112" s="68"/>
      <c r="L112" s="68"/>
    </row>
    <row r="113" spans="1:13" s="205" customFormat="1" ht="13.5" customHeight="1" outlineLevel="1">
      <c r="A113" s="204"/>
      <c r="C113" s="68" t="s">
        <v>41</v>
      </c>
      <c r="D113" s="118"/>
      <c r="E113" s="118"/>
      <c r="F113" s="29"/>
      <c r="G113" s="132"/>
      <c r="H113" s="206"/>
      <c r="I113" s="206"/>
      <c r="J113" s="206"/>
      <c r="K113" s="206"/>
      <c r="L113" s="206"/>
    </row>
    <row r="114" spans="1:13" s="205" customFormat="1" ht="13.5" customHeight="1" outlineLevel="1">
      <c r="A114" s="204"/>
      <c r="C114" s="68" t="str">
        <f>+C79</f>
        <v>Term Loan A</v>
      </c>
      <c r="D114" s="118"/>
      <c r="E114" s="118"/>
      <c r="F114" s="29"/>
      <c r="G114" s="207"/>
      <c r="H114" s="206"/>
      <c r="I114" s="206"/>
      <c r="J114" s="206"/>
      <c r="K114" s="206"/>
      <c r="L114" s="206"/>
    </row>
    <row r="115" spans="1:13" s="205" customFormat="1" ht="13.5" customHeight="1" outlineLevel="1">
      <c r="A115" s="204"/>
      <c r="C115" s="68" t="str">
        <f>+C80</f>
        <v>Subordinated - Note 1</v>
      </c>
      <c r="D115" s="118"/>
      <c r="E115" s="118"/>
      <c r="F115" s="29"/>
      <c r="G115" s="207"/>
      <c r="H115" s="206"/>
      <c r="I115" s="206"/>
      <c r="J115" s="206"/>
      <c r="K115" s="206"/>
      <c r="L115" s="206"/>
    </row>
    <row r="116" spans="1:13" s="205" customFormat="1" ht="13.5" customHeight="1" outlineLevel="1">
      <c r="A116" s="204"/>
      <c r="C116" s="68" t="str">
        <f t="shared" ref="C116" si="31">+C81</f>
        <v>Subordinated - Note 2</v>
      </c>
      <c r="D116" s="118"/>
      <c r="E116" s="118"/>
      <c r="F116" s="29"/>
      <c r="G116" s="207"/>
      <c r="H116" s="206"/>
      <c r="I116" s="206"/>
      <c r="J116" s="206"/>
      <c r="K116" s="206"/>
      <c r="L116" s="206"/>
    </row>
    <row r="117" spans="1:13" s="205" customFormat="1" ht="13.5" customHeight="1" outlineLevel="1">
      <c r="A117" s="204"/>
      <c r="C117" s="180" t="s">
        <v>194</v>
      </c>
      <c r="D117" s="180"/>
      <c r="E117" s="180"/>
      <c r="F117" s="180"/>
      <c r="G117" s="199"/>
      <c r="H117" s="200">
        <f>SUM(H113:H116)</f>
        <v>0</v>
      </c>
      <c r="I117" s="200">
        <f t="shared" ref="I117:L117" si="32">SUM(I113:I116)</f>
        <v>0</v>
      </c>
      <c r="J117" s="200">
        <f t="shared" si="32"/>
        <v>0</v>
      </c>
      <c r="K117" s="200">
        <f t="shared" si="32"/>
        <v>0</v>
      </c>
      <c r="L117" s="200">
        <f t="shared" si="32"/>
        <v>0</v>
      </c>
    </row>
    <row r="118" spans="1:13" s="205" customFormat="1" ht="13.5" customHeight="1" outlineLevel="1">
      <c r="A118" s="204"/>
      <c r="C118" s="118"/>
      <c r="D118" s="118"/>
      <c r="E118" s="118"/>
      <c r="F118" s="29"/>
      <c r="G118" s="29"/>
      <c r="H118" s="68"/>
      <c r="I118" s="68"/>
      <c r="J118" s="68"/>
      <c r="K118" s="68"/>
      <c r="L118" s="68"/>
    </row>
    <row r="119" spans="1:13" s="205" customFormat="1" ht="13.5" customHeight="1" outlineLevel="1">
      <c r="A119" s="204"/>
      <c r="C119" s="39" t="s">
        <v>195</v>
      </c>
      <c r="D119" s="118"/>
      <c r="E119" s="118"/>
      <c r="F119" s="30"/>
      <c r="G119" s="208"/>
      <c r="H119" s="203"/>
      <c r="I119" s="203"/>
      <c r="J119" s="203"/>
      <c r="K119" s="203"/>
      <c r="L119" s="203"/>
      <c r="M119" s="50" t="s">
        <v>196</v>
      </c>
    </row>
    <row r="120" spans="1:13" s="205" customFormat="1" ht="5.0999999999999996" customHeight="1" outlineLevel="1" thickBot="1">
      <c r="A120" s="204"/>
      <c r="C120" s="157"/>
      <c r="D120" s="157"/>
      <c r="E120" s="157"/>
      <c r="F120" s="83"/>
      <c r="G120" s="83"/>
      <c r="H120" s="83"/>
      <c r="I120" s="83"/>
      <c r="J120" s="83"/>
      <c r="K120" s="83"/>
      <c r="L120" s="83"/>
    </row>
    <row r="121" spans="1:13" s="205" customFormat="1" ht="13.5" customHeight="1" outlineLevel="1">
      <c r="A121" s="204"/>
      <c r="C121" s="29"/>
      <c r="D121" s="29"/>
      <c r="E121" s="29"/>
      <c r="F121" s="29"/>
      <c r="G121" s="29"/>
      <c r="H121" s="29"/>
      <c r="I121" s="29"/>
      <c r="J121" s="29"/>
      <c r="K121" s="29"/>
      <c r="L121" s="29"/>
    </row>
    <row r="122" spans="1:13" ht="13.5" customHeight="1" outlineLevel="1" thickBot="1"/>
    <row r="123" spans="1:13" ht="21.75" thickTop="1">
      <c r="B123" s="46" t="s">
        <v>61</v>
      </c>
      <c r="C123" s="47" t="s">
        <v>148</v>
      </c>
      <c r="D123" s="48"/>
      <c r="E123" s="49"/>
      <c r="F123" s="49"/>
      <c r="G123" s="49"/>
      <c r="H123" s="49"/>
      <c r="I123" s="49"/>
      <c r="J123" s="49"/>
      <c r="K123" s="49"/>
      <c r="L123" s="49"/>
    </row>
    <row r="124" spans="1:13" ht="5.0999999999999996" customHeight="1" outlineLevel="1">
      <c r="C124" s="51"/>
      <c r="D124" s="52"/>
    </row>
    <row r="125" spans="1:13" ht="13.5" customHeight="1" outlineLevel="1">
      <c r="C125" s="53"/>
      <c r="D125" s="53"/>
      <c r="E125" s="53"/>
      <c r="F125" s="54" t="s">
        <v>63</v>
      </c>
      <c r="G125" s="54" t="s">
        <v>63</v>
      </c>
      <c r="H125" s="55" t="s">
        <v>64</v>
      </c>
      <c r="I125" s="55"/>
      <c r="J125" s="55"/>
      <c r="K125" s="55"/>
      <c r="L125" s="55"/>
    </row>
    <row r="126" spans="1:13" ht="13.5" customHeight="1" outlineLevel="1" thickBot="1">
      <c r="C126" s="56" t="s">
        <v>65</v>
      </c>
      <c r="D126" s="57"/>
      <c r="E126" s="57"/>
      <c r="F126" s="58">
        <f>F$11</f>
        <v>45291</v>
      </c>
      <c r="G126" s="58">
        <f>G$11</f>
        <v>45657</v>
      </c>
      <c r="H126" s="58">
        <f t="shared" ref="H126:L126" si="33">H$11</f>
        <v>46022</v>
      </c>
      <c r="I126" s="58">
        <f t="shared" si="33"/>
        <v>46387</v>
      </c>
      <c r="J126" s="58">
        <f t="shared" si="33"/>
        <v>46752</v>
      </c>
      <c r="K126" s="58">
        <f t="shared" si="33"/>
        <v>47118</v>
      </c>
      <c r="L126" s="58">
        <f t="shared" si="33"/>
        <v>47483</v>
      </c>
    </row>
    <row r="127" spans="1:13" ht="5.0999999999999996" customHeight="1" outlineLevel="1">
      <c r="C127" s="59"/>
      <c r="D127" s="59"/>
      <c r="E127" s="59"/>
      <c r="F127" s="60"/>
      <c r="G127" s="60"/>
      <c r="H127" s="60"/>
      <c r="I127" s="60"/>
      <c r="J127" s="60"/>
      <c r="K127" s="60"/>
    </row>
    <row r="128" spans="1: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4">F61</f>
        <v>16.781419000000003</v>
      </c>
      <c r="G130" s="177">
        <f t="shared" si="34"/>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4"/>
        <v>0.80490099999999998</v>
      </c>
      <c r="G131" s="177">
        <f t="shared" si="34"/>
        <v>1.161057</v>
      </c>
      <c r="H131" s="177">
        <f>(H146/365)*H150</f>
        <v>1.2029011201180084</v>
      </c>
      <c r="I131" s="177">
        <f t="shared" ref="I131:L131" si="35">(I146/365)*I150</f>
        <v>1.3873703794209342</v>
      </c>
      <c r="J131" s="177">
        <f t="shared" si="35"/>
        <v>1.558507558799139</v>
      </c>
      <c r="K131" s="177">
        <f t="shared" si="35"/>
        <v>1.7039999045715051</v>
      </c>
      <c r="L131" s="177">
        <f t="shared" si="35"/>
        <v>1.8119544925477122</v>
      </c>
      <c r="M131" s="50"/>
    </row>
    <row r="132" spans="3:13" ht="13.5" customHeight="1" outlineLevel="1">
      <c r="C132" s="91" t="str">
        <f>C63</f>
        <v>Prepaids and Other Current Assets</v>
      </c>
      <c r="D132" s="68"/>
      <c r="E132" s="68"/>
      <c r="F132" s="177">
        <f t="shared" si="34"/>
        <v>0.26978399999999997</v>
      </c>
      <c r="G132" s="177">
        <f t="shared" si="34"/>
        <v>0.34491899999999998</v>
      </c>
      <c r="H132" s="177">
        <f>H151*H147</f>
        <v>0.3792215684283346</v>
      </c>
      <c r="I132" s="177">
        <f t="shared" ref="I132:L132" si="36">I151*I147</f>
        <v>0.43737657441320382</v>
      </c>
      <c r="J132" s="177">
        <f t="shared" si="36"/>
        <v>0.49132856472628733</v>
      </c>
      <c r="K132" s="177">
        <f t="shared" si="36"/>
        <v>0.53719587221761422</v>
      </c>
      <c r="L132" s="177">
        <f t="shared" si="36"/>
        <v>0.57122918342390505</v>
      </c>
      <c r="M132" s="50"/>
    </row>
    <row r="133" spans="3:13" ht="13.5" customHeight="1" outlineLevel="1">
      <c r="C133" s="65" t="s">
        <v>152</v>
      </c>
      <c r="D133" s="65"/>
      <c r="E133" s="65"/>
      <c r="F133" s="179">
        <f t="shared" ref="F133:L133" si="37">SUM(F130:F132)</f>
        <v>17.856104000000006</v>
      </c>
      <c r="G133" s="179">
        <f t="shared" si="37"/>
        <v>23.790697999999999</v>
      </c>
      <c r="H133" s="179">
        <f t="shared" si="37"/>
        <v>25.594733500229559</v>
      </c>
      <c r="I133" s="179">
        <f t="shared" si="37"/>
        <v>29.519778919074909</v>
      </c>
      <c r="J133" s="179">
        <f t="shared" si="37"/>
        <v>33.161150952826461</v>
      </c>
      <c r="K133" s="179">
        <f t="shared" si="37"/>
        <v>36.256864934705241</v>
      </c>
      <c r="L133" s="179">
        <f t="shared" si="37"/>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38">F74</f>
        <v>2.8058170000000002</v>
      </c>
      <c r="G135" s="177">
        <f t="shared" si="38"/>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38"/>
        <v>2.3839329999999999</v>
      </c>
      <c r="G136" s="177">
        <f t="shared" si="38"/>
        <v>2.7880379999999998</v>
      </c>
      <c r="H136" s="177">
        <f>H154*H147</f>
        <v>3.1966854452582232</v>
      </c>
      <c r="I136" s="177">
        <f t="shared" ref="I136:L136" si="39">I154*I147</f>
        <v>3.6869087782063024</v>
      </c>
      <c r="J136" s="177">
        <f t="shared" si="39"/>
        <v>4.1417023778724023</v>
      </c>
      <c r="K136" s="177">
        <f t="shared" si="39"/>
        <v>4.5283453498910609</v>
      </c>
      <c r="L136" s="177">
        <f t="shared" si="39"/>
        <v>4.8152324882940372</v>
      </c>
      <c r="M136" s="50"/>
    </row>
    <row r="137" spans="3:13" ht="13.5" customHeight="1" outlineLevel="1">
      <c r="C137" s="91" t="str">
        <f>C76</f>
        <v>Accrued Expenses &amp; Other</v>
      </c>
      <c r="D137" s="68"/>
      <c r="E137" s="68"/>
      <c r="F137" s="177">
        <f t="shared" si="38"/>
        <v>2.0579079999999998</v>
      </c>
      <c r="G137" s="177">
        <f t="shared" si="38"/>
        <v>3.2020309999999998</v>
      </c>
      <c r="H137" s="177">
        <f>H155*H147</f>
        <v>3.2317636858846019</v>
      </c>
      <c r="I137" s="177">
        <f t="shared" ref="I137:L137" si="40">I155*I147</f>
        <v>3.727366394541769</v>
      </c>
      <c r="J137" s="177">
        <f t="shared" si="40"/>
        <v>4.1871505882458564</v>
      </c>
      <c r="K137" s="177">
        <f t="shared" si="40"/>
        <v>4.5780363159066395</v>
      </c>
      <c r="L137" s="177">
        <f t="shared" si="40"/>
        <v>4.8680715576328382</v>
      </c>
      <c r="M137" s="50"/>
    </row>
    <row r="138" spans="3:13" ht="13.5" customHeight="1" outlineLevel="1">
      <c r="C138" s="65" t="s">
        <v>156</v>
      </c>
      <c r="D138" s="65"/>
      <c r="E138" s="65"/>
      <c r="F138" s="179">
        <f t="shared" ref="F138:L138" si="41">SUM(F135:F137)</f>
        <v>7.2476579999999995</v>
      </c>
      <c r="G138" s="179">
        <f t="shared" si="41"/>
        <v>8.3507789999999993</v>
      </c>
      <c r="H138" s="179">
        <f t="shared" si="41"/>
        <v>9.6659794002709365</v>
      </c>
      <c r="I138" s="179">
        <f t="shared" si="41"/>
        <v>11.148292477035213</v>
      </c>
      <c r="J138" s="179">
        <f t="shared" si="41"/>
        <v>12.523474878002563</v>
      </c>
      <c r="K138" s="179">
        <f t="shared" si="41"/>
        <v>13.692586780562621</v>
      </c>
      <c r="L138" s="179">
        <f t="shared" si="41"/>
        <v>14.560061925519163</v>
      </c>
    </row>
    <row r="139" spans="3:13" ht="13.5" customHeight="1" outlineLevel="1">
      <c r="C139" s="180" t="s">
        <v>157</v>
      </c>
      <c r="D139" s="180"/>
      <c r="E139" s="180"/>
      <c r="F139" s="181">
        <f t="shared" ref="F139:L139" si="42">F133-F138</f>
        <v>10.608446000000006</v>
      </c>
      <c r="G139" s="181">
        <f t="shared" si="42"/>
        <v>15.439919</v>
      </c>
      <c r="H139" s="181">
        <f t="shared" si="42"/>
        <v>15.928754099958622</v>
      </c>
      <c r="I139" s="181">
        <f t="shared" si="42"/>
        <v>18.371486442039696</v>
      </c>
      <c r="J139" s="181">
        <f t="shared" si="42"/>
        <v>20.637676074823897</v>
      </c>
      <c r="K139" s="181">
        <f t="shared" si="42"/>
        <v>22.56427815414262</v>
      </c>
      <c r="L139" s="181">
        <f t="shared" si="42"/>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3">G139-F139</f>
        <v>4.8314729999999937</v>
      </c>
      <c r="H141" s="182">
        <f t="shared" si="43"/>
        <v>0.48883509995862262</v>
      </c>
      <c r="I141" s="182">
        <f t="shared" si="43"/>
        <v>2.442732342081074</v>
      </c>
      <c r="J141" s="182">
        <f t="shared" si="43"/>
        <v>2.2661896327842008</v>
      </c>
      <c r="K141" s="182">
        <f t="shared" si="43"/>
        <v>1.9266020793187231</v>
      </c>
      <c r="L141" s="182">
        <f t="shared" si="43"/>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4">F13</f>
        <v>78.565675999999996</v>
      </c>
      <c r="G145" s="209">
        <f t="shared" si="44"/>
        <v>90.614007999999998</v>
      </c>
      <c r="H145" s="209">
        <f t="shared" si="44"/>
        <v>104.5099955077592</v>
      </c>
      <c r="I145" s="209">
        <f t="shared" si="44"/>
        <v>120.53698321160066</v>
      </c>
      <c r="J145" s="209">
        <f t="shared" si="44"/>
        <v>135.4056582414087</v>
      </c>
      <c r="K145" s="209">
        <f t="shared" si="44"/>
        <v>148.04626863637753</v>
      </c>
      <c r="L145" s="209">
        <f t="shared" si="44"/>
        <v>157.42553790111026</v>
      </c>
      <c r="M145" s="50"/>
    </row>
    <row r="146" spans="1:19" ht="13.5" customHeight="1" outlineLevel="1">
      <c r="C146" s="68" t="s">
        <v>66</v>
      </c>
      <c r="D146" s="68"/>
      <c r="E146" s="68"/>
      <c r="F146" s="177">
        <f t="shared" si="44"/>
        <v>51.562188999999996</v>
      </c>
      <c r="G146" s="177">
        <f t="shared" si="44"/>
        <v>61.618676000000001</v>
      </c>
      <c r="H146" s="177">
        <f t="shared" si="44"/>
        <v>69.828708282059708</v>
      </c>
      <c r="I146" s="177">
        <f t="shared" si="44"/>
        <v>80.537194523728473</v>
      </c>
      <c r="J146" s="177">
        <f t="shared" si="44"/>
        <v>90.471750220079329</v>
      </c>
      <c r="K146" s="177">
        <f t="shared" si="44"/>
        <v>98.917616966977391</v>
      </c>
      <c r="L146" s="177">
        <f t="shared" si="44"/>
        <v>105.18440756632523</v>
      </c>
      <c r="M146" s="50"/>
    </row>
    <row r="147" spans="1:19" ht="13.5" customHeight="1" outlineLevel="1">
      <c r="C147" s="68" t="s">
        <v>69</v>
      </c>
      <c r="D147" s="68"/>
      <c r="E147" s="68"/>
      <c r="F147" s="177">
        <f t="shared" ref="F147:L147" si="45">F17</f>
        <v>14.179914999999999</v>
      </c>
      <c r="G147" s="177">
        <f t="shared" si="45"/>
        <v>15.4366889395</v>
      </c>
      <c r="H147" s="177">
        <f t="shared" si="45"/>
        <v>18.333216581804578</v>
      </c>
      <c r="I147" s="177">
        <f t="shared" si="45"/>
        <v>21.144681985672378</v>
      </c>
      <c r="J147" s="177">
        <f t="shared" si="45"/>
        <v>23.752955369300096</v>
      </c>
      <c r="K147" s="177">
        <f t="shared" si="45"/>
        <v>25.970380094765407</v>
      </c>
      <c r="L147" s="177">
        <f t="shared" si="45"/>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46">I149</f>
        <v>83.863776892169696</v>
      </c>
      <c r="K149" s="211">
        <f t="shared" si="46"/>
        <v>83.863776892169696</v>
      </c>
      <c r="L149" s="211">
        <f t="shared" si="46"/>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47">I151</f>
        <v>2.0684944550576352E-2</v>
      </c>
      <c r="K151" s="139">
        <f t="shared" si="47"/>
        <v>2.0684944550576352E-2</v>
      </c>
      <c r="L151" s="139">
        <f t="shared" si="47"/>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48">H153</f>
        <v>16.922818383787302</v>
      </c>
      <c r="J153" s="211">
        <f t="shared" si="48"/>
        <v>16.922818383787302</v>
      </c>
      <c r="K153" s="211">
        <f t="shared" si="48"/>
        <v>16.922818383787302</v>
      </c>
      <c r="L153" s="211">
        <f t="shared" si="48"/>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48"/>
        <v>0.17436577105792128</v>
      </c>
      <c r="K154" s="139">
        <f t="shared" si="48"/>
        <v>0.17436577105792128</v>
      </c>
      <c r="L154" s="139">
        <f t="shared" si="48"/>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48"/>
        <v>0.1762791418223944</v>
      </c>
      <c r="K155" s="139">
        <f t="shared" si="48"/>
        <v>0.1762791418223944</v>
      </c>
      <c r="L155" s="139">
        <f t="shared" si="48"/>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5'!F13</f>
        <v>0</v>
      </c>
      <c r="G162" s="122">
        <f>'Financials from CIP'!E13/1000-'Step 5'!G13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5'!F15</f>
        <v>0</v>
      </c>
      <c r="G163" s="122">
        <f>'Financials from CIP'!E19/1000-'Step 5'!G15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5'!F18</f>
        <v>0</v>
      </c>
      <c r="G164" s="122">
        <f>'Financials from CIP'!E36/1000-'Step 5'!G18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5'!F33</f>
        <v>0</v>
      </c>
      <c r="G165" s="122">
        <f>'Financials from CIP'!E34/1000-'Step 5'!G33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5'!F60</f>
        <v>0</v>
      </c>
      <c r="G168" s="122">
        <f>'Financials from CIP'!E46/1000-'Step 5'!G60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5'!F64</f>
        <v>0</v>
      </c>
      <c r="G169" s="122">
        <f>'Financials from CIP'!E51/1000-'Step 5'!G64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5'!F70</f>
        <v>0</v>
      </c>
      <c r="G170" s="122">
        <f>'Financials from CIP'!E56/1000-'Step 5'!G70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5'!F77</f>
        <v>0</v>
      </c>
      <c r="G171" s="122">
        <f>'Financials from CIP'!E61/1000-'Step 5'!G77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5'!F84</f>
        <v>0</v>
      </c>
      <c r="G172" s="122">
        <f>'Financials from CIP'!E69/1000-'Step 5'!G84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5'!F85:F86)</f>
        <v>0</v>
      </c>
      <c r="G173" s="122">
        <f>'Financials from CIP'!E73/1000-SUM('Step 5'!G85:G86)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49">H$11</f>
        <v>46022</v>
      </c>
      <c r="I185" s="58">
        <f t="shared" si="49"/>
        <v>46387</v>
      </c>
      <c r="J185" s="58">
        <f t="shared" si="49"/>
        <v>46752</v>
      </c>
      <c r="K185" s="58">
        <f t="shared" si="49"/>
        <v>47118</v>
      </c>
      <c r="L185" s="58">
        <f t="shared" si="49"/>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0">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0"/>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0"/>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0"/>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0"/>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0"/>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1">-SUM(I187:I193)</f>
        <v>6.1302957891314076</v>
      </c>
      <c r="J194" s="156">
        <f t="shared" ca="1" si="51"/>
        <v>6.4683165246530567</v>
      </c>
      <c r="K194" s="156">
        <f t="shared" ca="1" si="51"/>
        <v>6.8378927245374452</v>
      </c>
      <c r="L194" s="156">
        <f t="shared" ca="1" si="51"/>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c r="A197" s="82"/>
      <c r="B197" s="82"/>
      <c r="C197" s="121"/>
      <c r="D197" s="82"/>
      <c r="E197" s="82"/>
      <c r="F197" s="82"/>
      <c r="G197" s="82"/>
      <c r="H197" s="82"/>
      <c r="I197" s="82"/>
      <c r="J197" s="82"/>
      <c r="K197" s="82"/>
      <c r="L197" s="82"/>
      <c r="M197" s="82"/>
      <c r="N197" s="82"/>
      <c r="O197" s="82"/>
      <c r="P197" s="82"/>
      <c r="Q197" s="82"/>
      <c r="R197" s="82"/>
      <c r="S197" s="82"/>
    </row>
    <row r="198" spans="1:19" ht="19.5" customHeight="1">
      <c r="A198" s="82"/>
      <c r="B198" s="82"/>
      <c r="C198" s="121"/>
      <c r="D198" s="82"/>
      <c r="E198" s="82"/>
      <c r="F198" s="82"/>
      <c r="G198" s="82"/>
      <c r="H198" s="82"/>
      <c r="I198" s="82"/>
      <c r="J198" s="82"/>
      <c r="K198" s="82"/>
      <c r="L198" s="82"/>
      <c r="M198" s="82"/>
      <c r="N198" s="82"/>
      <c r="O198" s="82"/>
      <c r="P198" s="82"/>
      <c r="Q198" s="82"/>
      <c r="R198" s="82"/>
      <c r="S198" s="82"/>
    </row>
    <row r="199" spans="1:19" ht="5.0999999999999996" customHeight="1">
      <c r="A199" s="82"/>
      <c r="B199" s="82"/>
      <c r="C199" s="82"/>
      <c r="D199" s="82"/>
      <c r="E199" s="82"/>
      <c r="F199" s="82"/>
      <c r="G199" s="82"/>
      <c r="H199" s="82"/>
      <c r="I199" s="82"/>
      <c r="J199" s="82"/>
      <c r="K199" s="82"/>
      <c r="L199" s="82"/>
      <c r="M199" s="82"/>
      <c r="N199" s="82"/>
      <c r="O199" s="82"/>
      <c r="P199" s="82"/>
      <c r="Q199" s="82"/>
      <c r="R199" s="82"/>
      <c r="S199" s="82"/>
    </row>
    <row r="200" spans="1:19" ht="13.5" customHeight="1">
      <c r="A200" s="82"/>
      <c r="B200" s="82"/>
      <c r="C200" s="123"/>
      <c r="D200" s="82"/>
      <c r="E200" s="82"/>
      <c r="F200" s="82"/>
      <c r="G200" s="82"/>
      <c r="H200" s="82"/>
      <c r="I200" s="82"/>
      <c r="J200" s="82"/>
      <c r="K200" s="82"/>
      <c r="L200" s="82"/>
      <c r="M200" s="82"/>
      <c r="N200" s="82"/>
      <c r="O200" s="82"/>
      <c r="P200" s="82"/>
      <c r="Q200" s="82"/>
      <c r="R200" s="82"/>
      <c r="S200" s="82"/>
    </row>
    <row r="201" spans="1:19" ht="13.5" customHeight="1">
      <c r="A201" s="82"/>
      <c r="B201" s="82"/>
      <c r="C201" s="82"/>
      <c r="D201" s="82"/>
      <c r="E201" s="82"/>
      <c r="F201" s="124"/>
      <c r="G201" s="124"/>
      <c r="H201" s="82"/>
      <c r="I201" s="82"/>
      <c r="J201" s="82"/>
      <c r="K201" s="82"/>
      <c r="L201" s="82"/>
      <c r="M201" s="82"/>
      <c r="N201" s="82"/>
      <c r="O201" s="82"/>
      <c r="P201" s="82"/>
      <c r="Q201" s="82"/>
      <c r="R201" s="82"/>
      <c r="S201" s="82"/>
    </row>
    <row r="202" spans="1:19" ht="13.5" customHeight="1">
      <c r="A202" s="82"/>
      <c r="B202" s="82"/>
      <c r="C202" s="82"/>
      <c r="D202" s="82"/>
      <c r="E202" s="82"/>
      <c r="F202" s="124"/>
      <c r="G202" s="124"/>
      <c r="H202" s="82"/>
      <c r="I202" s="82"/>
      <c r="J202" s="82"/>
      <c r="K202" s="82"/>
      <c r="L202" s="82"/>
      <c r="M202" s="82"/>
      <c r="N202" s="82"/>
      <c r="O202" s="82"/>
      <c r="P202" s="82"/>
      <c r="Q202" s="82"/>
      <c r="R202" s="82"/>
      <c r="S202" s="82"/>
    </row>
    <row r="203" spans="1:19" ht="13.5" customHeight="1">
      <c r="A203" s="82"/>
      <c r="B203" s="82"/>
      <c r="C203" s="82"/>
      <c r="D203" s="82"/>
      <c r="E203" s="82"/>
      <c r="F203" s="124"/>
      <c r="G203" s="124"/>
      <c r="H203" s="82"/>
      <c r="I203" s="82"/>
      <c r="J203" s="82"/>
      <c r="K203" s="82"/>
      <c r="L203" s="82"/>
      <c r="M203" s="82"/>
      <c r="N203" s="82"/>
      <c r="O203" s="82"/>
      <c r="P203" s="82"/>
      <c r="Q203" s="82"/>
      <c r="R203" s="82"/>
      <c r="S203" s="82"/>
    </row>
    <row r="204" spans="1:19" ht="13.5" customHeight="1">
      <c r="A204" s="82"/>
      <c r="B204" s="82"/>
      <c r="C204" s="82"/>
      <c r="D204" s="82"/>
      <c r="E204" s="82"/>
      <c r="F204" s="124"/>
      <c r="G204" s="124"/>
      <c r="H204" s="82"/>
      <c r="I204" s="82"/>
      <c r="J204" s="82"/>
      <c r="K204" s="82"/>
      <c r="L204" s="82"/>
      <c r="M204" s="82"/>
      <c r="N204" s="82"/>
      <c r="O204" s="82"/>
      <c r="P204" s="82"/>
      <c r="Q204" s="82"/>
      <c r="R204" s="82"/>
      <c r="S204" s="82"/>
    </row>
    <row r="205" spans="1:19" ht="13.5" customHeight="1">
      <c r="A205" s="82"/>
      <c r="B205" s="82"/>
      <c r="C205" s="82"/>
      <c r="D205" s="82"/>
      <c r="E205" s="82"/>
      <c r="F205" s="82"/>
      <c r="G205" s="82"/>
      <c r="H205" s="82"/>
      <c r="I205" s="82"/>
      <c r="J205" s="82"/>
      <c r="K205" s="82"/>
      <c r="L205" s="82"/>
      <c r="M205" s="82"/>
      <c r="N205" s="82"/>
      <c r="O205" s="82"/>
      <c r="P205" s="82"/>
      <c r="Q205" s="82"/>
      <c r="R205" s="82"/>
      <c r="S205" s="82"/>
    </row>
    <row r="206" spans="1:19" ht="13.5" customHeight="1">
      <c r="A206" s="82"/>
      <c r="B206" s="82"/>
      <c r="C206" s="123"/>
      <c r="D206" s="82"/>
      <c r="E206" s="82"/>
      <c r="F206" s="82"/>
      <c r="G206" s="82"/>
      <c r="H206" s="82"/>
      <c r="I206" s="82"/>
      <c r="J206" s="82"/>
      <c r="K206" s="82"/>
      <c r="L206" s="82"/>
      <c r="M206" s="82"/>
      <c r="N206" s="82"/>
      <c r="O206" s="82"/>
      <c r="P206" s="82"/>
      <c r="Q206" s="82"/>
      <c r="R206" s="82"/>
      <c r="S206" s="82"/>
    </row>
    <row r="207" spans="1:19" ht="13.5" customHeight="1">
      <c r="A207" s="82"/>
      <c r="B207" s="82"/>
      <c r="C207" s="82"/>
      <c r="D207" s="82"/>
      <c r="E207" s="82"/>
      <c r="F207" s="124"/>
      <c r="G207" s="124"/>
      <c r="H207" s="82"/>
      <c r="I207" s="82"/>
      <c r="J207" s="82"/>
      <c r="K207" s="82"/>
      <c r="L207" s="82"/>
      <c r="M207" s="82"/>
      <c r="N207" s="82"/>
      <c r="O207" s="82"/>
      <c r="P207" s="82"/>
      <c r="Q207" s="82"/>
      <c r="R207" s="82"/>
      <c r="S207" s="82"/>
    </row>
    <row r="208" spans="1:19" ht="13.5" customHeight="1">
      <c r="A208" s="82"/>
      <c r="B208" s="82"/>
      <c r="C208" s="82"/>
      <c r="D208" s="82"/>
      <c r="E208" s="82"/>
      <c r="F208" s="124"/>
      <c r="G208" s="124"/>
      <c r="H208" s="82"/>
      <c r="I208" s="82"/>
      <c r="J208" s="82"/>
      <c r="K208" s="82"/>
      <c r="L208" s="82"/>
      <c r="M208" s="82"/>
      <c r="N208" s="82"/>
      <c r="O208" s="82"/>
      <c r="P208" s="82"/>
      <c r="Q208" s="82"/>
      <c r="R208" s="82"/>
      <c r="S208" s="82"/>
    </row>
    <row r="209" spans="1:19" ht="13.5" customHeight="1">
      <c r="A209" s="82"/>
      <c r="B209" s="82"/>
      <c r="C209" s="82"/>
      <c r="D209" s="82"/>
      <c r="E209" s="82"/>
      <c r="F209" s="124"/>
      <c r="G209" s="124"/>
      <c r="H209" s="82"/>
      <c r="I209" s="82"/>
      <c r="J209" s="82"/>
      <c r="K209" s="82"/>
      <c r="L209" s="82"/>
      <c r="M209" s="82"/>
      <c r="N209" s="82"/>
      <c r="O209" s="82"/>
      <c r="P209" s="82"/>
      <c r="Q209" s="82"/>
      <c r="R209" s="82"/>
      <c r="S209" s="82"/>
    </row>
    <row r="210" spans="1:19" ht="13.5" customHeight="1">
      <c r="A210" s="82"/>
      <c r="B210" s="82"/>
      <c r="C210" s="82"/>
      <c r="D210" s="82"/>
      <c r="E210" s="82"/>
      <c r="F210" s="124"/>
      <c r="G210" s="124"/>
      <c r="H210" s="82"/>
      <c r="I210" s="82"/>
      <c r="J210" s="82"/>
      <c r="K210" s="82"/>
      <c r="L210" s="82"/>
      <c r="M210" s="82"/>
      <c r="N210" s="82"/>
      <c r="O210" s="82"/>
      <c r="P210" s="82"/>
      <c r="Q210" s="82"/>
      <c r="R210" s="82"/>
      <c r="S210" s="82"/>
    </row>
    <row r="211" spans="1:19" ht="5.0999999999999996" customHeight="1">
      <c r="A211" s="82"/>
      <c r="B211" s="82"/>
      <c r="C211" s="82"/>
      <c r="D211" s="82"/>
      <c r="E211" s="82"/>
      <c r="F211" s="82"/>
      <c r="G211" s="82"/>
      <c r="H211" s="82"/>
      <c r="I211" s="82"/>
      <c r="J211" s="82"/>
      <c r="K211" s="82"/>
      <c r="L211" s="82"/>
      <c r="M211" s="82"/>
      <c r="N211" s="82"/>
      <c r="O211" s="82"/>
      <c r="P211" s="82"/>
      <c r="Q211" s="82"/>
      <c r="R211" s="82"/>
      <c r="S211" s="82"/>
    </row>
    <row r="212" spans="1:19" ht="13.5" customHeight="1">
      <c r="A212" s="82"/>
      <c r="B212" s="82"/>
      <c r="C212" s="82"/>
      <c r="D212" s="82"/>
      <c r="E212" s="82"/>
      <c r="F212" s="124"/>
      <c r="G212" s="124"/>
      <c r="H212" s="82"/>
      <c r="I212" s="82"/>
      <c r="J212" s="82"/>
      <c r="K212" s="82"/>
      <c r="L212" s="82"/>
      <c r="M212" s="82"/>
      <c r="N212" s="82"/>
      <c r="O212" s="82"/>
      <c r="P212" s="82"/>
      <c r="Q212" s="82"/>
      <c r="R212" s="82"/>
      <c r="S212" s="82"/>
    </row>
    <row r="213" spans="1:19" ht="13.5" customHeight="1">
      <c r="A213" s="82"/>
      <c r="B213" s="82"/>
      <c r="C213" s="82"/>
      <c r="D213" s="82"/>
      <c r="E213" s="82"/>
      <c r="F213" s="124"/>
      <c r="G213" s="124"/>
      <c r="H213" s="82"/>
      <c r="I213" s="82"/>
      <c r="J213" s="82"/>
      <c r="K213" s="82"/>
      <c r="L213" s="82"/>
      <c r="M213" s="82"/>
      <c r="N213" s="82"/>
      <c r="O213" s="82"/>
      <c r="P213" s="82"/>
      <c r="Q213" s="82"/>
      <c r="R213" s="82"/>
      <c r="S213" s="82"/>
    </row>
    <row r="214" spans="1:19" ht="13.5" customHeight="1">
      <c r="A214" s="82"/>
      <c r="B214" s="82"/>
      <c r="C214" s="82"/>
      <c r="D214" s="82"/>
      <c r="E214" s="82"/>
      <c r="F214" s="82"/>
      <c r="G214" s="82"/>
      <c r="H214" s="82"/>
      <c r="I214" s="82"/>
      <c r="J214" s="82"/>
      <c r="K214" s="82"/>
      <c r="L214" s="82"/>
      <c r="M214" s="82"/>
      <c r="N214" s="82"/>
      <c r="O214" s="82"/>
      <c r="P214" s="82"/>
      <c r="Q214" s="82"/>
      <c r="R214" s="82"/>
      <c r="S214" s="82"/>
    </row>
    <row r="215" spans="1:19" ht="13.5" customHeight="1">
      <c r="F215" s="124"/>
      <c r="G215" s="124"/>
    </row>
  </sheetData>
  <pageMargins left="0.25" right="0.25" top="0.75" bottom="0.75" header="0.3" footer="0.3"/>
  <pageSetup scale="47" orientation="landscape" r:id="rId1"/>
  <headerFooter alignWithMargins="0">
    <oddHeader>&amp;A</oddHeader>
    <oddFooter>Page &amp;P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E1AEF-5205-4DAD-91D6-3E198C97596D}">
  <sheetPr>
    <tabColor rgb="FF416D89"/>
    <outlinePr summaryBelow="0"/>
    <pageSetUpPr fitToPage="1"/>
  </sheetPr>
  <dimension ref="A1:S21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175</v>
      </c>
      <c r="D3" s="34"/>
      <c r="E3" s="38"/>
      <c r="F3" s="38"/>
      <c r="G3" s="38"/>
      <c r="H3" s="34"/>
      <c r="I3" s="34"/>
      <c r="J3" s="34"/>
      <c r="K3" s="34"/>
      <c r="L3" s="34"/>
    </row>
    <row r="4" spans="2:14" ht="13.5" customHeight="1" outlineLevel="1">
      <c r="C4" s="37"/>
      <c r="D4" s="34"/>
      <c r="E4" s="38"/>
      <c r="F4" s="38"/>
      <c r="G4" s="38"/>
      <c r="H4" s="34"/>
      <c r="I4" s="34"/>
      <c r="J4" s="34"/>
      <c r="K4" s="34"/>
      <c r="L4" s="34"/>
      <c r="N4" s="195" t="s">
        <v>176</v>
      </c>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125"/>
      <c r="C60" s="88" t="s">
        <v>82</v>
      </c>
      <c r="F60" s="141">
        <f>'Financials from CIP'!D46/1000</f>
        <v>7.1056520000000001</v>
      </c>
      <c r="G60" s="141">
        <f>'Financials from CIP'!E46/1000</f>
        <v>2.9579920000000004</v>
      </c>
      <c r="H60" s="196">
        <f>G60+H119</f>
        <v>13.005932342237593</v>
      </c>
      <c r="I60" s="196">
        <f>H60+I119</f>
        <v>22.519730311941146</v>
      </c>
      <c r="J60" s="196">
        <f ca="1">I60+J119</f>
        <v>33.545552217020031</v>
      </c>
      <c r="K60" s="196">
        <f ca="1">J60+K119</f>
        <v>46.071928574382142</v>
      </c>
      <c r="L60" s="196">
        <f ca="1">K60+L119</f>
        <v>59.993804262544216</v>
      </c>
      <c r="M60" s="50" t="s">
        <v>177</v>
      </c>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7">I130</f>
        <v>27.695031965240773</v>
      </c>
      <c r="J61" s="149">
        <f t="shared" si="17"/>
        <v>31.111314829301037</v>
      </c>
      <c r="K61" s="149">
        <f t="shared" si="17"/>
        <v>34.015669157916122</v>
      </c>
      <c r="L61" s="149">
        <f t="shared" si="17"/>
        <v>36.170685445667161</v>
      </c>
      <c r="M61" s="50"/>
    </row>
    <row r="62" spans="1:13" ht="13.5" customHeight="1" outlineLevel="1">
      <c r="A62" s="82"/>
      <c r="C62" s="91" t="s">
        <v>31</v>
      </c>
      <c r="F62" s="96">
        <f>'Financials from CIP'!D49/1000</f>
        <v>0.80490099999999998</v>
      </c>
      <c r="G62" s="96">
        <f>'Financials from CIP'!E49/1000</f>
        <v>1.161057</v>
      </c>
      <c r="H62" s="149">
        <f t="shared" ref="H62:L63" si="18">H131</f>
        <v>1.2029011201180084</v>
      </c>
      <c r="I62" s="149">
        <f t="shared" si="18"/>
        <v>1.3873703794209342</v>
      </c>
      <c r="J62" s="149">
        <f t="shared" si="18"/>
        <v>1.558507558799139</v>
      </c>
      <c r="K62" s="149">
        <f t="shared" si="18"/>
        <v>1.7039999045715051</v>
      </c>
      <c r="L62" s="149">
        <f t="shared" si="18"/>
        <v>1.8119544925477122</v>
      </c>
      <c r="M62" s="50"/>
    </row>
    <row r="63" spans="1:13" ht="13.5" customHeight="1" outlineLevel="1">
      <c r="A63" s="82"/>
      <c r="C63" s="91" t="s">
        <v>84</v>
      </c>
      <c r="F63" s="96">
        <f>'Financials from CIP'!D50/1000</f>
        <v>0.26978399999999997</v>
      </c>
      <c r="G63" s="96">
        <f>'Financials from CIP'!E50/1000</f>
        <v>0.34491899999999998</v>
      </c>
      <c r="H63" s="149">
        <f t="shared" si="18"/>
        <v>0.3792215684283346</v>
      </c>
      <c r="I63" s="149">
        <f t="shared" si="18"/>
        <v>0.43737657441320382</v>
      </c>
      <c r="J63" s="149">
        <f t="shared" si="18"/>
        <v>0.49132856472628733</v>
      </c>
      <c r="K63" s="149">
        <f t="shared" si="18"/>
        <v>0.53719587221761422</v>
      </c>
      <c r="L63" s="149">
        <f t="shared" si="18"/>
        <v>0.57122918342390505</v>
      </c>
      <c r="M63" s="50"/>
    </row>
    <row r="64" spans="1:13" ht="13.5" customHeight="1" outlineLevel="1">
      <c r="A64" s="82"/>
      <c r="C64" s="76" t="s">
        <v>33</v>
      </c>
      <c r="D64" s="77"/>
      <c r="E64" s="77"/>
      <c r="F64" s="93">
        <f>SUM(F60:F63)</f>
        <v>24.961756000000005</v>
      </c>
      <c r="G64" s="93">
        <f>SUM(G60:G63)</f>
        <v>26.74869</v>
      </c>
      <c r="H64" s="93">
        <f t="shared" ref="H64:L64" si="19">SUM(H60:H63)</f>
        <v>38.600665842467151</v>
      </c>
      <c r="I64" s="93">
        <f t="shared" si="19"/>
        <v>52.039509231016062</v>
      </c>
      <c r="J64" s="93">
        <f t="shared" ca="1" si="19"/>
        <v>66.706703169846492</v>
      </c>
      <c r="K64" s="93">
        <f t="shared" ca="1" si="19"/>
        <v>82.328793509087376</v>
      </c>
      <c r="L64" s="93">
        <f t="shared" ca="1" si="19"/>
        <v>98.547673384183</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20">SUM(H64,H67:H69)</f>
        <v>95.331616888100726</v>
      </c>
      <c r="I70" s="102">
        <f t="shared" si="20"/>
        <v>105.41124477257277</v>
      </c>
      <c r="J70" s="102">
        <f t="shared" ca="1" si="20"/>
        <v>116.75237754196664</v>
      </c>
      <c r="K70" s="102">
        <f t="shared" ca="1" si="20"/>
        <v>128.99438515551395</v>
      </c>
      <c r="L70" s="102">
        <f t="shared" ca="1" si="20"/>
        <v>141.67433206604585</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1">I135</f>
        <v>3.7340173042871405</v>
      </c>
      <c r="J74" s="149">
        <f t="shared" si="21"/>
        <v>4.1946219118843056</v>
      </c>
      <c r="K74" s="149">
        <f t="shared" si="21"/>
        <v>4.5862051147649199</v>
      </c>
      <c r="L74" s="149">
        <f t="shared" si="21"/>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2">H136</f>
        <v>3.1966854452582232</v>
      </c>
      <c r="I75" s="149">
        <f t="shared" si="22"/>
        <v>3.6869087782063024</v>
      </c>
      <c r="J75" s="149">
        <f t="shared" si="22"/>
        <v>4.1417023778724023</v>
      </c>
      <c r="K75" s="149">
        <f t="shared" si="22"/>
        <v>4.5283453498910609</v>
      </c>
      <c r="L75" s="149">
        <f t="shared" si="22"/>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2"/>
        <v>3.2317636858846019</v>
      </c>
      <c r="I76" s="149">
        <f t="shared" si="22"/>
        <v>3.727366394541769</v>
      </c>
      <c r="J76" s="149">
        <f t="shared" si="22"/>
        <v>4.1871505882458564</v>
      </c>
      <c r="K76" s="149">
        <f t="shared" si="22"/>
        <v>4.5780363159066395</v>
      </c>
      <c r="L76" s="149">
        <f t="shared" si="22"/>
        <v>4.8680715576328382</v>
      </c>
      <c r="M76" s="50"/>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3"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3" ht="13.5" customHeight="1" outlineLevel="1">
      <c r="A82" s="82"/>
      <c r="C82" s="76" t="s">
        <v>92</v>
      </c>
      <c r="D82" s="77"/>
      <c r="E82" s="77"/>
      <c r="F82" s="93">
        <f>SUM(F78:F81)</f>
        <v>20.226886000000004</v>
      </c>
      <c r="G82" s="93">
        <f>SUM(G78:G81)</f>
        <v>13.388756000000001</v>
      </c>
      <c r="H82" s="93">
        <f t="shared" ref="H82:L82" si="24">SUM(H78:H81)</f>
        <v>0</v>
      </c>
      <c r="I82" s="93">
        <f t="shared" si="24"/>
        <v>0</v>
      </c>
      <c r="J82" s="93">
        <f t="shared" si="24"/>
        <v>0</v>
      </c>
      <c r="K82" s="93">
        <f t="shared" si="24"/>
        <v>0</v>
      </c>
      <c r="L82" s="93">
        <f t="shared" si="24"/>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5">SUM(H77,H82:H83)</f>
        <v>10.095867400270937</v>
      </c>
      <c r="I84" s="93">
        <f t="shared" si="25"/>
        <v>11.578180477035213</v>
      </c>
      <c r="J84" s="93">
        <f t="shared" si="25"/>
        <v>12.953362878002563</v>
      </c>
      <c r="K84" s="93">
        <f t="shared" si="25"/>
        <v>14.122474780562621</v>
      </c>
      <c r="L84" s="93">
        <f t="shared" si="25"/>
        <v>14.989949925519163</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6">SUM(H84:H86)</f>
        <v>81.942860383908922</v>
      </c>
      <c r="I87" s="105">
        <f t="shared" si="26"/>
        <v>92.022488268380954</v>
      </c>
      <c r="J87" s="105">
        <f t="shared" ca="1" si="26"/>
        <v>103.36362103777482</v>
      </c>
      <c r="K87" s="105">
        <f t="shared" ca="1" si="26"/>
        <v>115.60562865132215</v>
      </c>
      <c r="L87" s="105">
        <f t="shared" ca="1" si="26"/>
        <v>128.28557556185402</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si="27"/>
        <v>-13.388756504191804</v>
      </c>
      <c r="I89" s="178">
        <f t="shared" si="27"/>
        <v>-13.388756504191818</v>
      </c>
      <c r="J89" s="178">
        <f t="shared" ca="1" si="27"/>
        <v>-13.388756504191818</v>
      </c>
      <c r="K89" s="178">
        <f t="shared" ca="1" si="27"/>
        <v>-13.388756504191804</v>
      </c>
      <c r="L89" s="178">
        <f t="shared" ca="1" si="27"/>
        <v>-13.388756504191832</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A93" s="125"/>
      <c r="B93" s="46" t="s">
        <v>61</v>
      </c>
      <c r="C93" s="47" t="s">
        <v>178</v>
      </c>
      <c r="D93" s="48"/>
      <c r="E93" s="49"/>
      <c r="F93" s="49"/>
      <c r="G93" s="49"/>
      <c r="H93" s="49"/>
      <c r="I93" s="49"/>
      <c r="J93" s="49"/>
      <c r="K93" s="49"/>
      <c r="L93" s="49"/>
    </row>
    <row r="94" spans="1:13" ht="5.0999999999999996" customHeight="1" outlineLevel="1">
      <c r="A94" s="125"/>
      <c r="C94" s="51"/>
      <c r="D94" s="52"/>
    </row>
    <row r="95" spans="1:13" ht="13.5" customHeight="1" outlineLevel="1">
      <c r="A95" s="125"/>
      <c r="C95" s="53"/>
      <c r="D95" s="53"/>
      <c r="E95" s="53"/>
      <c r="F95" s="54" t="s">
        <v>63</v>
      </c>
      <c r="G95" s="54" t="s">
        <v>63</v>
      </c>
      <c r="H95" s="55" t="s">
        <v>64</v>
      </c>
      <c r="I95" s="55"/>
      <c r="J95" s="55"/>
      <c r="K95" s="55"/>
      <c r="L95" s="55"/>
    </row>
    <row r="96" spans="1:13" ht="13.5" customHeight="1" outlineLevel="1" thickBot="1">
      <c r="A96" s="125"/>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A97" s="125"/>
      <c r="C97" s="59"/>
      <c r="D97" s="59"/>
      <c r="E97" s="59"/>
      <c r="F97" s="60"/>
      <c r="G97" s="60"/>
      <c r="H97" s="60"/>
      <c r="I97" s="60"/>
      <c r="J97" s="60"/>
      <c r="K97" s="60"/>
    </row>
    <row r="98" spans="1:13" ht="13.5" customHeight="1" outlineLevel="1">
      <c r="A98" s="125"/>
      <c r="C98" s="84" t="s">
        <v>179</v>
      </c>
      <c r="D98" s="85"/>
      <c r="E98" s="86"/>
      <c r="F98" s="86"/>
      <c r="G98" s="86"/>
      <c r="H98" s="86"/>
      <c r="I98" s="86"/>
      <c r="J98" s="86"/>
      <c r="K98" s="86"/>
      <c r="L98" s="87"/>
      <c r="M98" s="50" t="s">
        <v>180</v>
      </c>
    </row>
    <row r="99" spans="1:13" ht="13.5" customHeight="1" outlineLevel="1">
      <c r="A99" s="125"/>
      <c r="C99" s="118"/>
      <c r="D99" s="118"/>
      <c r="E99" s="118"/>
    </row>
    <row r="100" spans="1:13" ht="13.5" customHeight="1" outlineLevel="1">
      <c r="A100" s="125"/>
      <c r="C100" s="68" t="s">
        <v>22</v>
      </c>
      <c r="D100" s="68"/>
      <c r="E100" s="68"/>
      <c r="F100" s="68"/>
      <c r="G100" s="147"/>
      <c r="H100" s="129">
        <f>H33</f>
        <v>7.078372487829796</v>
      </c>
      <c r="I100" s="129">
        <f>I33</f>
        <v>8.5973148077077592</v>
      </c>
      <c r="J100" s="129">
        <f ca="1">J33</f>
        <v>9.965950368426526</v>
      </c>
      <c r="K100" s="129">
        <f ca="1">K33</f>
        <v>11.072895710987275</v>
      </c>
      <c r="L100" s="129">
        <f ca="1">L33</f>
        <v>11.812471765575342</v>
      </c>
      <c r="M100" s="50" t="s">
        <v>181</v>
      </c>
    </row>
    <row r="101" spans="1:13" ht="13.5" customHeight="1" outlineLevel="1">
      <c r="A101" s="125"/>
      <c r="C101" s="91" t="s">
        <v>15</v>
      </c>
      <c r="D101" s="68"/>
      <c r="E101" s="68"/>
      <c r="F101" s="68"/>
      <c r="G101" s="154"/>
      <c r="H101" s="129">
        <f>H20</f>
        <v>5.829392560625954</v>
      </c>
      <c r="I101" s="129">
        <f>I20</f>
        <v>6.1302957891314076</v>
      </c>
      <c r="J101" s="129">
        <f ca="1">J20</f>
        <v>6.4683165246530567</v>
      </c>
      <c r="K101" s="129">
        <f ca="1">K20</f>
        <v>6.8378927245374452</v>
      </c>
      <c r="L101" s="129">
        <f ca="1">L20</f>
        <v>7.2308829200900817</v>
      </c>
      <c r="M101" s="50" t="s">
        <v>182</v>
      </c>
    </row>
    <row r="102" spans="1:13" ht="13.5" customHeight="1" outlineLevel="1">
      <c r="A102" s="125"/>
      <c r="C102" s="91" t="s">
        <v>183</v>
      </c>
      <c r="D102" s="68"/>
      <c r="E102" s="68"/>
      <c r="F102" s="68"/>
      <c r="G102" s="154"/>
      <c r="H102" s="129">
        <f>H21</f>
        <v>0.237952</v>
      </c>
      <c r="I102" s="129">
        <f t="shared" ref="I102:L102" si="29">I21</f>
        <v>0.237952</v>
      </c>
      <c r="J102" s="129">
        <f t="shared" si="29"/>
        <v>0.237952</v>
      </c>
      <c r="K102" s="129">
        <f t="shared" si="29"/>
        <v>0.237952</v>
      </c>
      <c r="L102" s="129">
        <f t="shared" si="29"/>
        <v>0.237952</v>
      </c>
      <c r="M102" s="50" t="s">
        <v>184</v>
      </c>
    </row>
    <row r="103" spans="1:13" ht="13.5" customHeight="1" outlineLevel="1">
      <c r="A103" s="125"/>
      <c r="C103" s="65" t="s">
        <v>185</v>
      </c>
      <c r="D103" s="65"/>
      <c r="E103" s="65"/>
      <c r="F103" s="65"/>
      <c r="G103" s="197"/>
      <c r="H103" s="198">
        <f>SUM(H100:H102)</f>
        <v>13.145717048455751</v>
      </c>
      <c r="I103" s="198">
        <f t="shared" ref="I103:L103" si="30">SUM(I100:I102)</f>
        <v>14.965562596839167</v>
      </c>
      <c r="J103" s="198">
        <f t="shared" ca="1" si="30"/>
        <v>16.672218893079581</v>
      </c>
      <c r="K103" s="198">
        <f t="shared" ca="1" si="30"/>
        <v>18.148740435524722</v>
      </c>
      <c r="L103" s="198">
        <f t="shared" ca="1" si="30"/>
        <v>19.281306685665424</v>
      </c>
      <c r="M103" s="50" t="s">
        <v>186</v>
      </c>
    </row>
    <row r="104" spans="1:13" ht="13.5" customHeight="1" outlineLevel="1">
      <c r="A104" s="125"/>
      <c r="C104" s="91" t="s">
        <v>187</v>
      </c>
      <c r="D104" s="68"/>
      <c r="E104" s="68"/>
      <c r="F104" s="68"/>
      <c r="G104" s="154"/>
      <c r="H104" s="129">
        <f>-(H141)</f>
        <v>-0.48883509995862262</v>
      </c>
      <c r="I104" s="129">
        <f>-(I141)</f>
        <v>-2.442732342081074</v>
      </c>
      <c r="J104" s="129">
        <f>-(J141)</f>
        <v>-2.2661896327842008</v>
      </c>
      <c r="K104" s="129">
        <f>-(K141)</f>
        <v>-1.9266020793187231</v>
      </c>
      <c r="L104" s="129">
        <f>-(L141)</f>
        <v>-1.4295290419769913</v>
      </c>
      <c r="M104" s="50" t="s">
        <v>188</v>
      </c>
    </row>
    <row r="105" spans="1:13" ht="13.5" customHeight="1" outlineLevel="1">
      <c r="A105" s="125"/>
      <c r="C105" s="180" t="s">
        <v>189</v>
      </c>
      <c r="D105" s="180"/>
      <c r="E105" s="180"/>
      <c r="F105" s="180"/>
      <c r="G105" s="199"/>
      <c r="H105" s="200">
        <f>+SUM(H103:H104)</f>
        <v>12.656881948497128</v>
      </c>
      <c r="I105" s="200">
        <f t="shared" ref="I105:L105" si="31">+SUM(I103:I104)</f>
        <v>12.522830254758093</v>
      </c>
      <c r="J105" s="200">
        <f t="shared" ca="1" si="31"/>
        <v>14.40602926029538</v>
      </c>
      <c r="K105" s="200">
        <f t="shared" ca="1" si="31"/>
        <v>16.222138356205999</v>
      </c>
      <c r="L105" s="200">
        <f t="shared" ca="1" si="31"/>
        <v>17.851777643688433</v>
      </c>
      <c r="M105" s="50"/>
    </row>
    <row r="106" spans="1:13" ht="13.5" customHeight="1" outlineLevel="1">
      <c r="A106" s="125"/>
      <c r="C106" s="68"/>
      <c r="D106" s="68"/>
      <c r="E106" s="68"/>
      <c r="F106" s="68"/>
      <c r="G106" s="154"/>
      <c r="H106" s="154"/>
      <c r="I106" s="154"/>
      <c r="J106" s="154"/>
      <c r="K106" s="154"/>
      <c r="L106" s="154"/>
    </row>
    <row r="107" spans="1:13" ht="13.5" customHeight="1" outlineLevel="1">
      <c r="A107" s="125"/>
      <c r="C107" s="84" t="s">
        <v>190</v>
      </c>
      <c r="D107" s="85"/>
      <c r="E107" s="86"/>
      <c r="F107" s="86"/>
      <c r="G107" s="86"/>
      <c r="H107" s="201"/>
      <c r="I107" s="201"/>
      <c r="J107" s="201"/>
      <c r="K107" s="201"/>
      <c r="L107" s="202"/>
    </row>
    <row r="108" spans="1:13" ht="13.5" customHeight="1" outlineLevel="1">
      <c r="A108" s="125"/>
      <c r="C108" s="118"/>
      <c r="D108" s="118"/>
      <c r="E108" s="118"/>
      <c r="H108" s="68"/>
      <c r="I108" s="68"/>
      <c r="J108" s="68"/>
      <c r="K108" s="68"/>
      <c r="L108" s="68"/>
    </row>
    <row r="109" spans="1:13" ht="13.5" customHeight="1" outlineLevel="1">
      <c r="A109" s="125"/>
      <c r="C109" s="39" t="s">
        <v>191</v>
      </c>
      <c r="D109" s="68"/>
      <c r="E109" s="68"/>
      <c r="F109" s="68"/>
      <c r="G109" s="147"/>
      <c r="H109" s="203">
        <f>-H36</f>
        <v>-2.6089416062595356</v>
      </c>
      <c r="I109" s="203">
        <f>-I36</f>
        <v>-3.0090322850545372</v>
      </c>
      <c r="J109" s="203">
        <f>-J36</f>
        <v>-3.3802073552164953</v>
      </c>
      <c r="K109" s="203">
        <f>-K36</f>
        <v>-3.6957619988438841</v>
      </c>
      <c r="L109" s="203">
        <f>-L36</f>
        <v>-3.9299019555263603</v>
      </c>
      <c r="M109" s="50" t="s">
        <v>192</v>
      </c>
    </row>
    <row r="110" spans="1:13" ht="13.5" customHeight="1" outlineLevel="1">
      <c r="A110" s="125"/>
      <c r="C110" s="68"/>
      <c r="D110" s="68"/>
      <c r="E110" s="68"/>
      <c r="F110" s="68"/>
      <c r="G110" s="154"/>
      <c r="H110" s="154"/>
      <c r="I110" s="154"/>
      <c r="J110" s="154"/>
      <c r="K110" s="154"/>
      <c r="L110" s="154"/>
    </row>
    <row r="111" spans="1:13" ht="13.5" customHeight="1" outlineLevel="1">
      <c r="A111" s="125"/>
      <c r="C111" s="84" t="s">
        <v>193</v>
      </c>
      <c r="D111" s="85"/>
      <c r="E111" s="86"/>
      <c r="F111" s="86"/>
      <c r="G111" s="86"/>
      <c r="H111" s="201"/>
      <c r="I111" s="201"/>
      <c r="J111" s="201"/>
      <c r="K111" s="201"/>
      <c r="L111" s="202"/>
    </row>
    <row r="112" spans="1:13" ht="13.5" customHeight="1" outlineLevel="1">
      <c r="A112" s="125"/>
      <c r="C112" s="118"/>
      <c r="D112" s="118"/>
      <c r="E112" s="118"/>
      <c r="H112" s="68"/>
      <c r="I112" s="68"/>
      <c r="J112" s="68"/>
      <c r="K112" s="68"/>
      <c r="L112" s="68"/>
    </row>
    <row r="113" spans="1:13" s="205" customFormat="1" ht="13.5" customHeight="1" outlineLevel="1">
      <c r="A113" s="204"/>
      <c r="C113" s="68" t="s">
        <v>41</v>
      </c>
      <c r="D113" s="118"/>
      <c r="E113" s="118"/>
      <c r="F113" s="29"/>
      <c r="G113" s="132"/>
      <c r="H113" s="206"/>
      <c r="I113" s="206"/>
      <c r="J113" s="206"/>
      <c r="K113" s="206"/>
      <c r="L113" s="206"/>
    </row>
    <row r="114" spans="1:13" s="205" customFormat="1" ht="13.5" customHeight="1" outlineLevel="1">
      <c r="A114" s="204"/>
      <c r="C114" s="68" t="str">
        <f>+C79</f>
        <v>Term Loan A</v>
      </c>
      <c r="D114" s="118"/>
      <c r="E114" s="118"/>
      <c r="F114" s="29"/>
      <c r="G114" s="207"/>
      <c r="H114" s="206"/>
      <c r="I114" s="206"/>
      <c r="J114" s="206"/>
      <c r="K114" s="206"/>
      <c r="L114" s="206"/>
    </row>
    <row r="115" spans="1:13" s="205" customFormat="1" ht="13.5" customHeight="1" outlineLevel="1">
      <c r="A115" s="204"/>
      <c r="C115" s="68" t="str">
        <f>+C80</f>
        <v>Subordinated - Note 1</v>
      </c>
      <c r="D115" s="118"/>
      <c r="E115" s="118"/>
      <c r="F115" s="29"/>
      <c r="G115" s="207"/>
      <c r="H115" s="206"/>
      <c r="I115" s="206"/>
      <c r="J115" s="206"/>
      <c r="K115" s="206"/>
      <c r="L115" s="206"/>
    </row>
    <row r="116" spans="1:13" s="205" customFormat="1" ht="13.5" customHeight="1" outlineLevel="1">
      <c r="A116" s="204"/>
      <c r="C116" s="68" t="str">
        <f t="shared" ref="C116" si="32">+C81</f>
        <v>Subordinated - Note 2</v>
      </c>
      <c r="D116" s="118"/>
      <c r="E116" s="118"/>
      <c r="F116" s="29"/>
      <c r="G116" s="207"/>
      <c r="H116" s="206"/>
      <c r="I116" s="206"/>
      <c r="J116" s="206"/>
      <c r="K116" s="206"/>
      <c r="L116" s="206"/>
    </row>
    <row r="117" spans="1:13" s="205" customFormat="1" ht="13.5" customHeight="1" outlineLevel="1">
      <c r="A117" s="204"/>
      <c r="C117" s="180" t="s">
        <v>194</v>
      </c>
      <c r="D117" s="180"/>
      <c r="E117" s="180"/>
      <c r="F117" s="180"/>
      <c r="G117" s="199"/>
      <c r="H117" s="200">
        <f>SUM(H113:H116)</f>
        <v>0</v>
      </c>
      <c r="I117" s="200">
        <f t="shared" ref="I117:L117" si="33">SUM(I113:I116)</f>
        <v>0</v>
      </c>
      <c r="J117" s="200">
        <f t="shared" si="33"/>
        <v>0</v>
      </c>
      <c r="K117" s="200">
        <f t="shared" si="33"/>
        <v>0</v>
      </c>
      <c r="L117" s="200">
        <f t="shared" si="33"/>
        <v>0</v>
      </c>
    </row>
    <row r="118" spans="1:13" s="205" customFormat="1" ht="13.5" customHeight="1" outlineLevel="1">
      <c r="A118" s="204"/>
      <c r="C118" s="118"/>
      <c r="D118" s="118"/>
      <c r="E118" s="118"/>
      <c r="F118" s="29"/>
      <c r="G118" s="29"/>
      <c r="H118" s="68"/>
      <c r="I118" s="68"/>
      <c r="J118" s="68"/>
      <c r="K118" s="68"/>
      <c r="L118" s="68"/>
    </row>
    <row r="119" spans="1:13" s="205" customFormat="1" ht="13.5" customHeight="1" outlineLevel="1">
      <c r="A119" s="204"/>
      <c r="C119" s="39" t="s">
        <v>195</v>
      </c>
      <c r="D119" s="118"/>
      <c r="E119" s="118"/>
      <c r="F119" s="30"/>
      <c r="G119" s="208"/>
      <c r="H119" s="203">
        <f>H117+H109+H105</f>
        <v>10.047940342237592</v>
      </c>
      <c r="I119" s="203">
        <f>I117+I109+I105</f>
        <v>9.5137979697035551</v>
      </c>
      <c r="J119" s="203">
        <f ca="1">J117+J109+J105</f>
        <v>11.025821905078885</v>
      </c>
      <c r="K119" s="203">
        <f ca="1">K117+K109+K105</f>
        <v>12.526376357362114</v>
      </c>
      <c r="L119" s="203">
        <f ca="1">L117+L109+L105</f>
        <v>13.921875688162071</v>
      </c>
      <c r="M119" s="50" t="s">
        <v>196</v>
      </c>
    </row>
    <row r="120" spans="1:13" s="205" customFormat="1" ht="5.0999999999999996" customHeight="1" outlineLevel="1" thickBot="1">
      <c r="A120" s="204"/>
      <c r="C120" s="157"/>
      <c r="D120" s="157"/>
      <c r="E120" s="157"/>
      <c r="F120" s="83"/>
      <c r="G120" s="83"/>
      <c r="H120" s="83"/>
      <c r="I120" s="83"/>
      <c r="J120" s="83"/>
      <c r="K120" s="83"/>
      <c r="L120" s="83"/>
    </row>
    <row r="121" spans="1:13" s="205" customFormat="1" ht="13.5" customHeight="1" outlineLevel="1">
      <c r="A121" s="204"/>
      <c r="C121" s="29"/>
      <c r="D121" s="29"/>
      <c r="E121" s="29"/>
      <c r="F121" s="29"/>
      <c r="G121" s="29"/>
      <c r="H121" s="29"/>
      <c r="I121" s="29"/>
      <c r="J121" s="29"/>
      <c r="K121" s="29"/>
      <c r="L121" s="29"/>
    </row>
    <row r="122" spans="1:13" ht="13.5" customHeight="1" outlineLevel="1" thickBot="1"/>
    <row r="123" spans="1:13" ht="21.75" thickTop="1">
      <c r="B123" s="46" t="s">
        <v>61</v>
      </c>
      <c r="C123" s="47" t="s">
        <v>148</v>
      </c>
      <c r="D123" s="48"/>
      <c r="E123" s="49"/>
      <c r="F123" s="49"/>
      <c r="G123" s="49"/>
      <c r="H123" s="49"/>
      <c r="I123" s="49"/>
      <c r="J123" s="49"/>
      <c r="K123" s="49"/>
      <c r="L123" s="49"/>
    </row>
    <row r="124" spans="1:13" ht="5.0999999999999996" customHeight="1" outlineLevel="1">
      <c r="C124" s="51"/>
      <c r="D124" s="52"/>
    </row>
    <row r="125" spans="1:13" ht="13.5" customHeight="1" outlineLevel="1">
      <c r="C125" s="53"/>
      <c r="D125" s="53"/>
      <c r="E125" s="53"/>
      <c r="F125" s="54" t="s">
        <v>63</v>
      </c>
      <c r="G125" s="54" t="s">
        <v>63</v>
      </c>
      <c r="H125" s="55" t="s">
        <v>64</v>
      </c>
      <c r="I125" s="55"/>
      <c r="J125" s="55"/>
      <c r="K125" s="55"/>
      <c r="L125" s="55"/>
    </row>
    <row r="126" spans="1:13" ht="13.5" customHeight="1" outlineLevel="1" thickBot="1">
      <c r="C126" s="56" t="s">
        <v>65</v>
      </c>
      <c r="D126" s="57"/>
      <c r="E126" s="57"/>
      <c r="F126" s="58">
        <f>F$11</f>
        <v>45291</v>
      </c>
      <c r="G126" s="58">
        <f>G$11</f>
        <v>45657</v>
      </c>
      <c r="H126" s="58">
        <f t="shared" ref="H126:L126" si="34">H$11</f>
        <v>46022</v>
      </c>
      <c r="I126" s="58">
        <f t="shared" si="34"/>
        <v>46387</v>
      </c>
      <c r="J126" s="58">
        <f t="shared" si="34"/>
        <v>46752</v>
      </c>
      <c r="K126" s="58">
        <f t="shared" si="34"/>
        <v>47118</v>
      </c>
      <c r="L126" s="58">
        <f t="shared" si="34"/>
        <v>47483</v>
      </c>
    </row>
    <row r="127" spans="1:13" ht="5.0999999999999996" customHeight="1" outlineLevel="1">
      <c r="C127" s="59"/>
      <c r="D127" s="59"/>
      <c r="E127" s="59"/>
      <c r="F127" s="60"/>
      <c r="G127" s="60"/>
      <c r="H127" s="60"/>
      <c r="I127" s="60"/>
      <c r="J127" s="60"/>
      <c r="K127" s="60"/>
    </row>
    <row r="128" spans="1: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5">F61</f>
        <v>16.781419000000003</v>
      </c>
      <c r="G130" s="177">
        <f t="shared" si="35"/>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5"/>
        <v>0.80490099999999998</v>
      </c>
      <c r="G131" s="177">
        <f t="shared" si="35"/>
        <v>1.161057</v>
      </c>
      <c r="H131" s="177">
        <f>(H146/365)*H150</f>
        <v>1.2029011201180084</v>
      </c>
      <c r="I131" s="177">
        <f t="shared" ref="I131:L131" si="36">(I146/365)*I150</f>
        <v>1.3873703794209342</v>
      </c>
      <c r="J131" s="177">
        <f t="shared" si="36"/>
        <v>1.558507558799139</v>
      </c>
      <c r="K131" s="177">
        <f t="shared" si="36"/>
        <v>1.7039999045715051</v>
      </c>
      <c r="L131" s="177">
        <f t="shared" si="36"/>
        <v>1.8119544925477122</v>
      </c>
      <c r="M131" s="50"/>
    </row>
    <row r="132" spans="3:13" ht="13.5" customHeight="1" outlineLevel="1">
      <c r="C132" s="91" t="str">
        <f>C63</f>
        <v>Prepaids and Other Current Assets</v>
      </c>
      <c r="D132" s="68"/>
      <c r="E132" s="68"/>
      <c r="F132" s="177">
        <f t="shared" si="35"/>
        <v>0.26978399999999997</v>
      </c>
      <c r="G132" s="177">
        <f t="shared" si="35"/>
        <v>0.34491899999999998</v>
      </c>
      <c r="H132" s="177">
        <f>H151*H147</f>
        <v>0.3792215684283346</v>
      </c>
      <c r="I132" s="177">
        <f t="shared" ref="I132:L132" si="37">I151*I147</f>
        <v>0.43737657441320382</v>
      </c>
      <c r="J132" s="177">
        <f t="shared" si="37"/>
        <v>0.49132856472628733</v>
      </c>
      <c r="K132" s="177">
        <f t="shared" si="37"/>
        <v>0.53719587221761422</v>
      </c>
      <c r="L132" s="177">
        <f t="shared" si="37"/>
        <v>0.57122918342390505</v>
      </c>
      <c r="M132" s="50"/>
    </row>
    <row r="133" spans="3:13" ht="13.5" customHeight="1" outlineLevel="1">
      <c r="C133" s="65" t="s">
        <v>152</v>
      </c>
      <c r="D133" s="65"/>
      <c r="E133" s="65"/>
      <c r="F133" s="179">
        <f t="shared" ref="F133:L133" si="38">SUM(F130:F132)</f>
        <v>17.856104000000006</v>
      </c>
      <c r="G133" s="179">
        <f t="shared" si="38"/>
        <v>23.790697999999999</v>
      </c>
      <c r="H133" s="179">
        <f t="shared" si="38"/>
        <v>25.594733500229559</v>
      </c>
      <c r="I133" s="179">
        <f t="shared" si="38"/>
        <v>29.519778919074909</v>
      </c>
      <c r="J133" s="179">
        <f t="shared" si="38"/>
        <v>33.161150952826461</v>
      </c>
      <c r="K133" s="179">
        <f t="shared" si="38"/>
        <v>36.256864934705241</v>
      </c>
      <c r="L133" s="179">
        <f t="shared" si="38"/>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39">F74</f>
        <v>2.8058170000000002</v>
      </c>
      <c r="G135" s="177">
        <f t="shared" si="39"/>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39"/>
        <v>2.3839329999999999</v>
      </c>
      <c r="G136" s="177">
        <f t="shared" si="39"/>
        <v>2.7880379999999998</v>
      </c>
      <c r="H136" s="177">
        <f>H154*H147</f>
        <v>3.1966854452582232</v>
      </c>
      <c r="I136" s="177">
        <f t="shared" ref="I136:L136" si="40">I154*I147</f>
        <v>3.6869087782063024</v>
      </c>
      <c r="J136" s="177">
        <f t="shared" si="40"/>
        <v>4.1417023778724023</v>
      </c>
      <c r="K136" s="177">
        <f t="shared" si="40"/>
        <v>4.5283453498910609</v>
      </c>
      <c r="L136" s="177">
        <f t="shared" si="40"/>
        <v>4.8152324882940372</v>
      </c>
      <c r="M136" s="50"/>
    </row>
    <row r="137" spans="3:13" ht="13.5" customHeight="1" outlineLevel="1">
      <c r="C137" s="91" t="str">
        <f>C76</f>
        <v>Accrued Expenses &amp; Other</v>
      </c>
      <c r="D137" s="68"/>
      <c r="E137" s="68"/>
      <c r="F137" s="177">
        <f t="shared" si="39"/>
        <v>2.0579079999999998</v>
      </c>
      <c r="G137" s="177">
        <f t="shared" si="39"/>
        <v>3.2020309999999998</v>
      </c>
      <c r="H137" s="177">
        <f>H155*H147</f>
        <v>3.2317636858846019</v>
      </c>
      <c r="I137" s="177">
        <f t="shared" ref="I137:L137" si="41">I155*I147</f>
        <v>3.727366394541769</v>
      </c>
      <c r="J137" s="177">
        <f t="shared" si="41"/>
        <v>4.1871505882458564</v>
      </c>
      <c r="K137" s="177">
        <f t="shared" si="41"/>
        <v>4.5780363159066395</v>
      </c>
      <c r="L137" s="177">
        <f t="shared" si="41"/>
        <v>4.8680715576328382</v>
      </c>
      <c r="M137" s="50"/>
    </row>
    <row r="138" spans="3:13" ht="13.5" customHeight="1" outlineLevel="1">
      <c r="C138" s="65" t="s">
        <v>156</v>
      </c>
      <c r="D138" s="65"/>
      <c r="E138" s="65"/>
      <c r="F138" s="179">
        <f t="shared" ref="F138:L138" si="42">SUM(F135:F137)</f>
        <v>7.2476579999999995</v>
      </c>
      <c r="G138" s="179">
        <f t="shared" si="42"/>
        <v>8.3507789999999993</v>
      </c>
      <c r="H138" s="179">
        <f t="shared" si="42"/>
        <v>9.6659794002709365</v>
      </c>
      <c r="I138" s="179">
        <f t="shared" si="42"/>
        <v>11.148292477035213</v>
      </c>
      <c r="J138" s="179">
        <f t="shared" si="42"/>
        <v>12.523474878002563</v>
      </c>
      <c r="K138" s="179">
        <f t="shared" si="42"/>
        <v>13.692586780562621</v>
      </c>
      <c r="L138" s="179">
        <f t="shared" si="42"/>
        <v>14.560061925519163</v>
      </c>
    </row>
    <row r="139" spans="3:13" ht="13.5" customHeight="1" outlineLevel="1">
      <c r="C139" s="180" t="s">
        <v>157</v>
      </c>
      <c r="D139" s="180"/>
      <c r="E139" s="180"/>
      <c r="F139" s="181">
        <f t="shared" ref="F139:L139" si="43">F133-F138</f>
        <v>10.608446000000006</v>
      </c>
      <c r="G139" s="181">
        <f t="shared" si="43"/>
        <v>15.439919</v>
      </c>
      <c r="H139" s="181">
        <f t="shared" si="43"/>
        <v>15.928754099958622</v>
      </c>
      <c r="I139" s="181">
        <f t="shared" si="43"/>
        <v>18.371486442039696</v>
      </c>
      <c r="J139" s="181">
        <f t="shared" si="43"/>
        <v>20.637676074823897</v>
      </c>
      <c r="K139" s="181">
        <f t="shared" si="43"/>
        <v>22.56427815414262</v>
      </c>
      <c r="L139" s="181">
        <f t="shared" si="43"/>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4">G139-F139</f>
        <v>4.8314729999999937</v>
      </c>
      <c r="H141" s="182">
        <f t="shared" si="44"/>
        <v>0.48883509995862262</v>
      </c>
      <c r="I141" s="182">
        <f t="shared" si="44"/>
        <v>2.442732342081074</v>
      </c>
      <c r="J141" s="182">
        <f t="shared" si="44"/>
        <v>2.2661896327842008</v>
      </c>
      <c r="K141" s="182">
        <f t="shared" si="44"/>
        <v>1.9266020793187231</v>
      </c>
      <c r="L141" s="182">
        <f t="shared" si="44"/>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5">F13</f>
        <v>78.565675999999996</v>
      </c>
      <c r="G145" s="209">
        <f t="shared" si="45"/>
        <v>90.614007999999998</v>
      </c>
      <c r="H145" s="209">
        <f t="shared" si="45"/>
        <v>104.5099955077592</v>
      </c>
      <c r="I145" s="209">
        <f t="shared" si="45"/>
        <v>120.53698321160066</v>
      </c>
      <c r="J145" s="209">
        <f t="shared" si="45"/>
        <v>135.4056582414087</v>
      </c>
      <c r="K145" s="209">
        <f t="shared" si="45"/>
        <v>148.04626863637753</v>
      </c>
      <c r="L145" s="209">
        <f t="shared" si="45"/>
        <v>157.42553790111026</v>
      </c>
      <c r="M145" s="50"/>
    </row>
    <row r="146" spans="1:19" ht="13.5" customHeight="1" outlineLevel="1">
      <c r="C146" s="68" t="s">
        <v>66</v>
      </c>
      <c r="D146" s="68"/>
      <c r="E146" s="68"/>
      <c r="F146" s="177">
        <f t="shared" si="45"/>
        <v>51.562188999999996</v>
      </c>
      <c r="G146" s="177">
        <f t="shared" si="45"/>
        <v>61.618676000000001</v>
      </c>
      <c r="H146" s="177">
        <f t="shared" si="45"/>
        <v>69.828708282059708</v>
      </c>
      <c r="I146" s="177">
        <f t="shared" si="45"/>
        <v>80.537194523728473</v>
      </c>
      <c r="J146" s="177">
        <f t="shared" si="45"/>
        <v>90.471750220079329</v>
      </c>
      <c r="K146" s="177">
        <f t="shared" si="45"/>
        <v>98.917616966977391</v>
      </c>
      <c r="L146" s="177">
        <f t="shared" si="45"/>
        <v>105.18440756632523</v>
      </c>
      <c r="M146" s="50"/>
    </row>
    <row r="147" spans="1:19" ht="13.5" customHeight="1" outlineLevel="1">
      <c r="C147" s="68" t="s">
        <v>69</v>
      </c>
      <c r="D147" s="68"/>
      <c r="E147" s="68"/>
      <c r="F147" s="177">
        <f t="shared" ref="F147:L147" si="46">F17</f>
        <v>14.179914999999999</v>
      </c>
      <c r="G147" s="177">
        <f t="shared" si="46"/>
        <v>15.4366889395</v>
      </c>
      <c r="H147" s="177">
        <f t="shared" si="46"/>
        <v>18.333216581804578</v>
      </c>
      <c r="I147" s="177">
        <f t="shared" si="46"/>
        <v>21.144681985672378</v>
      </c>
      <c r="J147" s="177">
        <f t="shared" si="46"/>
        <v>23.752955369300096</v>
      </c>
      <c r="K147" s="177">
        <f t="shared" si="46"/>
        <v>25.970380094765407</v>
      </c>
      <c r="L147" s="177">
        <f t="shared" si="46"/>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47">I149</f>
        <v>83.863776892169696</v>
      </c>
      <c r="K149" s="211">
        <f t="shared" si="47"/>
        <v>83.863776892169696</v>
      </c>
      <c r="L149" s="211">
        <f t="shared" si="47"/>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48">I151</f>
        <v>2.0684944550576352E-2</v>
      </c>
      <c r="K151" s="139">
        <f t="shared" si="48"/>
        <v>2.0684944550576352E-2</v>
      </c>
      <c r="L151" s="139">
        <f t="shared" si="48"/>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49">H153</f>
        <v>16.922818383787302</v>
      </c>
      <c r="J153" s="211">
        <f t="shared" si="49"/>
        <v>16.922818383787302</v>
      </c>
      <c r="K153" s="211">
        <f t="shared" si="49"/>
        <v>16.922818383787302</v>
      </c>
      <c r="L153" s="211">
        <f t="shared" si="49"/>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49"/>
        <v>0.17436577105792128</v>
      </c>
      <c r="K154" s="139">
        <f t="shared" si="49"/>
        <v>0.17436577105792128</v>
      </c>
      <c r="L154" s="139">
        <f t="shared" si="49"/>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49"/>
        <v>0.1762791418223944</v>
      </c>
      <c r="K155" s="139">
        <f t="shared" si="49"/>
        <v>0.1762791418223944</v>
      </c>
      <c r="L155" s="139">
        <f t="shared" si="49"/>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5 Answer Key'!F13</f>
        <v>0</v>
      </c>
      <c r="G162" s="122">
        <f>'Financials from CIP'!E13/1000-'Step 5 Answer Key'!G13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5 Answer Key'!F15</f>
        <v>0</v>
      </c>
      <c r="G163" s="122">
        <f>'Financials from CIP'!E19/1000-'Step 5 Answer Key'!G15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5 Answer Key'!F18</f>
        <v>0</v>
      </c>
      <c r="G164" s="122">
        <f>'Financials from CIP'!E36/1000-'Step 5 Answer Key'!G18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5 Answer Key'!F33</f>
        <v>0</v>
      </c>
      <c r="G165" s="122">
        <f>'Financials from CIP'!E34/1000-'Step 5 Answer Key'!G33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5 Answer Key'!F60</f>
        <v>0</v>
      </c>
      <c r="G168" s="122">
        <f>'Financials from CIP'!E46/1000-'Step 5 Answer Key'!G60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5 Answer Key'!F64</f>
        <v>0</v>
      </c>
      <c r="G169" s="122">
        <f>'Financials from CIP'!E51/1000-'Step 5 Answer Key'!G64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5 Answer Key'!F70</f>
        <v>0</v>
      </c>
      <c r="G170" s="122">
        <f>'Financials from CIP'!E56/1000-'Step 5 Answer Key'!G70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5 Answer Key'!F77</f>
        <v>0</v>
      </c>
      <c r="G171" s="122">
        <f>'Financials from CIP'!E61/1000-'Step 5 Answer Key'!G77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5 Answer Key'!F84</f>
        <v>0</v>
      </c>
      <c r="G172" s="122">
        <f>'Financials from CIP'!E69/1000-'Step 5 Answer Key'!G84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5 Answer Key'!F85:F86)</f>
        <v>0</v>
      </c>
      <c r="G173" s="122">
        <f>'Financials from CIP'!E73/1000-SUM('Step 5 Answer Key'!G85:G86)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50">H$11</f>
        <v>46022</v>
      </c>
      <c r="I185" s="58">
        <f t="shared" si="50"/>
        <v>46387</v>
      </c>
      <c r="J185" s="58">
        <f t="shared" si="50"/>
        <v>46752</v>
      </c>
      <c r="K185" s="58">
        <f t="shared" si="50"/>
        <v>47118</v>
      </c>
      <c r="L185" s="58">
        <f t="shared" si="50"/>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1">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1"/>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1"/>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1"/>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1"/>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1"/>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2">-SUM(I187:I193)</f>
        <v>6.1302957891314076</v>
      </c>
      <c r="J194" s="156">
        <f t="shared" ca="1" si="52"/>
        <v>6.4683165246530567</v>
      </c>
      <c r="K194" s="156">
        <f t="shared" ca="1" si="52"/>
        <v>6.8378927245374452</v>
      </c>
      <c r="L194" s="156">
        <f t="shared" ca="1" si="52"/>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c r="A197" s="82"/>
      <c r="B197" s="82"/>
      <c r="C197" s="121"/>
      <c r="D197" s="82"/>
      <c r="E197" s="82"/>
      <c r="F197" s="82"/>
      <c r="G197" s="82"/>
      <c r="H197" s="82"/>
      <c r="I197" s="82"/>
      <c r="J197" s="82"/>
      <c r="K197" s="82"/>
      <c r="L197" s="82"/>
      <c r="M197" s="82"/>
      <c r="N197" s="82"/>
      <c r="O197" s="82"/>
      <c r="P197" s="82"/>
      <c r="Q197" s="82"/>
      <c r="R197" s="82"/>
      <c r="S197" s="82"/>
    </row>
    <row r="198" spans="1:19" ht="19.5" customHeight="1">
      <c r="A198" s="82"/>
      <c r="B198" s="82"/>
      <c r="C198" s="121"/>
      <c r="D198" s="82"/>
      <c r="E198" s="82"/>
      <c r="F198" s="82"/>
      <c r="G198" s="82"/>
      <c r="H198" s="82"/>
      <c r="I198" s="82"/>
      <c r="J198" s="82"/>
      <c r="K198" s="82"/>
      <c r="L198" s="82"/>
      <c r="M198" s="82"/>
      <c r="N198" s="82"/>
      <c r="O198" s="82"/>
      <c r="P198" s="82"/>
      <c r="Q198" s="82"/>
      <c r="R198" s="82"/>
      <c r="S198" s="82"/>
    </row>
    <row r="199" spans="1:19" ht="5.0999999999999996" customHeight="1">
      <c r="A199" s="82"/>
      <c r="B199" s="82"/>
      <c r="C199" s="82"/>
      <c r="D199" s="82"/>
      <c r="E199" s="82"/>
      <c r="F199" s="82"/>
      <c r="G199" s="82"/>
      <c r="H199" s="82"/>
      <c r="I199" s="82"/>
      <c r="J199" s="82"/>
      <c r="K199" s="82"/>
      <c r="L199" s="82"/>
      <c r="M199" s="82"/>
      <c r="N199" s="82"/>
      <c r="O199" s="82"/>
      <c r="P199" s="82"/>
      <c r="Q199" s="82"/>
      <c r="R199" s="82"/>
      <c r="S199" s="82"/>
    </row>
    <row r="200" spans="1:19" ht="13.5" customHeight="1">
      <c r="A200" s="82"/>
      <c r="B200" s="82"/>
      <c r="C200" s="123"/>
      <c r="D200" s="82"/>
      <c r="E200" s="82"/>
      <c r="F200" s="82"/>
      <c r="G200" s="82"/>
      <c r="H200" s="82"/>
      <c r="I200" s="82"/>
      <c r="J200" s="82"/>
      <c r="K200" s="82"/>
      <c r="L200" s="82"/>
      <c r="M200" s="82"/>
      <c r="N200" s="82"/>
      <c r="O200" s="82"/>
      <c r="P200" s="82"/>
      <c r="Q200" s="82"/>
      <c r="R200" s="82"/>
      <c r="S200" s="82"/>
    </row>
    <row r="201" spans="1:19" ht="13.5" customHeight="1">
      <c r="A201" s="82"/>
      <c r="B201" s="82"/>
      <c r="C201" s="82"/>
      <c r="D201" s="82"/>
      <c r="E201" s="82"/>
      <c r="F201" s="124"/>
      <c r="G201" s="124"/>
      <c r="H201" s="82"/>
      <c r="I201" s="82"/>
      <c r="J201" s="82"/>
      <c r="K201" s="82"/>
      <c r="L201" s="82"/>
      <c r="M201" s="82"/>
      <c r="N201" s="82"/>
      <c r="O201" s="82"/>
      <c r="P201" s="82"/>
      <c r="Q201" s="82"/>
      <c r="R201" s="82"/>
      <c r="S201" s="82"/>
    </row>
    <row r="202" spans="1:19" ht="13.5" customHeight="1">
      <c r="A202" s="82"/>
      <c r="B202" s="82"/>
      <c r="C202" s="82"/>
      <c r="D202" s="82"/>
      <c r="E202" s="82"/>
      <c r="F202" s="124"/>
      <c r="G202" s="124"/>
      <c r="H202" s="82"/>
      <c r="I202" s="82"/>
      <c r="J202" s="82"/>
      <c r="K202" s="82"/>
      <c r="L202" s="82"/>
      <c r="M202" s="82"/>
      <c r="N202" s="82"/>
      <c r="O202" s="82"/>
      <c r="P202" s="82"/>
      <c r="Q202" s="82"/>
      <c r="R202" s="82"/>
      <c r="S202" s="82"/>
    </row>
    <row r="203" spans="1:19" ht="13.5" customHeight="1">
      <c r="A203" s="82"/>
      <c r="B203" s="82"/>
      <c r="C203" s="82"/>
      <c r="D203" s="82"/>
      <c r="E203" s="82"/>
      <c r="F203" s="124"/>
      <c r="G203" s="124"/>
      <c r="H203" s="82"/>
      <c r="I203" s="82"/>
      <c r="J203" s="82"/>
      <c r="K203" s="82"/>
      <c r="L203" s="82"/>
      <c r="M203" s="82"/>
      <c r="N203" s="82"/>
      <c r="O203" s="82"/>
      <c r="P203" s="82"/>
      <c r="Q203" s="82"/>
      <c r="R203" s="82"/>
      <c r="S203" s="82"/>
    </row>
    <row r="204" spans="1:19" ht="13.5" customHeight="1">
      <c r="A204" s="82"/>
      <c r="B204" s="82"/>
      <c r="C204" s="82"/>
      <c r="D204" s="82"/>
      <c r="E204" s="82"/>
      <c r="F204" s="124"/>
      <c r="G204" s="124"/>
      <c r="H204" s="82"/>
      <c r="I204" s="82"/>
      <c r="J204" s="82"/>
      <c r="K204" s="82"/>
      <c r="L204" s="82"/>
      <c r="M204" s="82"/>
      <c r="N204" s="82"/>
      <c r="O204" s="82"/>
      <c r="P204" s="82"/>
      <c r="Q204" s="82"/>
      <c r="R204" s="82"/>
      <c r="S204" s="82"/>
    </row>
    <row r="205" spans="1:19" ht="13.5" customHeight="1">
      <c r="A205" s="82"/>
      <c r="B205" s="82"/>
      <c r="C205" s="82"/>
      <c r="D205" s="82"/>
      <c r="E205" s="82"/>
      <c r="F205" s="82"/>
      <c r="G205" s="82"/>
      <c r="H205" s="82"/>
      <c r="I205" s="82"/>
      <c r="J205" s="82"/>
      <c r="K205" s="82"/>
      <c r="L205" s="82"/>
      <c r="M205" s="82"/>
      <c r="N205" s="82"/>
      <c r="O205" s="82"/>
      <c r="P205" s="82"/>
      <c r="Q205" s="82"/>
      <c r="R205" s="82"/>
      <c r="S205" s="82"/>
    </row>
    <row r="206" spans="1:19" ht="13.5" customHeight="1">
      <c r="A206" s="82"/>
      <c r="B206" s="82"/>
      <c r="C206" s="123"/>
      <c r="D206" s="82"/>
      <c r="E206" s="82"/>
      <c r="F206" s="82"/>
      <c r="G206" s="82"/>
      <c r="H206" s="82"/>
      <c r="I206" s="82"/>
      <c r="J206" s="82"/>
      <c r="K206" s="82"/>
      <c r="L206" s="82"/>
      <c r="M206" s="82"/>
      <c r="N206" s="82"/>
      <c r="O206" s="82"/>
      <c r="P206" s="82"/>
      <c r="Q206" s="82"/>
      <c r="R206" s="82"/>
      <c r="S206" s="82"/>
    </row>
    <row r="207" spans="1:19" ht="13.5" customHeight="1">
      <c r="A207" s="82"/>
      <c r="B207" s="82"/>
      <c r="C207" s="82"/>
      <c r="D207" s="82"/>
      <c r="E207" s="82"/>
      <c r="F207" s="124"/>
      <c r="G207" s="124"/>
      <c r="H207" s="82"/>
      <c r="I207" s="82"/>
      <c r="J207" s="82"/>
      <c r="K207" s="82"/>
      <c r="L207" s="82"/>
      <c r="M207" s="82"/>
      <c r="N207" s="82"/>
      <c r="O207" s="82"/>
      <c r="P207" s="82"/>
      <c r="Q207" s="82"/>
      <c r="R207" s="82"/>
      <c r="S207" s="82"/>
    </row>
    <row r="208" spans="1:19" ht="13.5" customHeight="1">
      <c r="A208" s="82"/>
      <c r="B208" s="82"/>
      <c r="C208" s="82"/>
      <c r="D208" s="82"/>
      <c r="E208" s="82"/>
      <c r="F208" s="124"/>
      <c r="G208" s="124"/>
      <c r="H208" s="82"/>
      <c r="I208" s="82"/>
      <c r="J208" s="82"/>
      <c r="K208" s="82"/>
      <c r="L208" s="82"/>
      <c r="M208" s="82"/>
      <c r="N208" s="82"/>
      <c r="O208" s="82"/>
      <c r="P208" s="82"/>
      <c r="Q208" s="82"/>
      <c r="R208" s="82"/>
      <c r="S208" s="82"/>
    </row>
    <row r="209" spans="1:19" ht="13.5" customHeight="1">
      <c r="A209" s="82"/>
      <c r="B209" s="82"/>
      <c r="C209" s="82"/>
      <c r="D209" s="82"/>
      <c r="E209" s="82"/>
      <c r="F209" s="124"/>
      <c r="G209" s="124"/>
      <c r="H209" s="82"/>
      <c r="I209" s="82"/>
      <c r="J209" s="82"/>
      <c r="K209" s="82"/>
      <c r="L209" s="82"/>
      <c r="M209" s="82"/>
      <c r="N209" s="82"/>
      <c r="O209" s="82"/>
      <c r="P209" s="82"/>
      <c r="Q209" s="82"/>
      <c r="R209" s="82"/>
      <c r="S209" s="82"/>
    </row>
    <row r="210" spans="1:19" ht="13.5" customHeight="1">
      <c r="A210" s="82"/>
      <c r="B210" s="82"/>
      <c r="C210" s="82"/>
      <c r="D210" s="82"/>
      <c r="E210" s="82"/>
      <c r="F210" s="124"/>
      <c r="G210" s="124"/>
      <c r="H210" s="82"/>
      <c r="I210" s="82"/>
      <c r="J210" s="82"/>
      <c r="K210" s="82"/>
      <c r="L210" s="82"/>
      <c r="M210" s="82"/>
      <c r="N210" s="82"/>
      <c r="O210" s="82"/>
      <c r="P210" s="82"/>
      <c r="Q210" s="82"/>
      <c r="R210" s="82"/>
      <c r="S210" s="82"/>
    </row>
    <row r="211" spans="1:19" ht="5.0999999999999996" customHeight="1">
      <c r="A211" s="82"/>
      <c r="B211" s="82"/>
      <c r="C211" s="82"/>
      <c r="D211" s="82"/>
      <c r="E211" s="82"/>
      <c r="F211" s="82"/>
      <c r="G211" s="82"/>
      <c r="H211" s="82"/>
      <c r="I211" s="82"/>
      <c r="J211" s="82"/>
      <c r="K211" s="82"/>
      <c r="L211" s="82"/>
      <c r="M211" s="82"/>
      <c r="N211" s="82"/>
      <c r="O211" s="82"/>
      <c r="P211" s="82"/>
      <c r="Q211" s="82"/>
      <c r="R211" s="82"/>
      <c r="S211" s="82"/>
    </row>
    <row r="212" spans="1:19" ht="13.5" customHeight="1">
      <c r="A212" s="82"/>
      <c r="B212" s="82"/>
      <c r="C212" s="82"/>
      <c r="D212" s="82"/>
      <c r="E212" s="82"/>
      <c r="F212" s="124"/>
      <c r="G212" s="124"/>
      <c r="H212" s="82"/>
      <c r="I212" s="82"/>
      <c r="J212" s="82"/>
      <c r="K212" s="82"/>
      <c r="L212" s="82"/>
      <c r="M212" s="82"/>
      <c r="N212" s="82"/>
      <c r="O212" s="82"/>
      <c r="P212" s="82"/>
      <c r="Q212" s="82"/>
      <c r="R212" s="82"/>
      <c r="S212" s="82"/>
    </row>
    <row r="213" spans="1:19" ht="13.5" customHeight="1">
      <c r="A213" s="82"/>
      <c r="B213" s="82"/>
      <c r="C213" s="82"/>
      <c r="D213" s="82"/>
      <c r="E213" s="82"/>
      <c r="F213" s="124"/>
      <c r="G213" s="124"/>
      <c r="H213" s="82"/>
      <c r="I213" s="82"/>
      <c r="J213" s="82"/>
      <c r="K213" s="82"/>
      <c r="L213" s="82"/>
      <c r="M213" s="82"/>
      <c r="N213" s="82"/>
      <c r="O213" s="82"/>
      <c r="P213" s="82"/>
      <c r="Q213" s="82"/>
      <c r="R213" s="82"/>
      <c r="S213" s="82"/>
    </row>
    <row r="214" spans="1:19" ht="13.5" customHeight="1">
      <c r="A214" s="82"/>
      <c r="B214" s="82"/>
      <c r="C214" s="82"/>
      <c r="D214" s="82"/>
      <c r="E214" s="82"/>
      <c r="F214" s="82"/>
      <c r="G214" s="82"/>
      <c r="H214" s="82"/>
      <c r="I214" s="82"/>
      <c r="J214" s="82"/>
      <c r="K214" s="82"/>
      <c r="L214" s="82"/>
      <c r="M214" s="82"/>
      <c r="N214" s="82"/>
      <c r="O214" s="82"/>
      <c r="P214" s="82"/>
      <c r="Q214" s="82"/>
      <c r="R214" s="82"/>
      <c r="S214" s="82"/>
    </row>
    <row r="215" spans="1:19" ht="13.5" customHeight="1">
      <c r="F215" s="124"/>
      <c r="G215" s="124"/>
    </row>
  </sheetData>
  <pageMargins left="0.25" right="0.25" top="0.75" bottom="0.75" header="0.3" footer="0.3"/>
  <pageSetup scale="47" orientation="landscape" r:id="rId1"/>
  <headerFooter alignWithMargins="0">
    <oddHeader>&amp;A</oddHeader>
    <oddFooter>Page &amp;P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72B85-A214-433B-B67D-ABA809984306}">
  <sheetPr>
    <outlinePr summaryBelow="0"/>
    <pageSetUpPr fitToPage="1"/>
  </sheetPr>
  <dimension ref="A1:S26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197</v>
      </c>
      <c r="D3" s="34"/>
      <c r="E3" s="38"/>
      <c r="F3" s="38"/>
      <c r="G3" s="38"/>
      <c r="H3" s="34"/>
      <c r="I3" s="34"/>
      <c r="J3" s="34"/>
      <c r="K3" s="34"/>
      <c r="L3" s="34"/>
    </row>
    <row r="4" spans="2:14" ht="13.5" customHeight="1" outlineLevel="1">
      <c r="C4" s="37"/>
      <c r="D4" s="34"/>
      <c r="E4" s="38"/>
      <c r="F4" s="38"/>
      <c r="G4" s="38"/>
      <c r="H4" s="34"/>
      <c r="I4" s="34"/>
      <c r="J4" s="34"/>
      <c r="K4" s="34"/>
      <c r="L4" s="34"/>
      <c r="N4" s="195"/>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C60" s="88" t="s">
        <v>82</v>
      </c>
      <c r="F60" s="141">
        <f>'Financials from CIP'!D46/1000</f>
        <v>7.1056520000000001</v>
      </c>
      <c r="G60" s="141">
        <f>'Financials from CIP'!E46/1000</f>
        <v>2.9579920000000004</v>
      </c>
      <c r="H60" s="214">
        <f>G60+H119</f>
        <v>13.005932342237593</v>
      </c>
      <c r="I60" s="214">
        <f>H60+I119</f>
        <v>22.519730311941146</v>
      </c>
      <c r="J60" s="214">
        <f ca="1">I60+J119</f>
        <v>33.545552217020031</v>
      </c>
      <c r="K60" s="214">
        <f ca="1">J60+K119</f>
        <v>46.071928574382142</v>
      </c>
      <c r="L60" s="214">
        <f ca="1">K60+L119</f>
        <v>59.993804262544216</v>
      </c>
      <c r="M60" s="50"/>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7">I130</f>
        <v>27.695031965240773</v>
      </c>
      <c r="J61" s="149">
        <f t="shared" si="17"/>
        <v>31.111314829301037</v>
      </c>
      <c r="K61" s="149">
        <f t="shared" si="17"/>
        <v>34.015669157916122</v>
      </c>
      <c r="L61" s="149">
        <f t="shared" si="17"/>
        <v>36.170685445667161</v>
      </c>
      <c r="M61" s="50"/>
    </row>
    <row r="62" spans="1:13" ht="13.5" customHeight="1" outlineLevel="1">
      <c r="A62" s="82"/>
      <c r="C62" s="91" t="s">
        <v>31</v>
      </c>
      <c r="F62" s="96">
        <f>'Financials from CIP'!D49/1000</f>
        <v>0.80490099999999998</v>
      </c>
      <c r="G62" s="96">
        <f>'Financials from CIP'!E49/1000</f>
        <v>1.161057</v>
      </c>
      <c r="H62" s="149">
        <f t="shared" ref="H62:L63" si="18">H131</f>
        <v>1.2029011201180084</v>
      </c>
      <c r="I62" s="149">
        <f t="shared" si="18"/>
        <v>1.3873703794209342</v>
      </c>
      <c r="J62" s="149">
        <f t="shared" si="18"/>
        <v>1.558507558799139</v>
      </c>
      <c r="K62" s="149">
        <f t="shared" si="18"/>
        <v>1.7039999045715051</v>
      </c>
      <c r="L62" s="149">
        <f t="shared" si="18"/>
        <v>1.8119544925477122</v>
      </c>
      <c r="M62" s="50"/>
    </row>
    <row r="63" spans="1:13" ht="13.5" customHeight="1" outlineLevel="1">
      <c r="A63" s="82"/>
      <c r="C63" s="91" t="s">
        <v>84</v>
      </c>
      <c r="F63" s="96">
        <f>'Financials from CIP'!D50/1000</f>
        <v>0.26978399999999997</v>
      </c>
      <c r="G63" s="96">
        <f>'Financials from CIP'!E50/1000</f>
        <v>0.34491899999999998</v>
      </c>
      <c r="H63" s="149">
        <f t="shared" si="18"/>
        <v>0.3792215684283346</v>
      </c>
      <c r="I63" s="149">
        <f t="shared" si="18"/>
        <v>0.43737657441320382</v>
      </c>
      <c r="J63" s="149">
        <f t="shared" si="18"/>
        <v>0.49132856472628733</v>
      </c>
      <c r="K63" s="149">
        <f t="shared" si="18"/>
        <v>0.53719587221761422</v>
      </c>
      <c r="L63" s="149">
        <f t="shared" si="18"/>
        <v>0.57122918342390505</v>
      </c>
      <c r="M63" s="50"/>
    </row>
    <row r="64" spans="1:13" ht="13.5" customHeight="1" outlineLevel="1">
      <c r="A64" s="82"/>
      <c r="C64" s="76" t="s">
        <v>33</v>
      </c>
      <c r="D64" s="77"/>
      <c r="E64" s="77"/>
      <c r="F64" s="93">
        <f>SUM(F60:F63)</f>
        <v>24.961756000000005</v>
      </c>
      <c r="G64" s="93">
        <f>SUM(G60:G63)</f>
        <v>26.74869</v>
      </c>
      <c r="H64" s="93">
        <f t="shared" ref="H64:L64" si="19">SUM(H60:H63)</f>
        <v>38.600665842467151</v>
      </c>
      <c r="I64" s="93">
        <f t="shared" si="19"/>
        <v>52.039509231016062</v>
      </c>
      <c r="J64" s="93">
        <f t="shared" ca="1" si="19"/>
        <v>66.706703169846492</v>
      </c>
      <c r="K64" s="93">
        <f t="shared" ca="1" si="19"/>
        <v>82.328793509087376</v>
      </c>
      <c r="L64" s="93">
        <f t="shared" ca="1" si="19"/>
        <v>98.547673384183</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20">SUM(H64,H67:H69)</f>
        <v>95.331616888100726</v>
      </c>
      <c r="I70" s="102">
        <f t="shared" si="20"/>
        <v>105.41124477257277</v>
      </c>
      <c r="J70" s="102">
        <f t="shared" ca="1" si="20"/>
        <v>116.75237754196664</v>
      </c>
      <c r="K70" s="102">
        <f t="shared" ca="1" si="20"/>
        <v>128.99438515551395</v>
      </c>
      <c r="L70" s="102">
        <f t="shared" ca="1" si="20"/>
        <v>141.67433206604585</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1">I135</f>
        <v>3.7340173042871405</v>
      </c>
      <c r="J74" s="149">
        <f t="shared" si="21"/>
        <v>4.1946219118843056</v>
      </c>
      <c r="K74" s="149">
        <f t="shared" si="21"/>
        <v>4.5862051147649199</v>
      </c>
      <c r="L74" s="149">
        <f t="shared" si="21"/>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2">H136</f>
        <v>3.1966854452582232</v>
      </c>
      <c r="I75" s="149">
        <f t="shared" si="22"/>
        <v>3.6869087782063024</v>
      </c>
      <c r="J75" s="149">
        <f t="shared" si="22"/>
        <v>4.1417023778724023</v>
      </c>
      <c r="K75" s="149">
        <f t="shared" si="22"/>
        <v>4.5283453498910609</v>
      </c>
      <c r="L75" s="149">
        <f t="shared" si="22"/>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2"/>
        <v>3.2317636858846019</v>
      </c>
      <c r="I76" s="149">
        <f t="shared" si="22"/>
        <v>3.727366394541769</v>
      </c>
      <c r="J76" s="149">
        <f t="shared" si="22"/>
        <v>4.1871505882458564</v>
      </c>
      <c r="K76" s="149">
        <f t="shared" si="22"/>
        <v>4.5780363159066395</v>
      </c>
      <c r="L76" s="149">
        <f t="shared" si="22"/>
        <v>4.8680715576328382</v>
      </c>
      <c r="M76" s="50"/>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A78" s="125"/>
      <c r="C78" s="91" t="s">
        <v>41</v>
      </c>
      <c r="D78" s="95"/>
      <c r="E78" s="95"/>
      <c r="F78" s="96">
        <f>'Financials from CIP'!D63/1000</f>
        <v>0.64588299999999998</v>
      </c>
      <c r="G78" s="96">
        <f>'Financials from CIP'!E63/1000</f>
        <v>1.2892999999999999</v>
      </c>
      <c r="H78" s="129"/>
      <c r="I78" s="129"/>
      <c r="J78" s="129"/>
      <c r="K78" s="129"/>
      <c r="L78" s="129"/>
      <c r="M78" s="50" t="s">
        <v>198</v>
      </c>
    </row>
    <row r="79" spans="1:13" ht="13.5" customHeight="1" outlineLevel="1">
      <c r="A79" s="125"/>
      <c r="C79" s="91" t="s">
        <v>42</v>
      </c>
      <c r="D79" s="95"/>
      <c r="E79" s="95"/>
      <c r="F79" s="96">
        <f>'Financials from CIP'!D64/1000</f>
        <v>18.943222000000002</v>
      </c>
      <c r="G79" s="96">
        <f>'Financials from CIP'!E64/1000</f>
        <v>12.001450999999999</v>
      </c>
      <c r="H79" s="129"/>
      <c r="I79" s="129"/>
      <c r="J79" s="129"/>
      <c r="K79" s="129"/>
      <c r="L79" s="129"/>
      <c r="M79" s="50" t="s">
        <v>198</v>
      </c>
    </row>
    <row r="80" spans="1:13" ht="13.5" customHeight="1" outlineLevel="1">
      <c r="A80" s="125"/>
      <c r="C80" s="91" t="s">
        <v>90</v>
      </c>
      <c r="D80" s="95"/>
      <c r="E80" s="95"/>
      <c r="F80" s="96">
        <f>'Financials from CIP'!D65/1000</f>
        <v>0.54533299999999996</v>
      </c>
      <c r="G80" s="96">
        <f>'Financials from CIP'!E65/1000</f>
        <v>8.5337999999999997E-2</v>
      </c>
      <c r="H80" s="129"/>
      <c r="I80" s="129"/>
      <c r="J80" s="129"/>
      <c r="K80" s="129"/>
      <c r="L80" s="129"/>
      <c r="M80" s="50" t="s">
        <v>198</v>
      </c>
    </row>
    <row r="81" spans="1:13" ht="13.5" customHeight="1" outlineLevel="1">
      <c r="A81" s="125"/>
      <c r="C81" s="91" t="s">
        <v>91</v>
      </c>
      <c r="D81" s="95"/>
      <c r="E81" s="95"/>
      <c r="F81" s="96">
        <f>'Financials from CIP'!D66/1000</f>
        <v>9.2447999999999989E-2</v>
      </c>
      <c r="G81" s="96">
        <f>'Financials from CIP'!E66/1000</f>
        <v>1.2666999999999999E-2</v>
      </c>
      <c r="H81" s="129"/>
      <c r="I81" s="129"/>
      <c r="J81" s="129"/>
      <c r="K81" s="129"/>
      <c r="L81" s="129"/>
      <c r="M81" s="50" t="s">
        <v>198</v>
      </c>
    </row>
    <row r="82" spans="1:13" ht="13.5" customHeight="1" outlineLevel="1">
      <c r="A82" s="82"/>
      <c r="C82" s="76" t="s">
        <v>92</v>
      </c>
      <c r="D82" s="77"/>
      <c r="E82" s="77"/>
      <c r="F82" s="93">
        <f>SUM(F78:F81)</f>
        <v>20.226886000000004</v>
      </c>
      <c r="G82" s="93">
        <f>SUM(G78:G81)</f>
        <v>13.388756000000001</v>
      </c>
      <c r="H82" s="93">
        <f t="shared" ref="H82:L82" si="24">SUM(H78:H81)</f>
        <v>0</v>
      </c>
      <c r="I82" s="93">
        <f t="shared" si="24"/>
        <v>0</v>
      </c>
      <c r="J82" s="93">
        <f t="shared" si="24"/>
        <v>0</v>
      </c>
      <c r="K82" s="93">
        <f t="shared" si="24"/>
        <v>0</v>
      </c>
      <c r="L82" s="93">
        <f t="shared" si="24"/>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5">SUM(H77,H82:H83)</f>
        <v>10.095867400270937</v>
      </c>
      <c r="I84" s="93">
        <f t="shared" si="25"/>
        <v>11.578180477035213</v>
      </c>
      <c r="J84" s="93">
        <f t="shared" si="25"/>
        <v>12.953362878002563</v>
      </c>
      <c r="K84" s="93">
        <f t="shared" si="25"/>
        <v>14.122474780562621</v>
      </c>
      <c r="L84" s="93">
        <f t="shared" si="25"/>
        <v>14.989949925519163</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6">SUM(H84:H86)</f>
        <v>81.942860383908922</v>
      </c>
      <c r="I87" s="105">
        <f t="shared" si="26"/>
        <v>92.022488268380954</v>
      </c>
      <c r="J87" s="105">
        <f t="shared" ca="1" si="26"/>
        <v>103.36362103777482</v>
      </c>
      <c r="K87" s="105">
        <f t="shared" ca="1" si="26"/>
        <v>115.60562865132215</v>
      </c>
      <c r="L87" s="105">
        <f t="shared" ca="1" si="26"/>
        <v>128.28557556185402</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si="27"/>
        <v>-13.388756504191804</v>
      </c>
      <c r="I89" s="178">
        <f t="shared" si="27"/>
        <v>-13.388756504191818</v>
      </c>
      <c r="J89" s="178">
        <f t="shared" ca="1" si="27"/>
        <v>-13.388756504191818</v>
      </c>
      <c r="K89" s="178">
        <f t="shared" ca="1" si="27"/>
        <v>-13.388756504191804</v>
      </c>
      <c r="L89" s="178">
        <f t="shared" ca="1" si="27"/>
        <v>-13.388756504191832</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B93" s="46" t="s">
        <v>61</v>
      </c>
      <c r="C93" s="47" t="s">
        <v>178</v>
      </c>
      <c r="D93" s="48"/>
      <c r="E93" s="49"/>
      <c r="F93" s="49"/>
      <c r="G93" s="49"/>
      <c r="H93" s="49"/>
      <c r="I93" s="49"/>
      <c r="J93" s="49"/>
      <c r="K93" s="49"/>
      <c r="L93" s="49"/>
    </row>
    <row r="94" spans="1:13" ht="5.0999999999999996" customHeight="1" outlineLevel="1">
      <c r="C94" s="51"/>
      <c r="D94" s="52"/>
    </row>
    <row r="95" spans="1:13" ht="13.5" customHeight="1" outlineLevel="1">
      <c r="C95" s="53"/>
      <c r="D95" s="53"/>
      <c r="E95" s="53"/>
      <c r="F95" s="54" t="s">
        <v>63</v>
      </c>
      <c r="G95" s="54" t="s">
        <v>63</v>
      </c>
      <c r="H95" s="55" t="s">
        <v>64</v>
      </c>
      <c r="I95" s="55"/>
      <c r="J95" s="55"/>
      <c r="K95" s="55"/>
      <c r="L95" s="55"/>
    </row>
    <row r="96" spans="1:13" ht="13.5" customHeight="1" outlineLevel="1" thickBot="1">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C97" s="59"/>
      <c r="D97" s="59"/>
      <c r="E97" s="59"/>
      <c r="F97" s="60"/>
      <c r="G97" s="60"/>
      <c r="H97" s="60"/>
      <c r="I97" s="60"/>
      <c r="J97" s="60"/>
      <c r="K97" s="60"/>
    </row>
    <row r="98" spans="1:13" ht="13.5" customHeight="1" outlineLevel="1">
      <c r="C98" s="84" t="s">
        <v>179</v>
      </c>
      <c r="D98" s="85"/>
      <c r="E98" s="86"/>
      <c r="F98" s="86"/>
      <c r="G98" s="86"/>
      <c r="H98" s="86"/>
      <c r="I98" s="86"/>
      <c r="J98" s="86"/>
      <c r="K98" s="86"/>
      <c r="L98" s="87"/>
      <c r="M98" s="50"/>
    </row>
    <row r="99" spans="1:13" ht="13.5" customHeight="1" outlineLevel="1">
      <c r="C99" s="118"/>
      <c r="D99" s="118"/>
      <c r="E99" s="118"/>
    </row>
    <row r="100" spans="1:13" ht="13.5" customHeight="1" outlineLevel="1">
      <c r="C100" s="68" t="s">
        <v>22</v>
      </c>
      <c r="D100" s="68"/>
      <c r="E100" s="68"/>
      <c r="F100" s="68"/>
      <c r="G100" s="147"/>
      <c r="H100" s="149">
        <f>H33</f>
        <v>7.078372487829796</v>
      </c>
      <c r="I100" s="149">
        <f>I33</f>
        <v>8.5973148077077592</v>
      </c>
      <c r="J100" s="149">
        <f ca="1">J33</f>
        <v>9.965950368426526</v>
      </c>
      <c r="K100" s="149">
        <f ca="1">K33</f>
        <v>11.072895710987275</v>
      </c>
      <c r="L100" s="149">
        <f ca="1">L33</f>
        <v>11.812471765575342</v>
      </c>
      <c r="M100" s="50"/>
    </row>
    <row r="101" spans="1:13" ht="13.5" customHeight="1" outlineLevel="1">
      <c r="C101" s="91" t="s">
        <v>15</v>
      </c>
      <c r="D101" s="68"/>
      <c r="E101" s="68"/>
      <c r="F101" s="68"/>
      <c r="G101" s="154"/>
      <c r="H101" s="149">
        <f>H20</f>
        <v>5.829392560625954</v>
      </c>
      <c r="I101" s="149">
        <f>I20</f>
        <v>6.1302957891314076</v>
      </c>
      <c r="J101" s="149">
        <f ca="1">J20</f>
        <v>6.4683165246530567</v>
      </c>
      <c r="K101" s="149">
        <f ca="1">K20</f>
        <v>6.8378927245374452</v>
      </c>
      <c r="L101" s="149">
        <f ca="1">L20</f>
        <v>7.2308829200900817</v>
      </c>
      <c r="M101" s="50"/>
    </row>
    <row r="102" spans="1:13" ht="13.5" customHeight="1" outlineLevel="1">
      <c r="C102" s="91" t="s">
        <v>183</v>
      </c>
      <c r="D102" s="68"/>
      <c r="E102" s="68"/>
      <c r="F102" s="68"/>
      <c r="G102" s="154"/>
      <c r="H102" s="149">
        <f>H21</f>
        <v>0.237952</v>
      </c>
      <c r="I102" s="149">
        <f t="shared" ref="I102:L102" si="29">I21</f>
        <v>0.237952</v>
      </c>
      <c r="J102" s="149">
        <f t="shared" si="29"/>
        <v>0.237952</v>
      </c>
      <c r="K102" s="149">
        <f t="shared" si="29"/>
        <v>0.237952</v>
      </c>
      <c r="L102" s="149">
        <f t="shared" si="29"/>
        <v>0.237952</v>
      </c>
      <c r="M102" s="50"/>
    </row>
    <row r="103" spans="1:13" ht="13.5" customHeight="1" outlineLevel="1">
      <c r="C103" s="65" t="s">
        <v>185</v>
      </c>
      <c r="D103" s="65"/>
      <c r="E103" s="65"/>
      <c r="F103" s="65"/>
      <c r="G103" s="197"/>
      <c r="H103" s="198">
        <f>SUM(H100:H102)</f>
        <v>13.145717048455751</v>
      </c>
      <c r="I103" s="198">
        <f t="shared" ref="I103:L103" si="30">SUM(I100:I102)</f>
        <v>14.965562596839167</v>
      </c>
      <c r="J103" s="198">
        <f t="shared" ca="1" si="30"/>
        <v>16.672218893079581</v>
      </c>
      <c r="K103" s="198">
        <f t="shared" ca="1" si="30"/>
        <v>18.148740435524722</v>
      </c>
      <c r="L103" s="198">
        <f t="shared" ca="1" si="30"/>
        <v>19.281306685665424</v>
      </c>
      <c r="M103" s="50"/>
    </row>
    <row r="104" spans="1:13" ht="13.5" customHeight="1" outlineLevel="1">
      <c r="C104" s="91" t="s">
        <v>187</v>
      </c>
      <c r="D104" s="68"/>
      <c r="E104" s="68"/>
      <c r="F104" s="68"/>
      <c r="G104" s="154"/>
      <c r="H104" s="149">
        <f>-(H141)</f>
        <v>-0.48883509995862262</v>
      </c>
      <c r="I104" s="149">
        <f>-(I141)</f>
        <v>-2.442732342081074</v>
      </c>
      <c r="J104" s="149">
        <f>-(J141)</f>
        <v>-2.2661896327842008</v>
      </c>
      <c r="K104" s="149">
        <f>-(K141)</f>
        <v>-1.9266020793187231</v>
      </c>
      <c r="L104" s="149">
        <f>-(L141)</f>
        <v>-1.4295290419769913</v>
      </c>
      <c r="M104" s="50"/>
    </row>
    <row r="105" spans="1:13" ht="13.5" customHeight="1" outlineLevel="1">
      <c r="C105" s="180" t="s">
        <v>189</v>
      </c>
      <c r="D105" s="180"/>
      <c r="E105" s="180"/>
      <c r="F105" s="180"/>
      <c r="G105" s="199"/>
      <c r="H105" s="200">
        <f>+SUM(H103:H104)</f>
        <v>12.656881948497128</v>
      </c>
      <c r="I105" s="200">
        <f t="shared" ref="I105:L105" si="31">+SUM(I103:I104)</f>
        <v>12.522830254758093</v>
      </c>
      <c r="J105" s="200">
        <f t="shared" ca="1" si="31"/>
        <v>14.40602926029538</v>
      </c>
      <c r="K105" s="200">
        <f t="shared" ca="1" si="31"/>
        <v>16.222138356205999</v>
      </c>
      <c r="L105" s="200">
        <f t="shared" ca="1" si="31"/>
        <v>17.851777643688433</v>
      </c>
      <c r="M105" s="50"/>
    </row>
    <row r="106" spans="1:13" ht="13.5" customHeight="1" outlineLevel="1">
      <c r="C106" s="68"/>
      <c r="D106" s="68"/>
      <c r="E106" s="68"/>
      <c r="F106" s="68"/>
      <c r="G106" s="154"/>
      <c r="H106" s="154"/>
      <c r="I106" s="154"/>
      <c r="J106" s="154"/>
      <c r="K106" s="154"/>
      <c r="L106" s="154"/>
    </row>
    <row r="107" spans="1:13" ht="13.5" customHeight="1" outlineLevel="1">
      <c r="C107" s="84" t="s">
        <v>190</v>
      </c>
      <c r="D107" s="85"/>
      <c r="E107" s="86"/>
      <c r="F107" s="86"/>
      <c r="G107" s="86"/>
      <c r="H107" s="201"/>
      <c r="I107" s="201"/>
      <c r="J107" s="201"/>
      <c r="K107" s="201"/>
      <c r="L107" s="202"/>
    </row>
    <row r="108" spans="1:13" ht="13.5" customHeight="1" outlineLevel="1">
      <c r="C108" s="118"/>
      <c r="D108" s="118"/>
      <c r="E108" s="118"/>
      <c r="H108" s="68"/>
      <c r="I108" s="68"/>
      <c r="J108" s="68"/>
      <c r="K108" s="68"/>
      <c r="L108" s="68"/>
    </row>
    <row r="109" spans="1:13" ht="13.5" customHeight="1" outlineLevel="1">
      <c r="C109" s="39" t="s">
        <v>191</v>
      </c>
      <c r="D109" s="68"/>
      <c r="E109" s="68"/>
      <c r="F109" s="68"/>
      <c r="G109" s="147"/>
      <c r="H109" s="215">
        <f>-H36</f>
        <v>-2.6089416062595356</v>
      </c>
      <c r="I109" s="215">
        <f>-I36</f>
        <v>-3.0090322850545372</v>
      </c>
      <c r="J109" s="215">
        <f>-J36</f>
        <v>-3.3802073552164953</v>
      </c>
      <c r="K109" s="215">
        <f>-K36</f>
        <v>-3.6957619988438841</v>
      </c>
      <c r="L109" s="215">
        <f>-L36</f>
        <v>-3.9299019555263603</v>
      </c>
      <c r="M109" s="50"/>
    </row>
    <row r="110" spans="1:13" ht="13.5" customHeight="1" outlineLevel="1">
      <c r="C110" s="68"/>
      <c r="D110" s="68"/>
      <c r="E110" s="68"/>
      <c r="F110" s="68"/>
      <c r="G110" s="154"/>
      <c r="H110" s="154"/>
      <c r="I110" s="154"/>
      <c r="J110" s="154"/>
      <c r="K110" s="154"/>
      <c r="L110" s="154"/>
    </row>
    <row r="111" spans="1:13" ht="13.5" customHeight="1" outlineLevel="1">
      <c r="A111" s="125"/>
      <c r="C111" s="84" t="s">
        <v>193</v>
      </c>
      <c r="D111" s="85"/>
      <c r="E111" s="86"/>
      <c r="F111" s="86"/>
      <c r="G111" s="86"/>
      <c r="H111" s="201"/>
      <c r="I111" s="201"/>
      <c r="J111" s="201"/>
      <c r="K111" s="201"/>
      <c r="L111" s="202"/>
    </row>
    <row r="112" spans="1:13" ht="13.5" customHeight="1" outlineLevel="1">
      <c r="A112" s="125"/>
      <c r="C112" s="118"/>
      <c r="D112" s="118"/>
      <c r="E112" s="118"/>
      <c r="H112" s="68"/>
      <c r="I112" s="68"/>
      <c r="J112" s="68"/>
      <c r="K112" s="68"/>
      <c r="L112" s="68"/>
    </row>
    <row r="113" spans="1:13" s="205" customFormat="1" ht="13.5" customHeight="1" outlineLevel="1">
      <c r="A113" s="204"/>
      <c r="C113" s="68" t="s">
        <v>41</v>
      </c>
      <c r="D113" s="118"/>
      <c r="E113" s="118"/>
      <c r="F113" s="29"/>
      <c r="G113" s="132"/>
      <c r="H113" s="206"/>
      <c r="I113" s="206"/>
      <c r="J113" s="206"/>
      <c r="K113" s="206"/>
      <c r="L113" s="206"/>
    </row>
    <row r="114" spans="1:13" s="205" customFormat="1" ht="13.5" customHeight="1" outlineLevel="1">
      <c r="A114" s="204"/>
      <c r="C114" s="68" t="str">
        <f>+C79</f>
        <v>Term Loan A</v>
      </c>
      <c r="D114" s="118"/>
      <c r="E114" s="118"/>
      <c r="F114" s="29"/>
      <c r="G114" s="207"/>
      <c r="H114" s="206"/>
      <c r="I114" s="206"/>
      <c r="J114" s="206"/>
      <c r="K114" s="206"/>
      <c r="L114" s="206"/>
    </row>
    <row r="115" spans="1:13" s="205" customFormat="1" ht="13.5" customHeight="1" outlineLevel="1">
      <c r="A115" s="204"/>
      <c r="C115" s="68" t="str">
        <f>+C80</f>
        <v>Subordinated - Note 1</v>
      </c>
      <c r="D115" s="118"/>
      <c r="E115" s="118"/>
      <c r="F115" s="29"/>
      <c r="G115" s="207"/>
      <c r="H115" s="206"/>
      <c r="I115" s="206"/>
      <c r="J115" s="206"/>
      <c r="K115" s="206"/>
      <c r="L115" s="206"/>
    </row>
    <row r="116" spans="1:13" s="205" customFormat="1" ht="13.5" customHeight="1" outlineLevel="1">
      <c r="A116" s="204"/>
      <c r="C116" s="68" t="str">
        <f t="shared" ref="C116" si="32">+C81</f>
        <v>Subordinated - Note 2</v>
      </c>
      <c r="D116" s="118"/>
      <c r="E116" s="118"/>
      <c r="F116" s="29"/>
      <c r="G116" s="207"/>
      <c r="H116" s="206"/>
      <c r="I116" s="206"/>
      <c r="J116" s="206"/>
      <c r="K116" s="206"/>
      <c r="L116" s="206"/>
    </row>
    <row r="117" spans="1:13" s="205" customFormat="1" ht="13.5" customHeight="1" outlineLevel="1">
      <c r="A117" s="204"/>
      <c r="C117" s="180" t="s">
        <v>194</v>
      </c>
      <c r="D117" s="180"/>
      <c r="E117" s="180"/>
      <c r="F117" s="180"/>
      <c r="G117" s="199"/>
      <c r="H117" s="200">
        <f>SUM(H113:H116)</f>
        <v>0</v>
      </c>
      <c r="I117" s="200">
        <f t="shared" ref="I117:L117" si="33">SUM(I113:I116)</f>
        <v>0</v>
      </c>
      <c r="J117" s="200">
        <f t="shared" si="33"/>
        <v>0</v>
      </c>
      <c r="K117" s="200">
        <f t="shared" si="33"/>
        <v>0</v>
      </c>
      <c r="L117" s="200">
        <f t="shared" si="33"/>
        <v>0</v>
      </c>
    </row>
    <row r="118" spans="1:13" s="205" customFormat="1" ht="13.5" customHeight="1" outlineLevel="1">
      <c r="C118" s="118"/>
      <c r="D118" s="118"/>
      <c r="E118" s="118"/>
      <c r="F118" s="29"/>
      <c r="G118" s="29"/>
      <c r="H118" s="68"/>
      <c r="I118" s="68"/>
      <c r="J118" s="68"/>
      <c r="K118" s="68"/>
      <c r="L118" s="68"/>
    </row>
    <row r="119" spans="1:13" s="205" customFormat="1" ht="13.5" customHeight="1" outlineLevel="1">
      <c r="C119" s="39" t="s">
        <v>195</v>
      </c>
      <c r="D119" s="118"/>
      <c r="E119" s="118"/>
      <c r="F119" s="30"/>
      <c r="G119" s="208"/>
      <c r="H119" s="215">
        <f>H117+H109+H105</f>
        <v>10.047940342237592</v>
      </c>
      <c r="I119" s="215">
        <f>I117+I109+I105</f>
        <v>9.5137979697035551</v>
      </c>
      <c r="J119" s="215">
        <f ca="1">J117+J109+J105</f>
        <v>11.025821905078885</v>
      </c>
      <c r="K119" s="215">
        <f ca="1">K117+K109+K105</f>
        <v>12.526376357362114</v>
      </c>
      <c r="L119" s="215">
        <f ca="1">L117+L109+L105</f>
        <v>13.921875688162071</v>
      </c>
      <c r="M119" s="50"/>
    </row>
    <row r="120" spans="1:13" s="205" customFormat="1" ht="5.0999999999999996" customHeight="1" outlineLevel="1" thickBot="1">
      <c r="C120" s="157"/>
      <c r="D120" s="157"/>
      <c r="E120" s="157"/>
      <c r="F120" s="83"/>
      <c r="G120" s="83"/>
      <c r="H120" s="83"/>
      <c r="I120" s="83"/>
      <c r="J120" s="83"/>
      <c r="K120" s="83"/>
      <c r="L120" s="83"/>
    </row>
    <row r="121" spans="1:13" s="205" customFormat="1" ht="13.5" customHeight="1" outlineLevel="1">
      <c r="C121" s="29"/>
      <c r="D121" s="29"/>
      <c r="E121" s="29"/>
      <c r="F121" s="29"/>
      <c r="G121" s="29"/>
      <c r="H121" s="29"/>
      <c r="I121" s="29"/>
      <c r="J121" s="29"/>
      <c r="K121" s="29"/>
      <c r="L121" s="29"/>
    </row>
    <row r="122" spans="1:13" ht="13.5" customHeight="1" outlineLevel="1" thickBot="1"/>
    <row r="123" spans="1:13" ht="21.75" thickTop="1">
      <c r="B123" s="46" t="s">
        <v>61</v>
      </c>
      <c r="C123" s="47" t="s">
        <v>148</v>
      </c>
      <c r="D123" s="48"/>
      <c r="E123" s="49"/>
      <c r="F123" s="49"/>
      <c r="G123" s="49"/>
      <c r="H123" s="49"/>
      <c r="I123" s="49"/>
      <c r="J123" s="49"/>
      <c r="K123" s="49"/>
      <c r="L123" s="49"/>
    </row>
    <row r="124" spans="1:13" ht="5.0999999999999996" customHeight="1" outlineLevel="1">
      <c r="C124" s="51"/>
      <c r="D124" s="52"/>
    </row>
    <row r="125" spans="1:13" ht="13.5" customHeight="1" outlineLevel="1">
      <c r="C125" s="53"/>
      <c r="D125" s="53"/>
      <c r="E125" s="53"/>
      <c r="F125" s="54" t="s">
        <v>63</v>
      </c>
      <c r="G125" s="54" t="s">
        <v>63</v>
      </c>
      <c r="H125" s="55" t="s">
        <v>64</v>
      </c>
      <c r="I125" s="55"/>
      <c r="J125" s="55"/>
      <c r="K125" s="55"/>
      <c r="L125" s="55"/>
    </row>
    <row r="126" spans="1:13" ht="13.5" customHeight="1" outlineLevel="1" thickBot="1">
      <c r="C126" s="56" t="s">
        <v>65</v>
      </c>
      <c r="D126" s="57"/>
      <c r="E126" s="57"/>
      <c r="F126" s="58">
        <f>F$11</f>
        <v>45291</v>
      </c>
      <c r="G126" s="58">
        <f>G$11</f>
        <v>45657</v>
      </c>
      <c r="H126" s="58">
        <f t="shared" ref="H126:L126" si="34">H$11</f>
        <v>46022</v>
      </c>
      <c r="I126" s="58">
        <f t="shared" si="34"/>
        <v>46387</v>
      </c>
      <c r="J126" s="58">
        <f t="shared" si="34"/>
        <v>46752</v>
      </c>
      <c r="K126" s="58">
        <f t="shared" si="34"/>
        <v>47118</v>
      </c>
      <c r="L126" s="58">
        <f t="shared" si="34"/>
        <v>47483</v>
      </c>
    </row>
    <row r="127" spans="1:13" ht="5.0999999999999996" customHeight="1" outlineLevel="1">
      <c r="C127" s="59"/>
      <c r="D127" s="59"/>
      <c r="E127" s="59"/>
      <c r="F127" s="60"/>
      <c r="G127" s="60"/>
      <c r="H127" s="60"/>
      <c r="I127" s="60"/>
      <c r="J127" s="60"/>
      <c r="K127" s="60"/>
    </row>
    <row r="128" spans="1: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5">F61</f>
        <v>16.781419000000003</v>
      </c>
      <c r="G130" s="177">
        <f t="shared" si="35"/>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5"/>
        <v>0.80490099999999998</v>
      </c>
      <c r="G131" s="177">
        <f t="shared" si="35"/>
        <v>1.161057</v>
      </c>
      <c r="H131" s="177">
        <f>(H146/365)*H150</f>
        <v>1.2029011201180084</v>
      </c>
      <c r="I131" s="177">
        <f t="shared" ref="I131:L131" si="36">(I146/365)*I150</f>
        <v>1.3873703794209342</v>
      </c>
      <c r="J131" s="177">
        <f t="shared" si="36"/>
        <v>1.558507558799139</v>
      </c>
      <c r="K131" s="177">
        <f t="shared" si="36"/>
        <v>1.7039999045715051</v>
      </c>
      <c r="L131" s="177">
        <f t="shared" si="36"/>
        <v>1.8119544925477122</v>
      </c>
      <c r="M131" s="50"/>
    </row>
    <row r="132" spans="3:13" ht="13.5" customHeight="1" outlineLevel="1">
      <c r="C132" s="91" t="str">
        <f>C63</f>
        <v>Prepaids and Other Current Assets</v>
      </c>
      <c r="D132" s="68"/>
      <c r="E132" s="68"/>
      <c r="F132" s="177">
        <f t="shared" si="35"/>
        <v>0.26978399999999997</v>
      </c>
      <c r="G132" s="177">
        <f t="shared" si="35"/>
        <v>0.34491899999999998</v>
      </c>
      <c r="H132" s="177">
        <f>H151*H147</f>
        <v>0.3792215684283346</v>
      </c>
      <c r="I132" s="177">
        <f t="shared" ref="I132:L132" si="37">I151*I147</f>
        <v>0.43737657441320382</v>
      </c>
      <c r="J132" s="177">
        <f t="shared" si="37"/>
        <v>0.49132856472628733</v>
      </c>
      <c r="K132" s="177">
        <f t="shared" si="37"/>
        <v>0.53719587221761422</v>
      </c>
      <c r="L132" s="177">
        <f t="shared" si="37"/>
        <v>0.57122918342390505</v>
      </c>
      <c r="M132" s="50"/>
    </row>
    <row r="133" spans="3:13" ht="13.5" customHeight="1" outlineLevel="1">
      <c r="C133" s="65" t="s">
        <v>152</v>
      </c>
      <c r="D133" s="65"/>
      <c r="E133" s="65"/>
      <c r="F133" s="179">
        <f t="shared" ref="F133:L133" si="38">SUM(F130:F132)</f>
        <v>17.856104000000006</v>
      </c>
      <c r="G133" s="179">
        <f t="shared" si="38"/>
        <v>23.790697999999999</v>
      </c>
      <c r="H133" s="179">
        <f t="shared" si="38"/>
        <v>25.594733500229559</v>
      </c>
      <c r="I133" s="179">
        <f t="shared" si="38"/>
        <v>29.519778919074909</v>
      </c>
      <c r="J133" s="179">
        <f t="shared" si="38"/>
        <v>33.161150952826461</v>
      </c>
      <c r="K133" s="179">
        <f t="shared" si="38"/>
        <v>36.256864934705241</v>
      </c>
      <c r="L133" s="179">
        <f t="shared" si="38"/>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39">F74</f>
        <v>2.8058170000000002</v>
      </c>
      <c r="G135" s="177">
        <f t="shared" si="39"/>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39"/>
        <v>2.3839329999999999</v>
      </c>
      <c r="G136" s="177">
        <f t="shared" si="39"/>
        <v>2.7880379999999998</v>
      </c>
      <c r="H136" s="177">
        <f>H154*H147</f>
        <v>3.1966854452582232</v>
      </c>
      <c r="I136" s="177">
        <f t="shared" ref="I136:L136" si="40">I154*I147</f>
        <v>3.6869087782063024</v>
      </c>
      <c r="J136" s="177">
        <f t="shared" si="40"/>
        <v>4.1417023778724023</v>
      </c>
      <c r="K136" s="177">
        <f t="shared" si="40"/>
        <v>4.5283453498910609</v>
      </c>
      <c r="L136" s="177">
        <f t="shared" si="40"/>
        <v>4.8152324882940372</v>
      </c>
      <c r="M136" s="50"/>
    </row>
    <row r="137" spans="3:13" ht="13.5" customHeight="1" outlineLevel="1">
      <c r="C137" s="91" t="str">
        <f>C76</f>
        <v>Accrued Expenses &amp; Other</v>
      </c>
      <c r="D137" s="68"/>
      <c r="E137" s="68"/>
      <c r="F137" s="177">
        <f t="shared" si="39"/>
        <v>2.0579079999999998</v>
      </c>
      <c r="G137" s="177">
        <f t="shared" si="39"/>
        <v>3.2020309999999998</v>
      </c>
      <c r="H137" s="177">
        <f>H155*H147</f>
        <v>3.2317636858846019</v>
      </c>
      <c r="I137" s="177">
        <f t="shared" ref="I137:L137" si="41">I155*I147</f>
        <v>3.727366394541769</v>
      </c>
      <c r="J137" s="177">
        <f t="shared" si="41"/>
        <v>4.1871505882458564</v>
      </c>
      <c r="K137" s="177">
        <f t="shared" si="41"/>
        <v>4.5780363159066395</v>
      </c>
      <c r="L137" s="177">
        <f t="shared" si="41"/>
        <v>4.8680715576328382</v>
      </c>
      <c r="M137" s="50"/>
    </row>
    <row r="138" spans="3:13" ht="13.5" customHeight="1" outlineLevel="1">
      <c r="C138" s="65" t="s">
        <v>156</v>
      </c>
      <c r="D138" s="65"/>
      <c r="E138" s="65"/>
      <c r="F138" s="179">
        <f t="shared" ref="F138:L138" si="42">SUM(F135:F137)</f>
        <v>7.2476579999999995</v>
      </c>
      <c r="G138" s="179">
        <f t="shared" si="42"/>
        <v>8.3507789999999993</v>
      </c>
      <c r="H138" s="179">
        <f t="shared" si="42"/>
        <v>9.6659794002709365</v>
      </c>
      <c r="I138" s="179">
        <f t="shared" si="42"/>
        <v>11.148292477035213</v>
      </c>
      <c r="J138" s="179">
        <f t="shared" si="42"/>
        <v>12.523474878002563</v>
      </c>
      <c r="K138" s="179">
        <f t="shared" si="42"/>
        <v>13.692586780562621</v>
      </c>
      <c r="L138" s="179">
        <f t="shared" si="42"/>
        <v>14.560061925519163</v>
      </c>
    </row>
    <row r="139" spans="3:13" ht="13.5" customHeight="1" outlineLevel="1">
      <c r="C139" s="180" t="s">
        <v>157</v>
      </c>
      <c r="D139" s="180"/>
      <c r="E139" s="180"/>
      <c r="F139" s="181">
        <f t="shared" ref="F139:L139" si="43">F133-F138</f>
        <v>10.608446000000006</v>
      </c>
      <c r="G139" s="181">
        <f t="shared" si="43"/>
        <v>15.439919</v>
      </c>
      <c r="H139" s="181">
        <f t="shared" si="43"/>
        <v>15.928754099958622</v>
      </c>
      <c r="I139" s="181">
        <f t="shared" si="43"/>
        <v>18.371486442039696</v>
      </c>
      <c r="J139" s="181">
        <f t="shared" si="43"/>
        <v>20.637676074823897</v>
      </c>
      <c r="K139" s="181">
        <f t="shared" si="43"/>
        <v>22.56427815414262</v>
      </c>
      <c r="L139" s="181">
        <f t="shared" si="43"/>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4">G139-F139</f>
        <v>4.8314729999999937</v>
      </c>
      <c r="H141" s="182">
        <f t="shared" si="44"/>
        <v>0.48883509995862262</v>
      </c>
      <c r="I141" s="182">
        <f t="shared" si="44"/>
        <v>2.442732342081074</v>
      </c>
      <c r="J141" s="182">
        <f t="shared" si="44"/>
        <v>2.2661896327842008</v>
      </c>
      <c r="K141" s="182">
        <f t="shared" si="44"/>
        <v>1.9266020793187231</v>
      </c>
      <c r="L141" s="182">
        <f t="shared" si="44"/>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5">F13</f>
        <v>78.565675999999996</v>
      </c>
      <c r="G145" s="209">
        <f t="shared" si="45"/>
        <v>90.614007999999998</v>
      </c>
      <c r="H145" s="209">
        <f t="shared" si="45"/>
        <v>104.5099955077592</v>
      </c>
      <c r="I145" s="209">
        <f t="shared" si="45"/>
        <v>120.53698321160066</v>
      </c>
      <c r="J145" s="209">
        <f t="shared" si="45"/>
        <v>135.4056582414087</v>
      </c>
      <c r="K145" s="209">
        <f t="shared" si="45"/>
        <v>148.04626863637753</v>
      </c>
      <c r="L145" s="209">
        <f t="shared" si="45"/>
        <v>157.42553790111026</v>
      </c>
      <c r="M145" s="50"/>
    </row>
    <row r="146" spans="1:19" ht="13.5" customHeight="1" outlineLevel="1">
      <c r="C146" s="68" t="s">
        <v>66</v>
      </c>
      <c r="D146" s="68"/>
      <c r="E146" s="68"/>
      <c r="F146" s="177">
        <f t="shared" si="45"/>
        <v>51.562188999999996</v>
      </c>
      <c r="G146" s="177">
        <f t="shared" si="45"/>
        <v>61.618676000000001</v>
      </c>
      <c r="H146" s="177">
        <f t="shared" si="45"/>
        <v>69.828708282059708</v>
      </c>
      <c r="I146" s="177">
        <f t="shared" si="45"/>
        <v>80.537194523728473</v>
      </c>
      <c r="J146" s="177">
        <f t="shared" si="45"/>
        <v>90.471750220079329</v>
      </c>
      <c r="K146" s="177">
        <f t="shared" si="45"/>
        <v>98.917616966977391</v>
      </c>
      <c r="L146" s="177">
        <f t="shared" si="45"/>
        <v>105.18440756632523</v>
      </c>
      <c r="M146" s="50"/>
    </row>
    <row r="147" spans="1:19" ht="13.5" customHeight="1" outlineLevel="1">
      <c r="C147" s="68" t="s">
        <v>69</v>
      </c>
      <c r="D147" s="68"/>
      <c r="E147" s="68"/>
      <c r="F147" s="177">
        <f t="shared" ref="F147:L147" si="46">F17</f>
        <v>14.179914999999999</v>
      </c>
      <c r="G147" s="177">
        <f t="shared" si="46"/>
        <v>15.4366889395</v>
      </c>
      <c r="H147" s="177">
        <f t="shared" si="46"/>
        <v>18.333216581804578</v>
      </c>
      <c r="I147" s="177">
        <f t="shared" si="46"/>
        <v>21.144681985672378</v>
      </c>
      <c r="J147" s="177">
        <f t="shared" si="46"/>
        <v>23.752955369300096</v>
      </c>
      <c r="K147" s="177">
        <f t="shared" si="46"/>
        <v>25.970380094765407</v>
      </c>
      <c r="L147" s="177">
        <f t="shared" si="46"/>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47">I149</f>
        <v>83.863776892169696</v>
      </c>
      <c r="K149" s="211">
        <f t="shared" si="47"/>
        <v>83.863776892169696</v>
      </c>
      <c r="L149" s="211">
        <f t="shared" si="47"/>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48">I151</f>
        <v>2.0684944550576352E-2</v>
      </c>
      <c r="K151" s="139">
        <f t="shared" si="48"/>
        <v>2.0684944550576352E-2</v>
      </c>
      <c r="L151" s="139">
        <f t="shared" si="48"/>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49">H153</f>
        <v>16.922818383787302</v>
      </c>
      <c r="J153" s="211">
        <f t="shared" si="49"/>
        <v>16.922818383787302</v>
      </c>
      <c r="K153" s="211">
        <f t="shared" si="49"/>
        <v>16.922818383787302</v>
      </c>
      <c r="L153" s="211">
        <f t="shared" si="49"/>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49"/>
        <v>0.17436577105792128</v>
      </c>
      <c r="K154" s="139">
        <f t="shared" si="49"/>
        <v>0.17436577105792128</v>
      </c>
      <c r="L154" s="139">
        <f t="shared" si="49"/>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49"/>
        <v>0.1762791418223944</v>
      </c>
      <c r="K155" s="139">
        <f t="shared" si="49"/>
        <v>0.1762791418223944</v>
      </c>
      <c r="L155" s="139">
        <f t="shared" si="49"/>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6'!F13</f>
        <v>0</v>
      </c>
      <c r="G162" s="122">
        <f>'Financials from CIP'!E13/1000-'Step 6'!G13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6'!F15</f>
        <v>0</v>
      </c>
      <c r="G163" s="122">
        <f>'Financials from CIP'!E19/1000-'Step 6'!G15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6'!F18</f>
        <v>0</v>
      </c>
      <c r="G164" s="122">
        <f>'Financials from CIP'!E36/1000-'Step 6'!G18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6'!F33</f>
        <v>0</v>
      </c>
      <c r="G165" s="122">
        <f>'Financials from CIP'!E34/1000-'Step 6'!G33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6'!F60</f>
        <v>0</v>
      </c>
      <c r="G168" s="122">
        <f>'Financials from CIP'!E46/1000-'Step 6'!G60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6'!F64</f>
        <v>0</v>
      </c>
      <c r="G169" s="122">
        <f>'Financials from CIP'!E51/1000-'Step 6'!G64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6'!F70</f>
        <v>0</v>
      </c>
      <c r="G170" s="122">
        <f>'Financials from CIP'!E56/1000-'Step 6'!G70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6'!F77</f>
        <v>0</v>
      </c>
      <c r="G171" s="122">
        <f>'Financials from CIP'!E61/1000-'Step 6'!G77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6'!F84</f>
        <v>0</v>
      </c>
      <c r="G172" s="122">
        <f>'Financials from CIP'!E69/1000-'Step 6'!G84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6'!F85:F86)</f>
        <v>0</v>
      </c>
      <c r="G173" s="122">
        <f>'Financials from CIP'!E73/1000-SUM('Step 6'!G85:G86)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50">H$11</f>
        <v>46022</v>
      </c>
      <c r="I185" s="58">
        <f t="shared" si="50"/>
        <v>46387</v>
      </c>
      <c r="J185" s="58">
        <f t="shared" si="50"/>
        <v>46752</v>
      </c>
      <c r="K185" s="58">
        <f t="shared" si="50"/>
        <v>47118</v>
      </c>
      <c r="L185" s="58">
        <f t="shared" si="50"/>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1">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1"/>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1"/>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1"/>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1"/>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1"/>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2">-SUM(I187:I193)</f>
        <v>6.1302957891314076</v>
      </c>
      <c r="J194" s="156">
        <f t="shared" ca="1" si="52"/>
        <v>6.4683165246530567</v>
      </c>
      <c r="K194" s="156">
        <f t="shared" ca="1" si="52"/>
        <v>6.8378927245374452</v>
      </c>
      <c r="L194" s="156">
        <f t="shared" ca="1" si="52"/>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thickBot="1">
      <c r="A197" s="82"/>
      <c r="B197" s="82"/>
      <c r="C197" s="121"/>
      <c r="D197" s="82"/>
      <c r="E197" s="82"/>
      <c r="F197" s="82"/>
      <c r="G197" s="82"/>
      <c r="H197" s="82"/>
      <c r="I197" s="82"/>
      <c r="J197" s="82"/>
      <c r="K197" s="82"/>
      <c r="L197" s="82"/>
      <c r="M197" s="82"/>
      <c r="N197" s="82"/>
      <c r="O197" s="82"/>
      <c r="P197" s="82"/>
      <c r="Q197" s="82"/>
      <c r="R197" s="82"/>
      <c r="S197" s="82"/>
    </row>
    <row r="198" spans="1:19" ht="19.5" customHeight="1" outlineLevel="1" thickTop="1">
      <c r="A198" s="125"/>
      <c r="B198" s="46" t="s">
        <v>61</v>
      </c>
      <c r="C198" s="47" t="s">
        <v>199</v>
      </c>
      <c r="D198" s="48"/>
      <c r="E198" s="49"/>
      <c r="F198" s="49"/>
      <c r="G198" s="49"/>
      <c r="H198" s="49"/>
      <c r="I198" s="49"/>
      <c r="J198" s="49"/>
      <c r="K198" s="49"/>
      <c r="L198" s="49"/>
      <c r="M198" s="50" t="s">
        <v>200</v>
      </c>
    </row>
    <row r="199" spans="1:19" ht="5.0999999999999996" customHeight="1" outlineLevel="1">
      <c r="A199" s="125"/>
      <c r="M199" s="50"/>
    </row>
    <row r="200" spans="1:19" ht="13.5" customHeight="1" outlineLevel="1">
      <c r="A200" s="125"/>
      <c r="C200" s="53"/>
      <c r="D200" s="53"/>
      <c r="E200" s="53"/>
      <c r="F200" s="54" t="s">
        <v>63</v>
      </c>
      <c r="G200" s="54" t="s">
        <v>63</v>
      </c>
      <c r="H200" s="55" t="s">
        <v>64</v>
      </c>
      <c r="I200" s="55"/>
      <c r="J200" s="55"/>
      <c r="K200" s="55"/>
      <c r="L200" s="55"/>
    </row>
    <row r="201" spans="1:19" ht="13.5" customHeight="1" outlineLevel="1" thickBot="1">
      <c r="A201" s="125"/>
      <c r="C201" s="56" t="s">
        <v>65</v>
      </c>
      <c r="D201" s="57"/>
      <c r="E201" s="57"/>
      <c r="F201" s="58">
        <f>F$11</f>
        <v>45291</v>
      </c>
      <c r="G201" s="58">
        <f>G$11</f>
        <v>45657</v>
      </c>
      <c r="H201" s="58">
        <f t="shared" ref="H201:L201" si="53">H$11</f>
        <v>46022</v>
      </c>
      <c r="I201" s="58">
        <f t="shared" si="53"/>
        <v>46387</v>
      </c>
      <c r="J201" s="58">
        <f t="shared" si="53"/>
        <v>46752</v>
      </c>
      <c r="K201" s="58">
        <f t="shared" si="53"/>
        <v>47118</v>
      </c>
      <c r="L201" s="58">
        <f t="shared" si="53"/>
        <v>47483</v>
      </c>
    </row>
    <row r="202" spans="1:19" ht="5.0999999999999996" customHeight="1" outlineLevel="1">
      <c r="A202" s="125"/>
      <c r="C202" s="59"/>
      <c r="D202" s="59"/>
      <c r="E202" s="59"/>
      <c r="F202" s="60"/>
      <c r="G202" s="60"/>
      <c r="H202" s="60"/>
      <c r="I202" s="60"/>
      <c r="J202" s="60"/>
      <c r="K202" s="60"/>
    </row>
    <row r="203" spans="1:19" ht="13.5" customHeight="1" outlineLevel="1">
      <c r="A203" s="125"/>
      <c r="C203" s="84" t="s">
        <v>201</v>
      </c>
      <c r="D203" s="85"/>
      <c r="E203" s="86"/>
      <c r="F203" s="86"/>
      <c r="G203" s="86"/>
      <c r="H203" s="86"/>
      <c r="I203" s="86"/>
      <c r="J203" s="86"/>
      <c r="K203" s="86"/>
      <c r="L203" s="87"/>
    </row>
    <row r="204" spans="1:19" ht="13.5" customHeight="1" outlineLevel="1">
      <c r="A204" s="125"/>
      <c r="M204" s="30"/>
    </row>
    <row r="205" spans="1:19" ht="13.5" customHeight="1" outlineLevel="1">
      <c r="A205" s="125"/>
      <c r="C205" s="216" t="str">
        <f>+C113</f>
        <v>Revolver</v>
      </c>
      <c r="D205" s="217"/>
      <c r="E205" s="217"/>
      <c r="F205" s="218"/>
      <c r="G205" s="219"/>
      <c r="H205" s="220"/>
      <c r="I205" s="220"/>
      <c r="J205" s="220"/>
      <c r="K205" s="220"/>
      <c r="L205" s="220"/>
    </row>
    <row r="206" spans="1:19" ht="13.5" customHeight="1" outlineLevel="1">
      <c r="A206" s="125"/>
      <c r="C206" s="98" t="s">
        <v>202</v>
      </c>
      <c r="D206" s="118"/>
      <c r="E206" s="118"/>
      <c r="G206" s="149"/>
      <c r="H206" s="221"/>
      <c r="I206" s="221"/>
      <c r="J206" s="221"/>
      <c r="K206" s="221"/>
      <c r="L206" s="221"/>
      <c r="M206" s="50" t="s">
        <v>203</v>
      </c>
    </row>
    <row r="207" spans="1:19" ht="13.5" customHeight="1" outlineLevel="1">
      <c r="A207" s="125"/>
      <c r="C207" s="91" t="s">
        <v>204</v>
      </c>
      <c r="D207" s="118"/>
      <c r="E207" s="118"/>
      <c r="G207" s="149"/>
      <c r="H207" s="206"/>
      <c r="I207" s="206"/>
      <c r="J207" s="206"/>
      <c r="K207" s="206"/>
      <c r="L207" s="206"/>
      <c r="M207" s="50" t="s">
        <v>205</v>
      </c>
    </row>
    <row r="208" spans="1:19" ht="13.5" customHeight="1" outlineLevel="1">
      <c r="A208" s="125"/>
      <c r="C208" s="91" t="s">
        <v>206</v>
      </c>
      <c r="D208" s="118"/>
      <c r="E208" s="118"/>
      <c r="G208" s="149"/>
      <c r="H208" s="206"/>
      <c r="I208" s="206"/>
      <c r="J208" s="206"/>
      <c r="K208" s="206"/>
      <c r="L208" s="206"/>
    </row>
    <row r="209" spans="1:13" ht="13.5" customHeight="1" outlineLevel="1">
      <c r="A209" s="125"/>
      <c r="C209" s="65" t="s">
        <v>207</v>
      </c>
      <c r="D209" s="65"/>
      <c r="E209" s="65"/>
      <c r="F209" s="65"/>
      <c r="G209" s="222"/>
      <c r="H209" s="222"/>
      <c r="I209" s="222"/>
      <c r="J209" s="222"/>
      <c r="K209" s="222"/>
      <c r="L209" s="222"/>
      <c r="M209" s="50" t="s">
        <v>208</v>
      </c>
    </row>
    <row r="210" spans="1:13" ht="13.5" customHeight="1" outlineLevel="1">
      <c r="A210" s="125"/>
      <c r="C210" s="68"/>
      <c r="D210" s="68"/>
      <c r="E210" s="68"/>
      <c r="F210" s="68"/>
      <c r="G210" s="147"/>
      <c r="H210" s="154"/>
      <c r="I210" s="68"/>
      <c r="J210" s="68"/>
      <c r="K210" s="68"/>
      <c r="L210" s="68"/>
    </row>
    <row r="211" spans="1:13" ht="13.5" customHeight="1" outlineLevel="1">
      <c r="A211" s="125"/>
      <c r="C211" s="68" t="s">
        <v>209</v>
      </c>
      <c r="D211" s="68"/>
      <c r="E211" s="68"/>
      <c r="F211" s="68"/>
      <c r="G211" s="130"/>
      <c r="H211" s="130"/>
      <c r="I211" s="130"/>
      <c r="J211" s="130"/>
      <c r="K211" s="130"/>
      <c r="L211" s="130"/>
      <c r="M211" s="50" t="s">
        <v>210</v>
      </c>
    </row>
    <row r="212" spans="1:13" ht="13.5" customHeight="1" outlineLevel="1">
      <c r="A212" s="125"/>
      <c r="C212" s="98" t="s">
        <v>211</v>
      </c>
      <c r="D212" s="223"/>
      <c r="E212" s="223"/>
      <c r="F212" s="223"/>
      <c r="G212" s="165"/>
      <c r="H212" s="165"/>
      <c r="I212" s="165"/>
      <c r="J212" s="165"/>
      <c r="K212" s="165"/>
      <c r="L212" s="165"/>
      <c r="M212" s="50" t="s">
        <v>212</v>
      </c>
    </row>
    <row r="213" spans="1:13" ht="13.5" customHeight="1" outlineLevel="1">
      <c r="A213" s="125"/>
      <c r="C213" s="68"/>
      <c r="G213" s="68"/>
      <c r="H213" s="68"/>
      <c r="I213" s="68"/>
      <c r="J213" s="68"/>
      <c r="K213" s="68"/>
      <c r="L213" s="68"/>
    </row>
    <row r="214" spans="1:13" ht="13.5" customHeight="1" outlineLevel="1">
      <c r="A214" s="125"/>
      <c r="C214" s="216" t="str">
        <f>+C114</f>
        <v>Term Loan A</v>
      </c>
      <c r="D214" s="217"/>
      <c r="E214" s="217"/>
      <c r="F214" s="218"/>
      <c r="G214" s="219"/>
      <c r="H214" s="224"/>
      <c r="I214" s="224"/>
      <c r="J214" s="225"/>
      <c r="K214" s="225"/>
      <c r="L214" s="225"/>
    </row>
    <row r="215" spans="1:13" ht="13.5" customHeight="1" outlineLevel="1">
      <c r="A215" s="125"/>
      <c r="C215" s="98" t="s">
        <v>202</v>
      </c>
      <c r="D215" s="118"/>
      <c r="E215" s="118"/>
      <c r="G215" s="149"/>
      <c r="H215" s="221"/>
      <c r="I215" s="221"/>
      <c r="J215" s="221"/>
      <c r="K215" s="221"/>
      <c r="L215" s="221"/>
      <c r="M215" s="50" t="s">
        <v>213</v>
      </c>
    </row>
    <row r="216" spans="1:13" ht="13.5" customHeight="1" outlineLevel="1">
      <c r="A216" s="125"/>
      <c r="C216" s="91" t="s">
        <v>214</v>
      </c>
      <c r="D216" s="118"/>
      <c r="E216" s="118"/>
      <c r="G216" s="149"/>
      <c r="H216" s="165"/>
      <c r="I216" s="165"/>
      <c r="J216" s="165"/>
      <c r="K216" s="165"/>
      <c r="L216" s="165"/>
      <c r="M216" s="50" t="s">
        <v>215</v>
      </c>
    </row>
    <row r="217" spans="1:13" ht="13.5" customHeight="1" outlineLevel="1">
      <c r="A217" s="125"/>
      <c r="C217" s="91" t="s">
        <v>216</v>
      </c>
      <c r="D217" s="118"/>
      <c r="E217" s="118"/>
      <c r="G217" s="149"/>
      <c r="H217" s="226"/>
      <c r="I217" s="226"/>
      <c r="J217" s="226"/>
      <c r="K217" s="226"/>
      <c r="L217" s="226"/>
    </row>
    <row r="218" spans="1:13" ht="13.5" customHeight="1" outlineLevel="1">
      <c r="A218" s="125"/>
      <c r="C218" s="65" t="s">
        <v>207</v>
      </c>
      <c r="D218" s="65"/>
      <c r="E218" s="65"/>
      <c r="F218" s="65"/>
      <c r="G218" s="222"/>
      <c r="H218" s="227"/>
      <c r="I218" s="227"/>
      <c r="J218" s="227"/>
      <c r="K218" s="227"/>
      <c r="L218" s="227"/>
      <c r="M218" s="50" t="s">
        <v>217</v>
      </c>
    </row>
    <row r="219" spans="1:13" ht="13.5" customHeight="1" outlineLevel="1">
      <c r="A219" s="125"/>
      <c r="C219" s="68"/>
      <c r="G219" s="68"/>
      <c r="H219" s="68"/>
      <c r="I219" s="68"/>
      <c r="J219" s="68"/>
      <c r="K219" s="68"/>
      <c r="L219" s="68"/>
    </row>
    <row r="220" spans="1:13" ht="13.5" customHeight="1" outlineLevel="1">
      <c r="A220" s="125"/>
      <c r="C220" s="216" t="str">
        <f>+C115</f>
        <v>Subordinated - Note 1</v>
      </c>
      <c r="D220" s="217"/>
      <c r="E220" s="217"/>
      <c r="F220" s="218"/>
      <c r="G220" s="219"/>
      <c r="H220" s="224"/>
      <c r="I220" s="224"/>
      <c r="J220" s="225"/>
      <c r="K220" s="225"/>
      <c r="L220" s="225"/>
    </row>
    <row r="221" spans="1:13" ht="13.5" customHeight="1" outlineLevel="1">
      <c r="A221" s="125"/>
      <c r="C221" s="98" t="s">
        <v>202</v>
      </c>
      <c r="D221" s="118"/>
      <c r="E221" s="118"/>
      <c r="G221" s="228"/>
      <c r="H221" s="229"/>
      <c r="I221" s="229"/>
      <c r="J221" s="229"/>
      <c r="K221" s="229"/>
      <c r="L221" s="229"/>
      <c r="M221" s="50" t="s">
        <v>213</v>
      </c>
    </row>
    <row r="222" spans="1:13" ht="13.5" customHeight="1" outlineLevel="1">
      <c r="A222" s="125"/>
      <c r="C222" s="91" t="s">
        <v>214</v>
      </c>
      <c r="D222" s="118"/>
      <c r="E222" s="118"/>
      <c r="G222" s="154"/>
      <c r="H222" s="230"/>
      <c r="I222" s="230"/>
      <c r="J222" s="230"/>
      <c r="K222" s="230"/>
      <c r="L222" s="230"/>
      <c r="M222" s="50" t="s">
        <v>218</v>
      </c>
    </row>
    <row r="223" spans="1:13" ht="13.5" customHeight="1" outlineLevel="1">
      <c r="A223" s="125"/>
      <c r="C223" s="91" t="s">
        <v>216</v>
      </c>
      <c r="D223" s="118"/>
      <c r="E223" s="118"/>
      <c r="G223" s="154"/>
      <c r="H223" s="231"/>
      <c r="I223" s="231"/>
      <c r="J223" s="231"/>
      <c r="K223" s="231"/>
      <c r="L223" s="231"/>
    </row>
    <row r="224" spans="1:13" ht="13.5" customHeight="1" outlineLevel="1">
      <c r="A224" s="125"/>
      <c r="C224" s="65" t="s">
        <v>207</v>
      </c>
      <c r="D224" s="65"/>
      <c r="E224" s="65"/>
      <c r="F224" s="65"/>
      <c r="G224" s="232"/>
      <c r="H224" s="233"/>
      <c r="I224" s="233"/>
      <c r="J224" s="233"/>
      <c r="K224" s="233"/>
      <c r="L224" s="233"/>
      <c r="M224" s="50" t="s">
        <v>219</v>
      </c>
    </row>
    <row r="225" spans="1:13" ht="13.5" customHeight="1" outlineLevel="1">
      <c r="A225" s="125"/>
      <c r="C225" s="68"/>
      <c r="G225" s="68"/>
      <c r="H225" s="68"/>
      <c r="I225" s="68"/>
      <c r="J225" s="68"/>
      <c r="K225" s="68"/>
      <c r="L225" s="68"/>
    </row>
    <row r="226" spans="1:13" ht="13.5" customHeight="1" outlineLevel="1">
      <c r="A226" s="125"/>
      <c r="C226" s="216" t="str">
        <f>+C116</f>
        <v>Subordinated - Note 2</v>
      </c>
      <c r="D226" s="217"/>
      <c r="E226" s="217"/>
      <c r="F226" s="218"/>
      <c r="G226" s="219"/>
      <c r="H226" s="224"/>
      <c r="I226" s="224"/>
      <c r="J226" s="225"/>
      <c r="K226" s="225"/>
      <c r="L226" s="225"/>
    </row>
    <row r="227" spans="1:13" ht="13.5" customHeight="1" outlineLevel="1">
      <c r="A227" s="125"/>
      <c r="C227" s="98" t="s">
        <v>202</v>
      </c>
      <c r="D227" s="118"/>
      <c r="E227" s="118"/>
      <c r="G227" s="228"/>
      <c r="H227" s="229"/>
      <c r="I227" s="229"/>
      <c r="J227" s="229"/>
      <c r="K227" s="229"/>
      <c r="L227" s="229"/>
      <c r="M227" s="50" t="s">
        <v>213</v>
      </c>
    </row>
    <row r="228" spans="1:13" ht="13.5" customHeight="1" outlineLevel="1">
      <c r="A228" s="125"/>
      <c r="C228" s="91" t="s">
        <v>214</v>
      </c>
      <c r="D228" s="118"/>
      <c r="E228" s="118"/>
      <c r="G228" s="154"/>
      <c r="H228" s="230"/>
      <c r="I228" s="230"/>
      <c r="J228" s="230"/>
      <c r="K228" s="230"/>
      <c r="L228" s="230"/>
      <c r="M228" s="50" t="s">
        <v>220</v>
      </c>
    </row>
    <row r="229" spans="1:13" ht="13.5" customHeight="1" outlineLevel="1">
      <c r="A229" s="125"/>
      <c r="C229" s="91" t="s">
        <v>216</v>
      </c>
      <c r="D229" s="118"/>
      <c r="E229" s="118"/>
      <c r="G229" s="154"/>
      <c r="H229" s="231"/>
      <c r="I229" s="231"/>
      <c r="J229" s="231"/>
      <c r="K229" s="231"/>
      <c r="L229" s="231"/>
    </row>
    <row r="230" spans="1:13" ht="13.5" customHeight="1" outlineLevel="1">
      <c r="A230" s="125"/>
      <c r="C230" s="65" t="s">
        <v>207</v>
      </c>
      <c r="D230" s="65"/>
      <c r="E230" s="65"/>
      <c r="F230" s="65"/>
      <c r="G230" s="232"/>
      <c r="H230" s="233"/>
      <c r="I230" s="233"/>
      <c r="J230" s="233"/>
      <c r="K230" s="233"/>
      <c r="L230" s="233"/>
      <c r="M230" s="50" t="s">
        <v>219</v>
      </c>
    </row>
    <row r="231" spans="1:13" ht="13.5" customHeight="1" outlineLevel="1">
      <c r="A231" s="125"/>
      <c r="C231" s="68"/>
      <c r="G231" s="68"/>
      <c r="H231" s="68"/>
      <c r="I231" s="68"/>
      <c r="J231" s="68"/>
      <c r="K231" s="68"/>
      <c r="L231" s="68"/>
    </row>
    <row r="232" spans="1:13" ht="13.5" customHeight="1" outlineLevel="1">
      <c r="A232" s="125"/>
      <c r="C232" s="84" t="s">
        <v>221</v>
      </c>
      <c r="D232" s="85"/>
      <c r="E232" s="86"/>
      <c r="F232" s="86"/>
      <c r="G232" s="234" t="s">
        <v>222</v>
      </c>
      <c r="H232" s="86"/>
      <c r="I232" s="86"/>
      <c r="J232" s="86"/>
      <c r="K232" s="86"/>
      <c r="L232" s="87"/>
    </row>
    <row r="233" spans="1:13" ht="13.5" customHeight="1" outlineLevel="1">
      <c r="A233" s="125"/>
      <c r="C233" s="68"/>
    </row>
    <row r="234" spans="1:13" ht="13.5" customHeight="1" outlineLevel="1">
      <c r="A234" s="125"/>
      <c r="C234" s="68"/>
      <c r="G234" s="235" t="s">
        <v>222</v>
      </c>
      <c r="H234" s="236" t="s">
        <v>223</v>
      </c>
      <c r="I234" s="237"/>
      <c r="J234" s="237"/>
      <c r="K234" s="237"/>
      <c r="L234" s="237"/>
    </row>
    <row r="235" spans="1:13" ht="13.5" customHeight="1" outlineLevel="1">
      <c r="A235" s="125"/>
      <c r="C235" s="68" t="str">
        <f>+C214</f>
        <v>Term Loan A</v>
      </c>
      <c r="G235" s="152">
        <f>G218</f>
        <v>0</v>
      </c>
      <c r="H235" s="238"/>
      <c r="I235" s="238"/>
      <c r="J235" s="238"/>
      <c r="K235" s="238"/>
      <c r="L235" s="238"/>
      <c r="M235" s="50" t="s">
        <v>224</v>
      </c>
    </row>
    <row r="236" spans="1:13" ht="13.5" customHeight="1" outlineLevel="1">
      <c r="A236" s="125"/>
      <c r="C236" s="68" t="str">
        <f>+C220</f>
        <v>Subordinated - Note 1</v>
      </c>
      <c r="G236" s="152">
        <f>G224</f>
        <v>0</v>
      </c>
      <c r="H236" s="238"/>
      <c r="I236" s="238"/>
      <c r="J236" s="238"/>
      <c r="K236" s="238"/>
      <c r="L236" s="238"/>
      <c r="M236" s="50" t="s">
        <v>225</v>
      </c>
    </row>
    <row r="237" spans="1:13" ht="13.5" customHeight="1" outlineLevel="1">
      <c r="A237" s="125"/>
      <c r="C237" s="68" t="str">
        <f>+C226</f>
        <v>Subordinated - Note 2</v>
      </c>
      <c r="G237" s="152">
        <f>G230</f>
        <v>0</v>
      </c>
      <c r="H237" s="238"/>
      <c r="I237" s="238"/>
      <c r="J237" s="238"/>
      <c r="K237" s="238"/>
      <c r="L237" s="238"/>
      <c r="M237" s="50" t="s">
        <v>226</v>
      </c>
    </row>
    <row r="238" spans="1:13" ht="13.5" customHeight="1" outlineLevel="1">
      <c r="A238" s="125"/>
      <c r="C238" s="68"/>
    </row>
    <row r="239" spans="1:13" ht="13.5" customHeight="1" outlineLevel="1">
      <c r="A239" s="125"/>
      <c r="C239" s="84" t="s">
        <v>227</v>
      </c>
      <c r="D239" s="85"/>
      <c r="E239" s="86"/>
      <c r="F239" s="86"/>
      <c r="G239" s="86"/>
      <c r="H239" s="86"/>
      <c r="I239" s="86"/>
      <c r="J239" s="86"/>
      <c r="K239" s="86"/>
      <c r="L239" s="87"/>
    </row>
    <row r="240" spans="1:13" ht="13.5" customHeight="1" outlineLevel="1">
      <c r="A240" s="125"/>
      <c r="C240" s="68"/>
    </row>
    <row r="241" spans="1:19" ht="13.5" customHeight="1" outlineLevel="1">
      <c r="A241" s="125"/>
      <c r="C241" s="239"/>
      <c r="D241" s="240"/>
      <c r="E241" s="240"/>
      <c r="H241" s="54"/>
      <c r="I241" s="54" t="s">
        <v>228</v>
      </c>
      <c r="J241" s="54" t="s">
        <v>229</v>
      </c>
      <c r="K241" s="54" t="s">
        <v>230</v>
      </c>
      <c r="L241" s="54" t="s">
        <v>98</v>
      </c>
    </row>
    <row r="242" spans="1:19" ht="13.5" customHeight="1" outlineLevel="1" thickBot="1">
      <c r="A242" s="125"/>
      <c r="C242" s="241"/>
      <c r="D242" s="242"/>
      <c r="E242" s="242"/>
      <c r="F242" s="243"/>
      <c r="G242" s="244" t="s">
        <v>231</v>
      </c>
      <c r="H242" s="243" t="s">
        <v>232</v>
      </c>
      <c r="I242" s="243" t="s">
        <v>232</v>
      </c>
      <c r="J242" s="243" t="s">
        <v>232</v>
      </c>
      <c r="K242" s="243" t="s">
        <v>233</v>
      </c>
      <c r="L242" s="243" t="s">
        <v>234</v>
      </c>
      <c r="M242" s="50" t="s">
        <v>235</v>
      </c>
    </row>
    <row r="243" spans="1:19" ht="5.0999999999999996" customHeight="1" outlineLevel="1">
      <c r="A243" s="125"/>
      <c r="C243" s="98"/>
      <c r="D243" s="118"/>
      <c r="E243" s="118"/>
      <c r="F243" s="245"/>
      <c r="G243" s="245"/>
      <c r="H243" s="245"/>
      <c r="I243" s="245"/>
      <c r="J243" s="245"/>
      <c r="K243" s="118"/>
    </row>
    <row r="244" spans="1:19" ht="13.5" customHeight="1" outlineLevel="1">
      <c r="A244" s="125"/>
      <c r="C244" s="98" t="str">
        <f>+C205</f>
        <v>Revolver</v>
      </c>
      <c r="D244" s="118"/>
      <c r="E244" s="118"/>
      <c r="F244" s="246"/>
      <c r="G244" s="247"/>
      <c r="H244" s="247"/>
      <c r="I244" s="247"/>
      <c r="J244" s="248"/>
      <c r="K244" s="247"/>
      <c r="L244" s="249"/>
      <c r="M244" s="50" t="s">
        <v>236</v>
      </c>
    </row>
    <row r="245" spans="1:19" ht="13.5" customHeight="1" outlineLevel="1">
      <c r="A245" s="125"/>
      <c r="C245" s="98" t="str">
        <f>+C214</f>
        <v>Term Loan A</v>
      </c>
      <c r="D245" s="118"/>
      <c r="E245" s="118"/>
      <c r="F245" s="246"/>
      <c r="G245" s="247"/>
      <c r="H245" s="247"/>
      <c r="I245" s="247"/>
      <c r="J245" s="248"/>
      <c r="K245" s="247"/>
      <c r="L245" s="249"/>
      <c r="M245" s="50" t="s">
        <v>237</v>
      </c>
    </row>
    <row r="246" spans="1:19" ht="13.5" customHeight="1" outlineLevel="1">
      <c r="A246" s="125"/>
      <c r="C246" s="98" t="str">
        <f>+C220</f>
        <v>Subordinated - Note 1</v>
      </c>
      <c r="D246" s="118"/>
      <c r="E246" s="118"/>
      <c r="F246" s="246"/>
      <c r="G246" s="247"/>
      <c r="H246" s="247"/>
      <c r="I246" s="247"/>
      <c r="J246" s="247"/>
      <c r="K246" s="247"/>
      <c r="L246" s="249"/>
      <c r="M246" s="50" t="s">
        <v>238</v>
      </c>
    </row>
    <row r="247" spans="1:19" ht="13.5" customHeight="1" outlineLevel="1">
      <c r="A247" s="125"/>
      <c r="C247" s="98" t="str">
        <f>+C226</f>
        <v>Subordinated - Note 2</v>
      </c>
      <c r="D247" s="118"/>
      <c r="E247" s="118"/>
      <c r="F247" s="246"/>
      <c r="G247" s="247"/>
      <c r="H247" s="247"/>
      <c r="I247" s="247"/>
      <c r="J247" s="247"/>
      <c r="K247" s="247"/>
      <c r="L247" s="249"/>
      <c r="M247" s="50" t="s">
        <v>239</v>
      </c>
    </row>
    <row r="248" spans="1:19" ht="5.0999999999999996" customHeight="1" outlineLevel="1" thickBot="1">
      <c r="C248" s="157"/>
      <c r="D248" s="157"/>
      <c r="E248" s="157"/>
      <c r="F248" s="83"/>
      <c r="G248" s="83"/>
      <c r="H248" s="83"/>
      <c r="I248" s="83"/>
      <c r="J248" s="83"/>
      <c r="K248" s="83"/>
      <c r="L248" s="83"/>
    </row>
    <row r="250" spans="1:19" ht="19.5" customHeight="1">
      <c r="A250" s="82"/>
      <c r="B250" s="82"/>
      <c r="C250" s="121"/>
      <c r="D250" s="82"/>
      <c r="E250" s="82"/>
      <c r="F250" s="82"/>
      <c r="G250" s="82"/>
      <c r="H250" s="82"/>
      <c r="I250" s="82"/>
      <c r="J250" s="82"/>
      <c r="K250" s="82"/>
      <c r="L250" s="82"/>
      <c r="M250" s="82"/>
      <c r="N250" s="82"/>
      <c r="O250" s="82"/>
      <c r="P250" s="82"/>
      <c r="Q250" s="82"/>
      <c r="R250" s="82"/>
      <c r="S250" s="82"/>
    </row>
    <row r="251" spans="1:19" ht="5.0999999999999996" customHeight="1">
      <c r="A251" s="82"/>
      <c r="B251" s="82"/>
      <c r="C251" s="82"/>
      <c r="D251" s="82"/>
      <c r="E251" s="82"/>
      <c r="F251" s="82"/>
      <c r="G251" s="82"/>
      <c r="H251" s="82"/>
      <c r="I251" s="82"/>
      <c r="J251" s="82"/>
      <c r="K251" s="82"/>
      <c r="L251" s="82"/>
      <c r="M251" s="82"/>
      <c r="N251" s="82"/>
      <c r="O251" s="82"/>
      <c r="P251" s="82"/>
      <c r="Q251" s="82"/>
      <c r="R251" s="82"/>
      <c r="S251" s="82"/>
    </row>
    <row r="252" spans="1:19" ht="13.5" customHeight="1">
      <c r="A252" s="82"/>
      <c r="B252" s="82"/>
      <c r="C252" s="123"/>
      <c r="D252" s="82"/>
      <c r="E252" s="82"/>
      <c r="F252" s="82"/>
      <c r="G252" s="82"/>
      <c r="H252" s="82"/>
      <c r="I252" s="82"/>
      <c r="J252" s="82"/>
      <c r="K252" s="82"/>
      <c r="L252" s="82"/>
      <c r="M252" s="82"/>
      <c r="N252" s="82"/>
      <c r="O252" s="82"/>
      <c r="P252" s="82"/>
      <c r="Q252" s="82"/>
      <c r="R252" s="82"/>
      <c r="S252" s="82"/>
    </row>
    <row r="253" spans="1:19" ht="13.5" customHeight="1">
      <c r="A253" s="82"/>
      <c r="B253" s="82"/>
      <c r="C253" s="82"/>
      <c r="D253" s="82"/>
      <c r="E253" s="82"/>
      <c r="F253" s="124"/>
      <c r="G253" s="124"/>
      <c r="H253" s="82"/>
      <c r="I253" s="82"/>
      <c r="J253" s="82"/>
      <c r="K253" s="82"/>
      <c r="L253" s="82"/>
      <c r="M253" s="82"/>
      <c r="N253" s="82"/>
      <c r="O253" s="82"/>
      <c r="P253" s="82"/>
      <c r="Q253" s="82"/>
      <c r="R253" s="82"/>
      <c r="S253" s="82"/>
    </row>
    <row r="254" spans="1:19" ht="13.5" customHeight="1">
      <c r="A254" s="82"/>
      <c r="B254" s="82"/>
      <c r="C254" s="82"/>
      <c r="D254" s="82"/>
      <c r="E254" s="82"/>
      <c r="F254" s="124"/>
      <c r="G254" s="124"/>
      <c r="H254" s="82"/>
      <c r="I254" s="82"/>
      <c r="J254" s="82"/>
      <c r="K254" s="82"/>
      <c r="L254" s="82"/>
      <c r="M254" s="82"/>
      <c r="N254" s="82"/>
      <c r="O254" s="82"/>
      <c r="P254" s="82"/>
      <c r="Q254" s="82"/>
      <c r="R254" s="82"/>
      <c r="S254" s="82"/>
    </row>
    <row r="255" spans="1:19" ht="13.5" customHeight="1">
      <c r="A255" s="82"/>
      <c r="B255" s="82"/>
      <c r="C255" s="82"/>
      <c r="D255" s="82"/>
      <c r="E255" s="82"/>
      <c r="F255" s="124"/>
      <c r="G255" s="124"/>
      <c r="H255" s="82"/>
      <c r="I255" s="82"/>
      <c r="J255" s="82"/>
      <c r="K255" s="82"/>
      <c r="L255" s="82"/>
      <c r="M255" s="82"/>
      <c r="N255" s="82"/>
      <c r="O255" s="82"/>
      <c r="P255" s="82"/>
      <c r="Q255" s="82"/>
      <c r="R255" s="82"/>
      <c r="S255" s="82"/>
    </row>
    <row r="256" spans="1:19" ht="13.5" customHeight="1">
      <c r="A256" s="82"/>
      <c r="B256" s="82"/>
      <c r="C256" s="82"/>
      <c r="D256" s="82"/>
      <c r="E256" s="82"/>
      <c r="F256" s="124"/>
      <c r="G256" s="124"/>
      <c r="H256" s="82"/>
      <c r="I256" s="82"/>
      <c r="J256" s="82"/>
      <c r="K256" s="82"/>
      <c r="L256" s="82"/>
      <c r="M256" s="82"/>
      <c r="N256" s="82"/>
      <c r="O256" s="82"/>
      <c r="P256" s="82"/>
      <c r="Q256" s="82"/>
      <c r="R256" s="82"/>
      <c r="S256" s="82"/>
    </row>
    <row r="257" spans="1:19" ht="13.5" customHeight="1">
      <c r="A257" s="82"/>
      <c r="B257" s="82"/>
      <c r="C257" s="82"/>
      <c r="D257" s="82"/>
      <c r="E257" s="82"/>
      <c r="F257" s="82"/>
      <c r="G257" s="82"/>
      <c r="H257" s="82"/>
      <c r="I257" s="82"/>
      <c r="J257" s="82"/>
      <c r="K257" s="82"/>
      <c r="L257" s="82"/>
      <c r="M257" s="82"/>
      <c r="N257" s="82"/>
      <c r="O257" s="82"/>
      <c r="P257" s="82"/>
      <c r="Q257" s="82"/>
      <c r="R257" s="82"/>
      <c r="S257" s="82"/>
    </row>
    <row r="258" spans="1:19" ht="13.5" customHeight="1">
      <c r="A258" s="82"/>
      <c r="B258" s="82"/>
      <c r="C258" s="123"/>
      <c r="D258" s="82"/>
      <c r="E258" s="82"/>
      <c r="F258" s="82"/>
      <c r="G258" s="82"/>
      <c r="H258" s="82"/>
      <c r="I258" s="82"/>
      <c r="J258" s="82"/>
      <c r="K258" s="82"/>
      <c r="L258" s="82"/>
      <c r="M258" s="82"/>
      <c r="N258" s="82"/>
      <c r="O258" s="82"/>
      <c r="P258" s="82"/>
      <c r="Q258" s="82"/>
      <c r="R258" s="82"/>
      <c r="S258" s="82"/>
    </row>
    <row r="259" spans="1:19" ht="13.5" customHeight="1">
      <c r="A259" s="82"/>
      <c r="B259" s="82"/>
      <c r="C259" s="82"/>
      <c r="D259" s="82"/>
      <c r="E259" s="82"/>
      <c r="F259" s="124"/>
      <c r="G259" s="124"/>
      <c r="H259" s="82"/>
      <c r="I259" s="82"/>
      <c r="J259" s="82"/>
      <c r="K259" s="82"/>
      <c r="L259" s="82"/>
      <c r="M259" s="82"/>
      <c r="N259" s="82"/>
      <c r="O259" s="82"/>
      <c r="P259" s="82"/>
      <c r="Q259" s="82"/>
      <c r="R259" s="82"/>
      <c r="S259" s="82"/>
    </row>
    <row r="260" spans="1:19" ht="13.5" customHeight="1">
      <c r="A260" s="82"/>
      <c r="B260" s="82"/>
      <c r="C260" s="82"/>
      <c r="D260" s="82"/>
      <c r="E260" s="82"/>
      <c r="F260" s="124"/>
      <c r="G260" s="124"/>
      <c r="H260" s="82"/>
      <c r="I260" s="82"/>
      <c r="J260" s="82"/>
      <c r="K260" s="82"/>
      <c r="L260" s="82"/>
      <c r="M260" s="82"/>
      <c r="N260" s="82"/>
      <c r="O260" s="82"/>
      <c r="P260" s="82"/>
      <c r="Q260" s="82"/>
      <c r="R260" s="82"/>
      <c r="S260" s="82"/>
    </row>
    <row r="261" spans="1:19" ht="13.5" customHeight="1">
      <c r="A261" s="82"/>
      <c r="B261" s="82"/>
      <c r="C261" s="82"/>
      <c r="D261" s="82"/>
      <c r="E261" s="82"/>
      <c r="F261" s="124"/>
      <c r="G261" s="124"/>
      <c r="H261" s="82"/>
      <c r="I261" s="82"/>
      <c r="J261" s="82"/>
      <c r="K261" s="82"/>
      <c r="L261" s="82"/>
      <c r="M261" s="82"/>
      <c r="N261" s="82"/>
      <c r="O261" s="82"/>
      <c r="P261" s="82"/>
      <c r="Q261" s="82"/>
      <c r="R261" s="82"/>
      <c r="S261" s="82"/>
    </row>
    <row r="262" spans="1:19" ht="13.5" customHeight="1">
      <c r="A262" s="82"/>
      <c r="B262" s="82"/>
      <c r="C262" s="82"/>
      <c r="D262" s="82"/>
      <c r="E262" s="82"/>
      <c r="F262" s="124"/>
      <c r="G262" s="124"/>
      <c r="H262" s="82"/>
      <c r="I262" s="82"/>
      <c r="J262" s="82"/>
      <c r="K262" s="82"/>
      <c r="L262" s="82"/>
      <c r="M262" s="82"/>
      <c r="N262" s="82"/>
      <c r="O262" s="82"/>
      <c r="P262" s="82"/>
      <c r="Q262" s="82"/>
      <c r="R262" s="82"/>
      <c r="S262" s="82"/>
    </row>
    <row r="263" spans="1:19" ht="5.0999999999999996" customHeight="1">
      <c r="A263" s="82"/>
      <c r="B263" s="82"/>
      <c r="C263" s="82"/>
      <c r="D263" s="82"/>
      <c r="E263" s="82"/>
      <c r="F263" s="82"/>
      <c r="G263" s="82"/>
      <c r="H263" s="82"/>
      <c r="I263" s="82"/>
      <c r="J263" s="82"/>
      <c r="K263" s="82"/>
      <c r="L263" s="82"/>
      <c r="M263" s="82"/>
      <c r="N263" s="82"/>
      <c r="O263" s="82"/>
      <c r="P263" s="82"/>
      <c r="Q263" s="82"/>
      <c r="R263" s="82"/>
      <c r="S263" s="82"/>
    </row>
    <row r="264" spans="1:19" ht="13.5" customHeight="1">
      <c r="A264" s="82"/>
      <c r="B264" s="82"/>
      <c r="C264" s="82"/>
      <c r="D264" s="82"/>
      <c r="E264" s="82"/>
      <c r="F264" s="124"/>
      <c r="G264" s="124"/>
      <c r="H264" s="82"/>
      <c r="I264" s="82"/>
      <c r="J264" s="82"/>
      <c r="K264" s="82"/>
      <c r="L264" s="82"/>
      <c r="M264" s="82"/>
      <c r="N264" s="82"/>
      <c r="O264" s="82"/>
      <c r="P264" s="82"/>
      <c r="Q264" s="82"/>
      <c r="R264" s="82"/>
      <c r="S264" s="82"/>
    </row>
    <row r="265" spans="1:19" ht="13.5" customHeight="1">
      <c r="A265" s="82"/>
      <c r="B265" s="82"/>
      <c r="C265" s="82"/>
      <c r="D265" s="82"/>
      <c r="E265" s="82"/>
      <c r="F265" s="124"/>
      <c r="G265" s="124"/>
      <c r="H265" s="82"/>
      <c r="I265" s="82"/>
      <c r="J265" s="82"/>
      <c r="K265" s="82"/>
      <c r="L265" s="82"/>
      <c r="M265" s="82"/>
      <c r="N265" s="82"/>
      <c r="O265" s="82"/>
      <c r="P265" s="82"/>
      <c r="Q265" s="82"/>
      <c r="R265" s="82"/>
      <c r="S265" s="82"/>
    </row>
    <row r="266" spans="1:19" ht="13.5" customHeight="1">
      <c r="A266" s="82"/>
      <c r="B266" s="82"/>
      <c r="C266" s="82"/>
      <c r="D266" s="82"/>
      <c r="E266" s="82"/>
      <c r="F266" s="82"/>
      <c r="G266" s="82"/>
      <c r="H266" s="82"/>
      <c r="I266" s="82"/>
      <c r="J266" s="82"/>
      <c r="K266" s="82"/>
      <c r="L266" s="82"/>
      <c r="M266" s="82"/>
      <c r="N266" s="82"/>
      <c r="O266" s="82"/>
      <c r="P266" s="82"/>
      <c r="Q266" s="82"/>
      <c r="R266" s="82"/>
      <c r="S266" s="82"/>
    </row>
    <row r="267" spans="1:19" ht="13.5" customHeight="1">
      <c r="F267" s="124"/>
      <c r="G267" s="124"/>
    </row>
  </sheetData>
  <dataValidations count="1">
    <dataValidation type="whole" showInputMessage="1" showErrorMessage="1" errorTitle="Validation Error" error="Enter either 0 or 1." sqref="F244:F247" xr:uid="{5142FBE0-F844-4DC2-A58F-C73873156A4D}">
      <formula1>0</formula1>
      <formula2>1</formula2>
    </dataValidation>
  </dataValidations>
  <pageMargins left="0.25" right="0.25" top="0.75" bottom="0.75" header="0.3" footer="0.3"/>
  <pageSetup scale="47" orientation="landscape" r:id="rId1"/>
  <headerFooter alignWithMargins="0">
    <oddHeader>&amp;A</oddHeader>
    <oddFooter>Page &amp;P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ED557-2246-4D3E-A6C4-F403CD8AE5D2}">
  <sheetPr>
    <tabColor rgb="FF416D89"/>
    <outlinePr summaryBelow="0"/>
    <pageSetUpPr fitToPage="1"/>
  </sheetPr>
  <dimension ref="A1:S26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197</v>
      </c>
      <c r="D3" s="34"/>
      <c r="E3" s="38"/>
      <c r="F3" s="38"/>
      <c r="G3" s="38"/>
      <c r="H3" s="34"/>
      <c r="I3" s="34"/>
      <c r="J3" s="34"/>
      <c r="K3" s="34"/>
      <c r="L3" s="34"/>
    </row>
    <row r="4" spans="2:14" ht="13.5" customHeight="1" outlineLevel="1">
      <c r="C4" s="37"/>
      <c r="D4" s="34"/>
      <c r="E4" s="38"/>
      <c r="F4" s="38"/>
      <c r="G4" s="38"/>
      <c r="H4" s="34"/>
      <c r="I4" s="34"/>
      <c r="J4" s="34"/>
      <c r="K4" s="34"/>
      <c r="L4" s="34"/>
      <c r="N4" s="195"/>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C60" s="88" t="s">
        <v>82</v>
      </c>
      <c r="F60" s="141">
        <f>'Financials from CIP'!D46/1000</f>
        <v>7.1056520000000001</v>
      </c>
      <c r="G60" s="141">
        <f>'Financials from CIP'!E46/1000</f>
        <v>2.9579920000000004</v>
      </c>
      <c r="H60" s="214">
        <f>G60+H119</f>
        <v>13.005932342237593</v>
      </c>
      <c r="I60" s="214">
        <f>H60+I119</f>
        <v>22.519730311941146</v>
      </c>
      <c r="J60" s="214">
        <f ca="1">I60+J119</f>
        <v>33.545552217020031</v>
      </c>
      <c r="K60" s="214">
        <f ca="1">J60+K119</f>
        <v>46.071928574382142</v>
      </c>
      <c r="L60" s="214">
        <f ca="1">K60+L119</f>
        <v>59.993804262544216</v>
      </c>
      <c r="M60" s="50"/>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7">I130</f>
        <v>27.695031965240773</v>
      </c>
      <c r="J61" s="149">
        <f t="shared" si="17"/>
        <v>31.111314829301037</v>
      </c>
      <c r="K61" s="149">
        <f t="shared" si="17"/>
        <v>34.015669157916122</v>
      </c>
      <c r="L61" s="149">
        <f t="shared" si="17"/>
        <v>36.170685445667161</v>
      </c>
      <c r="M61" s="50"/>
    </row>
    <row r="62" spans="1:13" ht="13.5" customHeight="1" outlineLevel="1">
      <c r="A62" s="82"/>
      <c r="C62" s="91" t="s">
        <v>31</v>
      </c>
      <c r="F62" s="96">
        <f>'Financials from CIP'!D49/1000</f>
        <v>0.80490099999999998</v>
      </c>
      <c r="G62" s="96">
        <f>'Financials from CIP'!E49/1000</f>
        <v>1.161057</v>
      </c>
      <c r="H62" s="149">
        <f t="shared" ref="H62:L63" si="18">H131</f>
        <v>1.2029011201180084</v>
      </c>
      <c r="I62" s="149">
        <f t="shared" si="18"/>
        <v>1.3873703794209342</v>
      </c>
      <c r="J62" s="149">
        <f t="shared" si="18"/>
        <v>1.558507558799139</v>
      </c>
      <c r="K62" s="149">
        <f t="shared" si="18"/>
        <v>1.7039999045715051</v>
      </c>
      <c r="L62" s="149">
        <f t="shared" si="18"/>
        <v>1.8119544925477122</v>
      </c>
      <c r="M62" s="50"/>
    </row>
    <row r="63" spans="1:13" ht="13.5" customHeight="1" outlineLevel="1">
      <c r="A63" s="82"/>
      <c r="C63" s="91" t="s">
        <v>84</v>
      </c>
      <c r="F63" s="96">
        <f>'Financials from CIP'!D50/1000</f>
        <v>0.26978399999999997</v>
      </c>
      <c r="G63" s="96">
        <f>'Financials from CIP'!E50/1000</f>
        <v>0.34491899999999998</v>
      </c>
      <c r="H63" s="149">
        <f t="shared" si="18"/>
        <v>0.3792215684283346</v>
      </c>
      <c r="I63" s="149">
        <f t="shared" si="18"/>
        <v>0.43737657441320382</v>
      </c>
      <c r="J63" s="149">
        <f t="shared" si="18"/>
        <v>0.49132856472628733</v>
      </c>
      <c r="K63" s="149">
        <f t="shared" si="18"/>
        <v>0.53719587221761422</v>
      </c>
      <c r="L63" s="149">
        <f t="shared" si="18"/>
        <v>0.57122918342390505</v>
      </c>
      <c r="M63" s="50"/>
    </row>
    <row r="64" spans="1:13" ht="13.5" customHeight="1" outlineLevel="1">
      <c r="A64" s="82"/>
      <c r="C64" s="76" t="s">
        <v>33</v>
      </c>
      <c r="D64" s="77"/>
      <c r="E64" s="77"/>
      <c r="F64" s="93">
        <f>SUM(F60:F63)</f>
        <v>24.961756000000005</v>
      </c>
      <c r="G64" s="93">
        <f>SUM(G60:G63)</f>
        <v>26.74869</v>
      </c>
      <c r="H64" s="93">
        <f t="shared" ref="H64:L64" si="19">SUM(H60:H63)</f>
        <v>38.600665842467151</v>
      </c>
      <c r="I64" s="93">
        <f t="shared" si="19"/>
        <v>52.039509231016062</v>
      </c>
      <c r="J64" s="93">
        <f t="shared" ca="1" si="19"/>
        <v>66.706703169846492</v>
      </c>
      <c r="K64" s="93">
        <f t="shared" ca="1" si="19"/>
        <v>82.328793509087376</v>
      </c>
      <c r="L64" s="93">
        <f t="shared" ca="1" si="19"/>
        <v>98.547673384183</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20">SUM(H64,H67:H69)</f>
        <v>95.331616888100726</v>
      </c>
      <c r="I70" s="102">
        <f t="shared" si="20"/>
        <v>105.41124477257277</v>
      </c>
      <c r="J70" s="102">
        <f t="shared" ca="1" si="20"/>
        <v>116.75237754196664</v>
      </c>
      <c r="K70" s="102">
        <f t="shared" ca="1" si="20"/>
        <v>128.99438515551395</v>
      </c>
      <c r="L70" s="102">
        <f t="shared" ca="1" si="20"/>
        <v>141.67433206604585</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1">I135</f>
        <v>3.7340173042871405</v>
      </c>
      <c r="J74" s="149">
        <f t="shared" si="21"/>
        <v>4.1946219118843056</v>
      </c>
      <c r="K74" s="149">
        <f t="shared" si="21"/>
        <v>4.5862051147649199</v>
      </c>
      <c r="L74" s="149">
        <f t="shared" si="21"/>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2">H136</f>
        <v>3.1966854452582232</v>
      </c>
      <c r="I75" s="149">
        <f t="shared" si="22"/>
        <v>3.6869087782063024</v>
      </c>
      <c r="J75" s="149">
        <f t="shared" si="22"/>
        <v>4.1417023778724023</v>
      </c>
      <c r="K75" s="149">
        <f t="shared" si="22"/>
        <v>4.5283453498910609</v>
      </c>
      <c r="L75" s="149">
        <f t="shared" si="22"/>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2"/>
        <v>3.2317636858846019</v>
      </c>
      <c r="I76" s="149">
        <f t="shared" si="22"/>
        <v>3.727366394541769</v>
      </c>
      <c r="J76" s="149">
        <f t="shared" si="22"/>
        <v>4.1871505882458564</v>
      </c>
      <c r="K76" s="149">
        <f t="shared" si="22"/>
        <v>4.5780363159066395</v>
      </c>
      <c r="L76" s="149">
        <f t="shared" si="22"/>
        <v>4.8680715576328382</v>
      </c>
      <c r="M76" s="50"/>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A78" s="125"/>
      <c r="C78" s="91" t="s">
        <v>41</v>
      </c>
      <c r="D78" s="95"/>
      <c r="E78" s="95"/>
      <c r="F78" s="96">
        <f>'Financials from CIP'!D63/1000</f>
        <v>0.64588299999999998</v>
      </c>
      <c r="G78" s="96">
        <f>'Financials from CIP'!E63/1000</f>
        <v>1.2892999999999999</v>
      </c>
      <c r="H78" s="129">
        <f>H209</f>
        <v>1.2892999999999999</v>
      </c>
      <c r="I78" s="129">
        <f>I209</f>
        <v>1.2892999999999999</v>
      </c>
      <c r="J78" s="129">
        <f>J209</f>
        <v>1.2892999999999999</v>
      </c>
      <c r="K78" s="129">
        <f>K209</f>
        <v>1.2892999999999999</v>
      </c>
      <c r="L78" s="129">
        <f>L209</f>
        <v>1.2892999999999999</v>
      </c>
      <c r="M78" s="50" t="s">
        <v>198</v>
      </c>
    </row>
    <row r="79" spans="1:13" ht="13.5" customHeight="1" outlineLevel="1">
      <c r="A79" s="125"/>
      <c r="C79" s="91" t="s">
        <v>42</v>
      </c>
      <c r="D79" s="95"/>
      <c r="E79" s="95"/>
      <c r="F79" s="96">
        <f>'Financials from CIP'!D64/1000</f>
        <v>18.943222000000002</v>
      </c>
      <c r="G79" s="96">
        <f>'Financials from CIP'!E64/1000</f>
        <v>12.001450999999999</v>
      </c>
      <c r="H79" s="129">
        <f>H218</f>
        <v>9.6011607999999988</v>
      </c>
      <c r="I79" s="129">
        <f>I218</f>
        <v>7.2008705999999982</v>
      </c>
      <c r="J79" s="129">
        <f>J218</f>
        <v>4.8005803999999976</v>
      </c>
      <c r="K79" s="129">
        <f>K218</f>
        <v>2.4002901999999975</v>
      </c>
      <c r="L79" s="129">
        <f>L218</f>
        <v>0</v>
      </c>
      <c r="M79" s="50" t="s">
        <v>198</v>
      </c>
    </row>
    <row r="80" spans="1:13" ht="13.5" customHeight="1" outlineLevel="1">
      <c r="A80" s="125"/>
      <c r="C80" s="91" t="s">
        <v>90</v>
      </c>
      <c r="D80" s="95"/>
      <c r="E80" s="95"/>
      <c r="F80" s="96">
        <f>'Financials from CIP'!D65/1000</f>
        <v>0.54533299999999996</v>
      </c>
      <c r="G80" s="96">
        <f>'Financials from CIP'!E65/1000</f>
        <v>8.5337999999999997E-2</v>
      </c>
      <c r="H80" s="129">
        <f>H224</f>
        <v>6.8270399999999995E-2</v>
      </c>
      <c r="I80" s="129">
        <f>I224</f>
        <v>5.1202799999999993E-2</v>
      </c>
      <c r="J80" s="129">
        <f>J224</f>
        <v>3.4135199999999991E-2</v>
      </c>
      <c r="K80" s="129">
        <f>K224</f>
        <v>1.7067599999999992E-2</v>
      </c>
      <c r="L80" s="129">
        <f>L224</f>
        <v>0</v>
      </c>
      <c r="M80" s="50" t="s">
        <v>198</v>
      </c>
    </row>
    <row r="81" spans="1:13" ht="13.5" customHeight="1" outlineLevel="1">
      <c r="A81" s="125"/>
      <c r="C81" s="91" t="s">
        <v>91</v>
      </c>
      <c r="D81" s="95"/>
      <c r="E81" s="95"/>
      <c r="F81" s="96">
        <f>'Financials from CIP'!D66/1000</f>
        <v>9.2447999999999989E-2</v>
      </c>
      <c r="G81" s="96">
        <f>'Financials from CIP'!E66/1000</f>
        <v>1.2666999999999999E-2</v>
      </c>
      <c r="H81" s="129">
        <f>H230</f>
        <v>1.203365E-2</v>
      </c>
      <c r="I81" s="129">
        <f>I230</f>
        <v>1.14003E-2</v>
      </c>
      <c r="J81" s="129">
        <f>J230</f>
        <v>1.0766950000000001E-2</v>
      </c>
      <c r="K81" s="129">
        <f>K230</f>
        <v>1.0133600000000001E-2</v>
      </c>
      <c r="L81" s="129">
        <f>L230</f>
        <v>0</v>
      </c>
      <c r="M81" s="50" t="s">
        <v>198</v>
      </c>
    </row>
    <row r="82" spans="1:13" ht="13.5" customHeight="1" outlineLevel="1">
      <c r="A82" s="82"/>
      <c r="C82" s="76" t="s">
        <v>92</v>
      </c>
      <c r="D82" s="77"/>
      <c r="E82" s="77"/>
      <c r="F82" s="93">
        <f>SUM(F78:F81)</f>
        <v>20.226886000000004</v>
      </c>
      <c r="G82" s="93">
        <f>SUM(G78:G81)</f>
        <v>13.388756000000001</v>
      </c>
      <c r="H82" s="93">
        <f t="shared" ref="H82:L82" si="24">SUM(H78:H81)</f>
        <v>10.970764849999998</v>
      </c>
      <c r="I82" s="93">
        <f t="shared" si="24"/>
        <v>8.5527736999999995</v>
      </c>
      <c r="J82" s="93">
        <f t="shared" si="24"/>
        <v>6.1347825499999971</v>
      </c>
      <c r="K82" s="93">
        <f t="shared" si="24"/>
        <v>3.7167913999999973</v>
      </c>
      <c r="L82" s="93">
        <f t="shared" si="24"/>
        <v>1.2892999999999999</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5">SUM(H77,H82:H83)</f>
        <v>21.066632250270935</v>
      </c>
      <c r="I84" s="93">
        <f t="shared" si="25"/>
        <v>20.130954177035211</v>
      </c>
      <c r="J84" s="93">
        <f t="shared" si="25"/>
        <v>19.088145428002559</v>
      </c>
      <c r="K84" s="93">
        <f t="shared" si="25"/>
        <v>17.839266180562618</v>
      </c>
      <c r="L84" s="93">
        <f t="shared" si="25"/>
        <v>16.27924992551916</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6">SUM(H84:H86)</f>
        <v>92.913625233908917</v>
      </c>
      <c r="I87" s="105">
        <f t="shared" si="26"/>
        <v>100.57526196838094</v>
      </c>
      <c r="J87" s="105">
        <f t="shared" ca="1" si="26"/>
        <v>109.49840358777482</v>
      </c>
      <c r="K87" s="105">
        <f t="shared" ca="1" si="26"/>
        <v>119.32242005132214</v>
      </c>
      <c r="L87" s="105">
        <f t="shared" ca="1" si="26"/>
        <v>129.57487556185401</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si="27"/>
        <v>-2.4179916541918089</v>
      </c>
      <c r="I89" s="178">
        <f t="shared" si="27"/>
        <v>-4.8359828041918291</v>
      </c>
      <c r="J89" s="178">
        <f t="shared" ca="1" si="27"/>
        <v>-7.2539739541918209</v>
      </c>
      <c r="K89" s="178">
        <f t="shared" ca="1" si="27"/>
        <v>-9.6719651041918127</v>
      </c>
      <c r="L89" s="178">
        <f t="shared" ca="1" si="27"/>
        <v>-12.099456504191835</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B93" s="46" t="s">
        <v>61</v>
      </c>
      <c r="C93" s="47" t="s">
        <v>178</v>
      </c>
      <c r="D93" s="48"/>
      <c r="E93" s="49"/>
      <c r="F93" s="49"/>
      <c r="G93" s="49"/>
      <c r="H93" s="49"/>
      <c r="I93" s="49"/>
      <c r="J93" s="49"/>
      <c r="K93" s="49"/>
      <c r="L93" s="49"/>
    </row>
    <row r="94" spans="1:13" ht="5.0999999999999996" customHeight="1" outlineLevel="1">
      <c r="C94" s="51"/>
      <c r="D94" s="52"/>
    </row>
    <row r="95" spans="1:13" ht="13.5" customHeight="1" outlineLevel="1">
      <c r="C95" s="53"/>
      <c r="D95" s="53"/>
      <c r="E95" s="53"/>
      <c r="F95" s="54" t="s">
        <v>63</v>
      </c>
      <c r="G95" s="54" t="s">
        <v>63</v>
      </c>
      <c r="H95" s="55" t="s">
        <v>64</v>
      </c>
      <c r="I95" s="55"/>
      <c r="J95" s="55"/>
      <c r="K95" s="55"/>
      <c r="L95" s="55"/>
    </row>
    <row r="96" spans="1:13" ht="13.5" customHeight="1" outlineLevel="1" thickBot="1">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C97" s="59"/>
      <c r="D97" s="59"/>
      <c r="E97" s="59"/>
      <c r="F97" s="60"/>
      <c r="G97" s="60"/>
      <c r="H97" s="60"/>
      <c r="I97" s="60"/>
      <c r="J97" s="60"/>
      <c r="K97" s="60"/>
    </row>
    <row r="98" spans="1:13" ht="13.5" customHeight="1" outlineLevel="1">
      <c r="C98" s="84" t="s">
        <v>179</v>
      </c>
      <c r="D98" s="85"/>
      <c r="E98" s="86"/>
      <c r="F98" s="86"/>
      <c r="G98" s="86"/>
      <c r="H98" s="86"/>
      <c r="I98" s="86"/>
      <c r="J98" s="86"/>
      <c r="K98" s="86"/>
      <c r="L98" s="87"/>
      <c r="M98" s="50"/>
    </row>
    <row r="99" spans="1:13" ht="13.5" customHeight="1" outlineLevel="1">
      <c r="C99" s="118"/>
      <c r="D99" s="118"/>
      <c r="E99" s="118"/>
    </row>
    <row r="100" spans="1:13" ht="13.5" customHeight="1" outlineLevel="1">
      <c r="C100" s="68" t="s">
        <v>22</v>
      </c>
      <c r="D100" s="68"/>
      <c r="E100" s="68"/>
      <c r="F100" s="68"/>
      <c r="G100" s="147"/>
      <c r="H100" s="149">
        <f>H33</f>
        <v>7.078372487829796</v>
      </c>
      <c r="I100" s="149">
        <f>I33</f>
        <v>8.5973148077077592</v>
      </c>
      <c r="J100" s="149">
        <f ca="1">J33</f>
        <v>9.965950368426526</v>
      </c>
      <c r="K100" s="149">
        <f ca="1">K33</f>
        <v>11.072895710987275</v>
      </c>
      <c r="L100" s="149">
        <f ca="1">L33</f>
        <v>11.812471765575342</v>
      </c>
      <c r="M100" s="50"/>
    </row>
    <row r="101" spans="1:13" ht="13.5" customHeight="1" outlineLevel="1">
      <c r="C101" s="91" t="s">
        <v>15</v>
      </c>
      <c r="D101" s="68"/>
      <c r="E101" s="68"/>
      <c r="F101" s="68"/>
      <c r="G101" s="154"/>
      <c r="H101" s="149">
        <f>H20</f>
        <v>5.829392560625954</v>
      </c>
      <c r="I101" s="149">
        <f>I20</f>
        <v>6.1302957891314076</v>
      </c>
      <c r="J101" s="149">
        <f ca="1">J20</f>
        <v>6.4683165246530567</v>
      </c>
      <c r="K101" s="149">
        <f ca="1">K20</f>
        <v>6.8378927245374452</v>
      </c>
      <c r="L101" s="149">
        <f ca="1">L20</f>
        <v>7.2308829200900817</v>
      </c>
      <c r="M101" s="50"/>
    </row>
    <row r="102" spans="1:13" ht="13.5" customHeight="1" outlineLevel="1">
      <c r="C102" s="91" t="s">
        <v>183</v>
      </c>
      <c r="D102" s="68"/>
      <c r="E102" s="68"/>
      <c r="F102" s="68"/>
      <c r="G102" s="154"/>
      <c r="H102" s="149">
        <f>H21</f>
        <v>0.237952</v>
      </c>
      <c r="I102" s="149">
        <f t="shared" ref="I102:L102" si="29">I21</f>
        <v>0.237952</v>
      </c>
      <c r="J102" s="149">
        <f t="shared" si="29"/>
        <v>0.237952</v>
      </c>
      <c r="K102" s="149">
        <f t="shared" si="29"/>
        <v>0.237952</v>
      </c>
      <c r="L102" s="149">
        <f t="shared" si="29"/>
        <v>0.237952</v>
      </c>
      <c r="M102" s="50"/>
    </row>
    <row r="103" spans="1:13" ht="13.5" customHeight="1" outlineLevel="1">
      <c r="C103" s="65" t="s">
        <v>185</v>
      </c>
      <c r="D103" s="65"/>
      <c r="E103" s="65"/>
      <c r="F103" s="65"/>
      <c r="G103" s="197"/>
      <c r="H103" s="198">
        <f>SUM(H100:H102)</f>
        <v>13.145717048455751</v>
      </c>
      <c r="I103" s="198">
        <f t="shared" ref="I103:L103" si="30">SUM(I100:I102)</f>
        <v>14.965562596839167</v>
      </c>
      <c r="J103" s="198">
        <f t="shared" ca="1" si="30"/>
        <v>16.672218893079581</v>
      </c>
      <c r="K103" s="198">
        <f t="shared" ca="1" si="30"/>
        <v>18.148740435524722</v>
      </c>
      <c r="L103" s="198">
        <f t="shared" ca="1" si="30"/>
        <v>19.281306685665424</v>
      </c>
      <c r="M103" s="50"/>
    </row>
    <row r="104" spans="1:13" ht="13.5" customHeight="1" outlineLevel="1">
      <c r="C104" s="91" t="s">
        <v>187</v>
      </c>
      <c r="D104" s="68"/>
      <c r="E104" s="68"/>
      <c r="F104" s="68"/>
      <c r="G104" s="154"/>
      <c r="H104" s="149">
        <f>-(H141)</f>
        <v>-0.48883509995862262</v>
      </c>
      <c r="I104" s="149">
        <f>-(I141)</f>
        <v>-2.442732342081074</v>
      </c>
      <c r="J104" s="149">
        <f>-(J141)</f>
        <v>-2.2661896327842008</v>
      </c>
      <c r="K104" s="149">
        <f>-(K141)</f>
        <v>-1.9266020793187231</v>
      </c>
      <c r="L104" s="149">
        <f>-(L141)</f>
        <v>-1.4295290419769913</v>
      </c>
      <c r="M104" s="50"/>
    </row>
    <row r="105" spans="1:13" ht="13.5" customHeight="1" outlineLevel="1">
      <c r="C105" s="180" t="s">
        <v>189</v>
      </c>
      <c r="D105" s="180"/>
      <c r="E105" s="180"/>
      <c r="F105" s="180"/>
      <c r="G105" s="199"/>
      <c r="H105" s="200">
        <f>+SUM(H103:H104)</f>
        <v>12.656881948497128</v>
      </c>
      <c r="I105" s="200">
        <f t="shared" ref="I105:L105" si="31">+SUM(I103:I104)</f>
        <v>12.522830254758093</v>
      </c>
      <c r="J105" s="200">
        <f t="shared" ca="1" si="31"/>
        <v>14.40602926029538</v>
      </c>
      <c r="K105" s="200">
        <f t="shared" ca="1" si="31"/>
        <v>16.222138356205999</v>
      </c>
      <c r="L105" s="200">
        <f t="shared" ca="1" si="31"/>
        <v>17.851777643688433</v>
      </c>
      <c r="M105" s="50"/>
    </row>
    <row r="106" spans="1:13" ht="13.5" customHeight="1" outlineLevel="1">
      <c r="C106" s="68"/>
      <c r="D106" s="68"/>
      <c r="E106" s="68"/>
      <c r="F106" s="68"/>
      <c r="G106" s="154"/>
      <c r="H106" s="154"/>
      <c r="I106" s="154"/>
      <c r="J106" s="154"/>
      <c r="K106" s="154"/>
      <c r="L106" s="154"/>
    </row>
    <row r="107" spans="1:13" ht="13.5" customHeight="1" outlineLevel="1">
      <c r="C107" s="84" t="s">
        <v>190</v>
      </c>
      <c r="D107" s="85"/>
      <c r="E107" s="86"/>
      <c r="F107" s="86"/>
      <c r="G107" s="86"/>
      <c r="H107" s="201"/>
      <c r="I107" s="201"/>
      <c r="J107" s="201"/>
      <c r="K107" s="201"/>
      <c r="L107" s="202"/>
    </row>
    <row r="108" spans="1:13" ht="13.5" customHeight="1" outlineLevel="1">
      <c r="C108" s="118"/>
      <c r="D108" s="118"/>
      <c r="E108" s="118"/>
      <c r="H108" s="68"/>
      <c r="I108" s="68"/>
      <c r="J108" s="68"/>
      <c r="K108" s="68"/>
      <c r="L108" s="68"/>
    </row>
    <row r="109" spans="1:13" ht="13.5" customHeight="1" outlineLevel="1">
      <c r="C109" s="39" t="s">
        <v>191</v>
      </c>
      <c r="D109" s="68"/>
      <c r="E109" s="68"/>
      <c r="F109" s="68"/>
      <c r="G109" s="147"/>
      <c r="H109" s="215">
        <f>-H36</f>
        <v>-2.6089416062595356</v>
      </c>
      <c r="I109" s="215">
        <f>-I36</f>
        <v>-3.0090322850545372</v>
      </c>
      <c r="J109" s="215">
        <f>-J36</f>
        <v>-3.3802073552164953</v>
      </c>
      <c r="K109" s="215">
        <f>-K36</f>
        <v>-3.6957619988438841</v>
      </c>
      <c r="L109" s="215">
        <f>-L36</f>
        <v>-3.9299019555263603</v>
      </c>
      <c r="M109" s="50"/>
    </row>
    <row r="110" spans="1:13" ht="13.5" customHeight="1" outlineLevel="1">
      <c r="C110" s="68"/>
      <c r="D110" s="68"/>
      <c r="E110" s="68"/>
      <c r="F110" s="68"/>
      <c r="G110" s="154"/>
      <c r="H110" s="154"/>
      <c r="I110" s="154"/>
      <c r="J110" s="154"/>
      <c r="K110" s="154"/>
      <c r="L110" s="154"/>
    </row>
    <row r="111" spans="1:13" ht="13.5" customHeight="1" outlineLevel="1">
      <c r="A111" s="125"/>
      <c r="C111" s="84" t="s">
        <v>193</v>
      </c>
      <c r="D111" s="85"/>
      <c r="E111" s="86"/>
      <c r="F111" s="86"/>
      <c r="G111" s="86"/>
      <c r="H111" s="201"/>
      <c r="I111" s="201"/>
      <c r="J111" s="201"/>
      <c r="K111" s="201"/>
      <c r="L111" s="202"/>
    </row>
    <row r="112" spans="1:13" ht="13.5" customHeight="1" outlineLevel="1">
      <c r="A112" s="125"/>
      <c r="C112" s="118"/>
      <c r="D112" s="118"/>
      <c r="E112" s="118"/>
      <c r="H112" s="68"/>
      <c r="I112" s="68"/>
      <c r="J112" s="68"/>
      <c r="K112" s="68"/>
      <c r="L112" s="68"/>
    </row>
    <row r="113" spans="1:13" s="205" customFormat="1" ht="13.5" customHeight="1" outlineLevel="1">
      <c r="A113" s="204"/>
      <c r="C113" s="68" t="s">
        <v>41</v>
      </c>
      <c r="D113" s="118"/>
      <c r="E113" s="118"/>
      <c r="F113" s="29"/>
      <c r="G113" s="132"/>
      <c r="H113" s="206"/>
      <c r="I113" s="206"/>
      <c r="J113" s="206"/>
      <c r="K113" s="206"/>
      <c r="L113" s="206"/>
    </row>
    <row r="114" spans="1:13" s="205" customFormat="1" ht="13.5" customHeight="1" outlineLevel="1">
      <c r="A114" s="204"/>
      <c r="C114" s="68" t="str">
        <f>+C79</f>
        <v>Term Loan A</v>
      </c>
      <c r="D114" s="118"/>
      <c r="E114" s="118"/>
      <c r="F114" s="29"/>
      <c r="G114" s="207"/>
      <c r="H114" s="206"/>
      <c r="I114" s="206"/>
      <c r="J114" s="206"/>
      <c r="K114" s="206"/>
      <c r="L114" s="206"/>
    </row>
    <row r="115" spans="1:13" s="205" customFormat="1" ht="13.5" customHeight="1" outlineLevel="1">
      <c r="A115" s="204"/>
      <c r="C115" s="68" t="str">
        <f>+C80</f>
        <v>Subordinated - Note 1</v>
      </c>
      <c r="D115" s="118"/>
      <c r="E115" s="118"/>
      <c r="F115" s="29"/>
      <c r="G115" s="207"/>
      <c r="H115" s="206"/>
      <c r="I115" s="206"/>
      <c r="J115" s="206"/>
      <c r="K115" s="206"/>
      <c r="L115" s="206"/>
    </row>
    <row r="116" spans="1:13" s="205" customFormat="1" ht="13.5" customHeight="1" outlineLevel="1">
      <c r="A116" s="204"/>
      <c r="C116" s="68" t="str">
        <f t="shared" ref="C116" si="32">+C81</f>
        <v>Subordinated - Note 2</v>
      </c>
      <c r="D116" s="118"/>
      <c r="E116" s="118"/>
      <c r="F116" s="29"/>
      <c r="G116" s="207"/>
      <c r="H116" s="206"/>
      <c r="I116" s="206"/>
      <c r="J116" s="206"/>
      <c r="K116" s="206"/>
      <c r="L116" s="206"/>
    </row>
    <row r="117" spans="1:13" s="205" customFormat="1" ht="13.5" customHeight="1" outlineLevel="1">
      <c r="A117" s="204"/>
      <c r="C117" s="180" t="s">
        <v>194</v>
      </c>
      <c r="D117" s="180"/>
      <c r="E117" s="180"/>
      <c r="F117" s="180"/>
      <c r="G117" s="199"/>
      <c r="H117" s="200">
        <f>SUM(H113:H116)</f>
        <v>0</v>
      </c>
      <c r="I117" s="200">
        <f t="shared" ref="I117:L117" si="33">SUM(I113:I116)</f>
        <v>0</v>
      </c>
      <c r="J117" s="200">
        <f t="shared" si="33"/>
        <v>0</v>
      </c>
      <c r="K117" s="200">
        <f t="shared" si="33"/>
        <v>0</v>
      </c>
      <c r="L117" s="200">
        <f t="shared" si="33"/>
        <v>0</v>
      </c>
    </row>
    <row r="118" spans="1:13" s="205" customFormat="1" ht="13.5" customHeight="1" outlineLevel="1">
      <c r="C118" s="118"/>
      <c r="D118" s="118"/>
      <c r="E118" s="118"/>
      <c r="F118" s="29"/>
      <c r="G118" s="29"/>
      <c r="H118" s="68"/>
      <c r="I118" s="68"/>
      <c r="J118" s="68"/>
      <c r="K118" s="68"/>
      <c r="L118" s="68"/>
    </row>
    <row r="119" spans="1:13" s="205" customFormat="1" ht="13.5" customHeight="1" outlineLevel="1">
      <c r="C119" s="39" t="s">
        <v>195</v>
      </c>
      <c r="D119" s="118"/>
      <c r="E119" s="118"/>
      <c r="F119" s="30"/>
      <c r="G119" s="208"/>
      <c r="H119" s="215">
        <f>H117+H109+H105</f>
        <v>10.047940342237592</v>
      </c>
      <c r="I119" s="215">
        <f>I117+I109+I105</f>
        <v>9.5137979697035551</v>
      </c>
      <c r="J119" s="215">
        <f ca="1">J117+J109+J105</f>
        <v>11.025821905078885</v>
      </c>
      <c r="K119" s="215">
        <f ca="1">K117+K109+K105</f>
        <v>12.526376357362114</v>
      </c>
      <c r="L119" s="215">
        <f ca="1">L117+L109+L105</f>
        <v>13.921875688162071</v>
      </c>
      <c r="M119" s="50"/>
    </row>
    <row r="120" spans="1:13" s="205" customFormat="1" ht="5.0999999999999996" customHeight="1" outlineLevel="1" thickBot="1">
      <c r="C120" s="157"/>
      <c r="D120" s="157"/>
      <c r="E120" s="157"/>
      <c r="F120" s="83"/>
      <c r="G120" s="83"/>
      <c r="H120" s="83"/>
      <c r="I120" s="83"/>
      <c r="J120" s="83"/>
      <c r="K120" s="83"/>
      <c r="L120" s="83"/>
    </row>
    <row r="121" spans="1:13" s="205" customFormat="1" ht="13.5" customHeight="1" outlineLevel="1">
      <c r="C121" s="29"/>
      <c r="D121" s="29"/>
      <c r="E121" s="29"/>
      <c r="F121" s="29"/>
      <c r="G121" s="29"/>
      <c r="H121" s="29"/>
      <c r="I121" s="29"/>
      <c r="J121" s="29"/>
      <c r="K121" s="29"/>
      <c r="L121" s="29"/>
    </row>
    <row r="122" spans="1:13" ht="13.5" customHeight="1" outlineLevel="1" thickBot="1"/>
    <row r="123" spans="1:13" ht="21.75" thickTop="1">
      <c r="B123" s="46" t="s">
        <v>61</v>
      </c>
      <c r="C123" s="47" t="s">
        <v>148</v>
      </c>
      <c r="D123" s="48"/>
      <c r="E123" s="49"/>
      <c r="F123" s="49"/>
      <c r="G123" s="49"/>
      <c r="H123" s="49"/>
      <c r="I123" s="49"/>
      <c r="J123" s="49"/>
      <c r="K123" s="49"/>
      <c r="L123" s="49"/>
    </row>
    <row r="124" spans="1:13" ht="5.0999999999999996" customHeight="1" outlineLevel="1">
      <c r="C124" s="51"/>
      <c r="D124" s="52"/>
    </row>
    <row r="125" spans="1:13" ht="13.5" customHeight="1" outlineLevel="1">
      <c r="C125" s="53"/>
      <c r="D125" s="53"/>
      <c r="E125" s="53"/>
      <c r="F125" s="54" t="s">
        <v>63</v>
      </c>
      <c r="G125" s="54" t="s">
        <v>63</v>
      </c>
      <c r="H125" s="55" t="s">
        <v>64</v>
      </c>
      <c r="I125" s="55"/>
      <c r="J125" s="55"/>
      <c r="K125" s="55"/>
      <c r="L125" s="55"/>
    </row>
    <row r="126" spans="1:13" ht="13.5" customHeight="1" outlineLevel="1" thickBot="1">
      <c r="C126" s="56" t="s">
        <v>65</v>
      </c>
      <c r="D126" s="57"/>
      <c r="E126" s="57"/>
      <c r="F126" s="58">
        <f>F$11</f>
        <v>45291</v>
      </c>
      <c r="G126" s="58">
        <f>G$11</f>
        <v>45657</v>
      </c>
      <c r="H126" s="58">
        <f t="shared" ref="H126:L126" si="34">H$11</f>
        <v>46022</v>
      </c>
      <c r="I126" s="58">
        <f t="shared" si="34"/>
        <v>46387</v>
      </c>
      <c r="J126" s="58">
        <f t="shared" si="34"/>
        <v>46752</v>
      </c>
      <c r="K126" s="58">
        <f t="shared" si="34"/>
        <v>47118</v>
      </c>
      <c r="L126" s="58">
        <f t="shared" si="34"/>
        <v>47483</v>
      </c>
    </row>
    <row r="127" spans="1:13" ht="5.0999999999999996" customHeight="1" outlineLevel="1">
      <c r="C127" s="59"/>
      <c r="D127" s="59"/>
      <c r="E127" s="59"/>
      <c r="F127" s="60"/>
      <c r="G127" s="60"/>
      <c r="H127" s="60"/>
      <c r="I127" s="60"/>
      <c r="J127" s="60"/>
      <c r="K127" s="60"/>
    </row>
    <row r="128" spans="1: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5">F61</f>
        <v>16.781419000000003</v>
      </c>
      <c r="G130" s="177">
        <f t="shared" si="35"/>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5"/>
        <v>0.80490099999999998</v>
      </c>
      <c r="G131" s="177">
        <f t="shared" si="35"/>
        <v>1.161057</v>
      </c>
      <c r="H131" s="177">
        <f>(H146/365)*H150</f>
        <v>1.2029011201180084</v>
      </c>
      <c r="I131" s="177">
        <f t="shared" ref="I131:L131" si="36">(I146/365)*I150</f>
        <v>1.3873703794209342</v>
      </c>
      <c r="J131" s="177">
        <f t="shared" si="36"/>
        <v>1.558507558799139</v>
      </c>
      <c r="K131" s="177">
        <f t="shared" si="36"/>
        <v>1.7039999045715051</v>
      </c>
      <c r="L131" s="177">
        <f t="shared" si="36"/>
        <v>1.8119544925477122</v>
      </c>
      <c r="M131" s="50"/>
    </row>
    <row r="132" spans="3:13" ht="13.5" customHeight="1" outlineLevel="1">
      <c r="C132" s="91" t="str">
        <f>C63</f>
        <v>Prepaids and Other Current Assets</v>
      </c>
      <c r="D132" s="68"/>
      <c r="E132" s="68"/>
      <c r="F132" s="177">
        <f t="shared" si="35"/>
        <v>0.26978399999999997</v>
      </c>
      <c r="G132" s="177">
        <f t="shared" si="35"/>
        <v>0.34491899999999998</v>
      </c>
      <c r="H132" s="177">
        <f>H151*H147</f>
        <v>0.3792215684283346</v>
      </c>
      <c r="I132" s="177">
        <f t="shared" ref="I132:L132" si="37">I151*I147</f>
        <v>0.43737657441320382</v>
      </c>
      <c r="J132" s="177">
        <f t="shared" si="37"/>
        <v>0.49132856472628733</v>
      </c>
      <c r="K132" s="177">
        <f t="shared" si="37"/>
        <v>0.53719587221761422</v>
      </c>
      <c r="L132" s="177">
        <f t="shared" si="37"/>
        <v>0.57122918342390505</v>
      </c>
      <c r="M132" s="50"/>
    </row>
    <row r="133" spans="3:13" ht="13.5" customHeight="1" outlineLevel="1">
      <c r="C133" s="65" t="s">
        <v>152</v>
      </c>
      <c r="D133" s="65"/>
      <c r="E133" s="65"/>
      <c r="F133" s="179">
        <f t="shared" ref="F133:L133" si="38">SUM(F130:F132)</f>
        <v>17.856104000000006</v>
      </c>
      <c r="G133" s="179">
        <f t="shared" si="38"/>
        <v>23.790697999999999</v>
      </c>
      <c r="H133" s="179">
        <f t="shared" si="38"/>
        <v>25.594733500229559</v>
      </c>
      <c r="I133" s="179">
        <f t="shared" si="38"/>
        <v>29.519778919074909</v>
      </c>
      <c r="J133" s="179">
        <f t="shared" si="38"/>
        <v>33.161150952826461</v>
      </c>
      <c r="K133" s="179">
        <f t="shared" si="38"/>
        <v>36.256864934705241</v>
      </c>
      <c r="L133" s="179">
        <f t="shared" si="38"/>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39">F74</f>
        <v>2.8058170000000002</v>
      </c>
      <c r="G135" s="177">
        <f t="shared" si="39"/>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39"/>
        <v>2.3839329999999999</v>
      </c>
      <c r="G136" s="177">
        <f t="shared" si="39"/>
        <v>2.7880379999999998</v>
      </c>
      <c r="H136" s="177">
        <f>H154*H147</f>
        <v>3.1966854452582232</v>
      </c>
      <c r="I136" s="177">
        <f t="shared" ref="I136:L136" si="40">I154*I147</f>
        <v>3.6869087782063024</v>
      </c>
      <c r="J136" s="177">
        <f t="shared" si="40"/>
        <v>4.1417023778724023</v>
      </c>
      <c r="K136" s="177">
        <f t="shared" si="40"/>
        <v>4.5283453498910609</v>
      </c>
      <c r="L136" s="177">
        <f t="shared" si="40"/>
        <v>4.8152324882940372</v>
      </c>
      <c r="M136" s="50"/>
    </row>
    <row r="137" spans="3:13" ht="13.5" customHeight="1" outlineLevel="1">
      <c r="C137" s="91" t="str">
        <f>C76</f>
        <v>Accrued Expenses &amp; Other</v>
      </c>
      <c r="D137" s="68"/>
      <c r="E137" s="68"/>
      <c r="F137" s="177">
        <f t="shared" si="39"/>
        <v>2.0579079999999998</v>
      </c>
      <c r="G137" s="177">
        <f t="shared" si="39"/>
        <v>3.2020309999999998</v>
      </c>
      <c r="H137" s="177">
        <f>H155*H147</f>
        <v>3.2317636858846019</v>
      </c>
      <c r="I137" s="177">
        <f t="shared" ref="I137:L137" si="41">I155*I147</f>
        <v>3.727366394541769</v>
      </c>
      <c r="J137" s="177">
        <f t="shared" si="41"/>
        <v>4.1871505882458564</v>
      </c>
      <c r="K137" s="177">
        <f t="shared" si="41"/>
        <v>4.5780363159066395</v>
      </c>
      <c r="L137" s="177">
        <f t="shared" si="41"/>
        <v>4.8680715576328382</v>
      </c>
      <c r="M137" s="50"/>
    </row>
    <row r="138" spans="3:13" ht="13.5" customHeight="1" outlineLevel="1">
      <c r="C138" s="65" t="s">
        <v>156</v>
      </c>
      <c r="D138" s="65"/>
      <c r="E138" s="65"/>
      <c r="F138" s="179">
        <f t="shared" ref="F138:L138" si="42">SUM(F135:F137)</f>
        <v>7.2476579999999995</v>
      </c>
      <c r="G138" s="179">
        <f t="shared" si="42"/>
        <v>8.3507789999999993</v>
      </c>
      <c r="H138" s="179">
        <f t="shared" si="42"/>
        <v>9.6659794002709365</v>
      </c>
      <c r="I138" s="179">
        <f t="shared" si="42"/>
        <v>11.148292477035213</v>
      </c>
      <c r="J138" s="179">
        <f t="shared" si="42"/>
        <v>12.523474878002563</v>
      </c>
      <c r="K138" s="179">
        <f t="shared" si="42"/>
        <v>13.692586780562621</v>
      </c>
      <c r="L138" s="179">
        <f t="shared" si="42"/>
        <v>14.560061925519163</v>
      </c>
    </row>
    <row r="139" spans="3:13" ht="13.5" customHeight="1" outlineLevel="1">
      <c r="C139" s="180" t="s">
        <v>157</v>
      </c>
      <c r="D139" s="180"/>
      <c r="E139" s="180"/>
      <c r="F139" s="181">
        <f t="shared" ref="F139:L139" si="43">F133-F138</f>
        <v>10.608446000000006</v>
      </c>
      <c r="G139" s="181">
        <f t="shared" si="43"/>
        <v>15.439919</v>
      </c>
      <c r="H139" s="181">
        <f t="shared" si="43"/>
        <v>15.928754099958622</v>
      </c>
      <c r="I139" s="181">
        <f t="shared" si="43"/>
        <v>18.371486442039696</v>
      </c>
      <c r="J139" s="181">
        <f t="shared" si="43"/>
        <v>20.637676074823897</v>
      </c>
      <c r="K139" s="181">
        <f t="shared" si="43"/>
        <v>22.56427815414262</v>
      </c>
      <c r="L139" s="181">
        <f t="shared" si="43"/>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4">G139-F139</f>
        <v>4.8314729999999937</v>
      </c>
      <c r="H141" s="182">
        <f t="shared" si="44"/>
        <v>0.48883509995862262</v>
      </c>
      <c r="I141" s="182">
        <f t="shared" si="44"/>
        <v>2.442732342081074</v>
      </c>
      <c r="J141" s="182">
        <f t="shared" si="44"/>
        <v>2.2661896327842008</v>
      </c>
      <c r="K141" s="182">
        <f t="shared" si="44"/>
        <v>1.9266020793187231</v>
      </c>
      <c r="L141" s="182">
        <f t="shared" si="44"/>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5">F13</f>
        <v>78.565675999999996</v>
      </c>
      <c r="G145" s="209">
        <f t="shared" si="45"/>
        <v>90.614007999999998</v>
      </c>
      <c r="H145" s="209">
        <f t="shared" si="45"/>
        <v>104.5099955077592</v>
      </c>
      <c r="I145" s="209">
        <f t="shared" si="45"/>
        <v>120.53698321160066</v>
      </c>
      <c r="J145" s="209">
        <f t="shared" si="45"/>
        <v>135.4056582414087</v>
      </c>
      <c r="K145" s="209">
        <f t="shared" si="45"/>
        <v>148.04626863637753</v>
      </c>
      <c r="L145" s="209">
        <f t="shared" si="45"/>
        <v>157.42553790111026</v>
      </c>
      <c r="M145" s="50"/>
    </row>
    <row r="146" spans="1:19" ht="13.5" customHeight="1" outlineLevel="1">
      <c r="C146" s="68" t="s">
        <v>66</v>
      </c>
      <c r="D146" s="68"/>
      <c r="E146" s="68"/>
      <c r="F146" s="177">
        <f t="shared" si="45"/>
        <v>51.562188999999996</v>
      </c>
      <c r="G146" s="177">
        <f t="shared" si="45"/>
        <v>61.618676000000001</v>
      </c>
      <c r="H146" s="177">
        <f t="shared" si="45"/>
        <v>69.828708282059708</v>
      </c>
      <c r="I146" s="177">
        <f t="shared" si="45"/>
        <v>80.537194523728473</v>
      </c>
      <c r="J146" s="177">
        <f t="shared" si="45"/>
        <v>90.471750220079329</v>
      </c>
      <c r="K146" s="177">
        <f t="shared" si="45"/>
        <v>98.917616966977391</v>
      </c>
      <c r="L146" s="177">
        <f t="shared" si="45"/>
        <v>105.18440756632523</v>
      </c>
      <c r="M146" s="50"/>
    </row>
    <row r="147" spans="1:19" ht="13.5" customHeight="1" outlineLevel="1">
      <c r="C147" s="68" t="s">
        <v>69</v>
      </c>
      <c r="D147" s="68"/>
      <c r="E147" s="68"/>
      <c r="F147" s="177">
        <f t="shared" ref="F147:L147" si="46">F17</f>
        <v>14.179914999999999</v>
      </c>
      <c r="G147" s="177">
        <f t="shared" si="46"/>
        <v>15.4366889395</v>
      </c>
      <c r="H147" s="177">
        <f t="shared" si="46"/>
        <v>18.333216581804578</v>
      </c>
      <c r="I147" s="177">
        <f t="shared" si="46"/>
        <v>21.144681985672378</v>
      </c>
      <c r="J147" s="177">
        <f t="shared" si="46"/>
        <v>23.752955369300096</v>
      </c>
      <c r="K147" s="177">
        <f t="shared" si="46"/>
        <v>25.970380094765407</v>
      </c>
      <c r="L147" s="177">
        <f t="shared" si="46"/>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47">I149</f>
        <v>83.863776892169696</v>
      </c>
      <c r="K149" s="211">
        <f t="shared" si="47"/>
        <v>83.863776892169696</v>
      </c>
      <c r="L149" s="211">
        <f t="shared" si="47"/>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48">I151</f>
        <v>2.0684944550576352E-2</v>
      </c>
      <c r="K151" s="139">
        <f t="shared" si="48"/>
        <v>2.0684944550576352E-2</v>
      </c>
      <c r="L151" s="139">
        <f t="shared" si="48"/>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49">H153</f>
        <v>16.922818383787302</v>
      </c>
      <c r="J153" s="211">
        <f t="shared" si="49"/>
        <v>16.922818383787302</v>
      </c>
      <c r="K153" s="211">
        <f t="shared" si="49"/>
        <v>16.922818383787302</v>
      </c>
      <c r="L153" s="211">
        <f t="shared" si="49"/>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49"/>
        <v>0.17436577105792128</v>
      </c>
      <c r="K154" s="139">
        <f t="shared" si="49"/>
        <v>0.17436577105792128</v>
      </c>
      <c r="L154" s="139">
        <f t="shared" si="49"/>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49"/>
        <v>0.1762791418223944</v>
      </c>
      <c r="K155" s="139">
        <f t="shared" si="49"/>
        <v>0.1762791418223944</v>
      </c>
      <c r="L155" s="139">
        <f t="shared" si="49"/>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6 Answer Key'!F13</f>
        <v>0</v>
      </c>
      <c r="G162" s="122">
        <f>'Financials from CIP'!E13/1000-'Step 6 Answer Key'!G13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6 Answer Key'!F15</f>
        <v>0</v>
      </c>
      <c r="G163" s="122">
        <f>'Financials from CIP'!E19/1000-'Step 6 Answer Key'!G15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6 Answer Key'!F18</f>
        <v>0</v>
      </c>
      <c r="G164" s="122">
        <f>'Financials from CIP'!E36/1000-'Step 6 Answer Key'!G18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6 Answer Key'!F33</f>
        <v>0</v>
      </c>
      <c r="G165" s="122">
        <f>'Financials from CIP'!E34/1000-'Step 6 Answer Key'!G33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6 Answer Key'!F60</f>
        <v>0</v>
      </c>
      <c r="G168" s="122">
        <f>'Financials from CIP'!E46/1000-'Step 6 Answer Key'!G60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6 Answer Key'!F64</f>
        <v>0</v>
      </c>
      <c r="G169" s="122">
        <f>'Financials from CIP'!E51/1000-'Step 6 Answer Key'!G64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6 Answer Key'!F70</f>
        <v>0</v>
      </c>
      <c r="G170" s="122">
        <f>'Financials from CIP'!E56/1000-'Step 6 Answer Key'!G70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6 Answer Key'!F77</f>
        <v>0</v>
      </c>
      <c r="G171" s="122">
        <f>'Financials from CIP'!E61/1000-'Step 6 Answer Key'!G77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6 Answer Key'!F84</f>
        <v>0</v>
      </c>
      <c r="G172" s="122">
        <f>'Financials from CIP'!E69/1000-'Step 6 Answer Key'!G84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6 Answer Key'!F85:F86)</f>
        <v>0</v>
      </c>
      <c r="G173" s="122">
        <f>'Financials from CIP'!E73/1000-SUM('Step 6 Answer Key'!G85:G86)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50">H$11</f>
        <v>46022</v>
      </c>
      <c r="I185" s="58">
        <f t="shared" si="50"/>
        <v>46387</v>
      </c>
      <c r="J185" s="58">
        <f t="shared" si="50"/>
        <v>46752</v>
      </c>
      <c r="K185" s="58">
        <f t="shared" si="50"/>
        <v>47118</v>
      </c>
      <c r="L185" s="58">
        <f t="shared" si="50"/>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1">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1"/>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1"/>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1"/>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1"/>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1"/>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2">-SUM(I187:I193)</f>
        <v>6.1302957891314076</v>
      </c>
      <c r="J194" s="156">
        <f t="shared" ca="1" si="52"/>
        <v>6.4683165246530567</v>
      </c>
      <c r="K194" s="156">
        <f t="shared" ca="1" si="52"/>
        <v>6.8378927245374452</v>
      </c>
      <c r="L194" s="156">
        <f t="shared" ca="1" si="52"/>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thickBot="1">
      <c r="A197" s="82"/>
      <c r="B197" s="82"/>
      <c r="C197" s="121"/>
      <c r="D197" s="82"/>
      <c r="E197" s="82"/>
      <c r="F197" s="82"/>
      <c r="G197" s="82"/>
      <c r="H197" s="82"/>
      <c r="I197" s="82"/>
      <c r="J197" s="82"/>
      <c r="K197" s="82"/>
      <c r="L197" s="82"/>
      <c r="M197" s="82"/>
      <c r="N197" s="82"/>
      <c r="O197" s="82"/>
      <c r="P197" s="82"/>
      <c r="Q197" s="82"/>
      <c r="R197" s="82"/>
      <c r="S197" s="82"/>
    </row>
    <row r="198" spans="1:19" ht="19.5" customHeight="1" outlineLevel="1" thickTop="1">
      <c r="A198" s="125"/>
      <c r="B198" s="46" t="s">
        <v>61</v>
      </c>
      <c r="C198" s="47" t="s">
        <v>199</v>
      </c>
      <c r="D198" s="48"/>
      <c r="E198" s="49"/>
      <c r="F198" s="49"/>
      <c r="G198" s="49"/>
      <c r="H198" s="49"/>
      <c r="I198" s="49"/>
      <c r="J198" s="49"/>
      <c r="K198" s="49"/>
      <c r="L198" s="49"/>
      <c r="M198" s="50" t="s">
        <v>200</v>
      </c>
    </row>
    <row r="199" spans="1:19" ht="5.0999999999999996" customHeight="1" outlineLevel="1">
      <c r="A199" s="125"/>
      <c r="M199" s="50"/>
    </row>
    <row r="200" spans="1:19" ht="13.5" customHeight="1" outlineLevel="1">
      <c r="A200" s="125"/>
      <c r="C200" s="53"/>
      <c r="D200" s="53"/>
      <c r="E200" s="53"/>
      <c r="F200" s="54" t="s">
        <v>63</v>
      </c>
      <c r="G200" s="54" t="s">
        <v>63</v>
      </c>
      <c r="H200" s="55" t="s">
        <v>64</v>
      </c>
      <c r="I200" s="55"/>
      <c r="J200" s="55"/>
      <c r="K200" s="55"/>
      <c r="L200" s="55"/>
    </row>
    <row r="201" spans="1:19" ht="13.5" customHeight="1" outlineLevel="1" thickBot="1">
      <c r="A201" s="125"/>
      <c r="C201" s="56" t="s">
        <v>65</v>
      </c>
      <c r="D201" s="57"/>
      <c r="E201" s="57"/>
      <c r="F201" s="58">
        <f>F$11</f>
        <v>45291</v>
      </c>
      <c r="G201" s="58">
        <f>G$11</f>
        <v>45657</v>
      </c>
      <c r="H201" s="58">
        <f t="shared" ref="H201:L201" si="53">H$11</f>
        <v>46022</v>
      </c>
      <c r="I201" s="58">
        <f t="shared" si="53"/>
        <v>46387</v>
      </c>
      <c r="J201" s="58">
        <f t="shared" si="53"/>
        <v>46752</v>
      </c>
      <c r="K201" s="58">
        <f t="shared" si="53"/>
        <v>47118</v>
      </c>
      <c r="L201" s="58">
        <f t="shared" si="53"/>
        <v>47483</v>
      </c>
    </row>
    <row r="202" spans="1:19" ht="5.0999999999999996" customHeight="1" outlineLevel="1">
      <c r="A202" s="125"/>
      <c r="C202" s="59"/>
      <c r="D202" s="59"/>
      <c r="E202" s="59"/>
      <c r="F202" s="60"/>
      <c r="G202" s="60"/>
      <c r="H202" s="60"/>
      <c r="I202" s="60"/>
      <c r="J202" s="60"/>
      <c r="K202" s="60"/>
    </row>
    <row r="203" spans="1:19" ht="13.5" customHeight="1" outlineLevel="1">
      <c r="A203" s="125"/>
      <c r="C203" s="84" t="s">
        <v>201</v>
      </c>
      <c r="D203" s="85"/>
      <c r="E203" s="86"/>
      <c r="F203" s="86"/>
      <c r="G203" s="86"/>
      <c r="H203" s="86"/>
      <c r="I203" s="86"/>
      <c r="J203" s="86"/>
      <c r="K203" s="86"/>
      <c r="L203" s="87"/>
    </row>
    <row r="204" spans="1:19" ht="13.5" customHeight="1" outlineLevel="1">
      <c r="A204" s="125"/>
      <c r="M204" s="30"/>
    </row>
    <row r="205" spans="1:19" ht="13.5" customHeight="1" outlineLevel="1">
      <c r="A205" s="125"/>
      <c r="C205" s="216" t="str">
        <f>+C113</f>
        <v>Revolver</v>
      </c>
      <c r="D205" s="217"/>
      <c r="E205" s="217"/>
      <c r="F205" s="218"/>
      <c r="G205" s="219"/>
      <c r="H205" s="220"/>
      <c r="I205" s="220"/>
      <c r="J205" s="220"/>
      <c r="K205" s="220"/>
      <c r="L205" s="220"/>
    </row>
    <row r="206" spans="1:19" ht="13.5" customHeight="1" outlineLevel="1">
      <c r="A206" s="125"/>
      <c r="C206" s="98" t="s">
        <v>202</v>
      </c>
      <c r="D206" s="118"/>
      <c r="E206" s="118"/>
      <c r="G206" s="149"/>
      <c r="H206" s="221">
        <f>G209</f>
        <v>1.2892999999999999</v>
      </c>
      <c r="I206" s="221">
        <f>H209</f>
        <v>1.2892999999999999</v>
      </c>
      <c r="J206" s="221">
        <f>I209</f>
        <v>1.2892999999999999</v>
      </c>
      <c r="K206" s="221">
        <f>J209</f>
        <v>1.2892999999999999</v>
      </c>
      <c r="L206" s="221">
        <f>K209</f>
        <v>1.2892999999999999</v>
      </c>
      <c r="M206" s="50" t="s">
        <v>203</v>
      </c>
    </row>
    <row r="207" spans="1:19" ht="13.5" customHeight="1" outlineLevel="1">
      <c r="A207" s="125"/>
      <c r="C207" s="91" t="s">
        <v>204</v>
      </c>
      <c r="D207" s="118"/>
      <c r="E207" s="118"/>
      <c r="G207" s="149"/>
      <c r="H207" s="206"/>
      <c r="I207" s="206"/>
      <c r="J207" s="206"/>
      <c r="K207" s="206"/>
      <c r="L207" s="206"/>
      <c r="M207" s="50" t="s">
        <v>205</v>
      </c>
    </row>
    <row r="208" spans="1:19" ht="13.5" customHeight="1" outlineLevel="1">
      <c r="A208" s="125"/>
      <c r="C208" s="91" t="s">
        <v>206</v>
      </c>
      <c r="D208" s="118"/>
      <c r="E208" s="118"/>
      <c r="G208" s="149"/>
      <c r="H208" s="206"/>
      <c r="I208" s="206"/>
      <c r="J208" s="206"/>
      <c r="K208" s="206"/>
      <c r="L208" s="206"/>
    </row>
    <row r="209" spans="1:13" ht="13.5" customHeight="1" outlineLevel="1">
      <c r="A209" s="125"/>
      <c r="C209" s="65" t="s">
        <v>207</v>
      </c>
      <c r="D209" s="65"/>
      <c r="E209" s="65"/>
      <c r="F209" s="65"/>
      <c r="G209" s="222">
        <f>G78</f>
        <v>1.2892999999999999</v>
      </c>
      <c r="H209" s="222">
        <f>SUM(H206:H208)</f>
        <v>1.2892999999999999</v>
      </c>
      <c r="I209" s="222">
        <f>SUM(I206:I208)</f>
        <v>1.2892999999999999</v>
      </c>
      <c r="J209" s="222">
        <f>SUM(J206:J208)</f>
        <v>1.2892999999999999</v>
      </c>
      <c r="K209" s="222">
        <f>SUM(K206:K208)</f>
        <v>1.2892999999999999</v>
      </c>
      <c r="L209" s="222">
        <f>SUM(L206:L208)</f>
        <v>1.2892999999999999</v>
      </c>
      <c r="M209" s="50" t="s">
        <v>208</v>
      </c>
    </row>
    <row r="210" spans="1:13" ht="13.5" customHeight="1" outlineLevel="1">
      <c r="A210" s="125"/>
      <c r="C210" s="68"/>
      <c r="D210" s="68"/>
      <c r="E210" s="68"/>
      <c r="F210" s="68"/>
      <c r="G210" s="147"/>
      <c r="H210" s="154"/>
      <c r="I210" s="68"/>
      <c r="J210" s="68"/>
      <c r="K210" s="68"/>
      <c r="L210" s="68"/>
    </row>
    <row r="211" spans="1:13" ht="13.5" customHeight="1" outlineLevel="1">
      <c r="A211" s="125"/>
      <c r="C211" s="68" t="s">
        <v>209</v>
      </c>
      <c r="D211" s="68"/>
      <c r="E211" s="68"/>
      <c r="F211" s="68"/>
      <c r="G211" s="130">
        <v>30</v>
      </c>
      <c r="H211" s="130">
        <v>30</v>
      </c>
      <c r="I211" s="130">
        <v>30</v>
      </c>
      <c r="J211" s="130">
        <v>30</v>
      </c>
      <c r="K211" s="130">
        <v>30</v>
      </c>
      <c r="L211" s="130">
        <v>30</v>
      </c>
      <c r="M211" s="50" t="s">
        <v>210</v>
      </c>
    </row>
    <row r="212" spans="1:13" ht="13.5" customHeight="1" outlineLevel="1">
      <c r="A212" s="125"/>
      <c r="C212" s="98" t="s">
        <v>211</v>
      </c>
      <c r="D212" s="223"/>
      <c r="E212" s="223"/>
      <c r="F212" s="223"/>
      <c r="G212" s="165">
        <f t="shared" ref="G212:L212" si="54">G211-G209</f>
        <v>28.710699999999999</v>
      </c>
      <c r="H212" s="165">
        <f t="shared" si="54"/>
        <v>28.710699999999999</v>
      </c>
      <c r="I212" s="165">
        <f t="shared" si="54"/>
        <v>28.710699999999999</v>
      </c>
      <c r="J212" s="165">
        <f t="shared" si="54"/>
        <v>28.710699999999999</v>
      </c>
      <c r="K212" s="165">
        <f t="shared" si="54"/>
        <v>28.710699999999999</v>
      </c>
      <c r="L212" s="165">
        <f t="shared" si="54"/>
        <v>28.710699999999999</v>
      </c>
      <c r="M212" s="50" t="s">
        <v>212</v>
      </c>
    </row>
    <row r="213" spans="1:13" ht="13.5" customHeight="1" outlineLevel="1">
      <c r="A213" s="125"/>
      <c r="C213" s="68"/>
      <c r="G213" s="68"/>
      <c r="H213" s="68"/>
      <c r="I213" s="68"/>
      <c r="J213" s="68"/>
      <c r="K213" s="68"/>
      <c r="L213" s="68"/>
    </row>
    <row r="214" spans="1:13" ht="13.5" customHeight="1" outlineLevel="1">
      <c r="A214" s="125"/>
      <c r="C214" s="216" t="str">
        <f>+C114</f>
        <v>Term Loan A</v>
      </c>
      <c r="D214" s="217"/>
      <c r="E214" s="217"/>
      <c r="F214" s="218"/>
      <c r="G214" s="219"/>
      <c r="H214" s="224"/>
      <c r="I214" s="224"/>
      <c r="J214" s="225"/>
      <c r="K214" s="225"/>
      <c r="L214" s="225"/>
    </row>
    <row r="215" spans="1:13" ht="13.5" customHeight="1" outlineLevel="1">
      <c r="A215" s="125"/>
      <c r="C215" s="98" t="s">
        <v>202</v>
      </c>
      <c r="D215" s="118"/>
      <c r="E215" s="118"/>
      <c r="G215" s="149"/>
      <c r="H215" s="221">
        <f>G218</f>
        <v>12.001450999999999</v>
      </c>
      <c r="I215" s="221">
        <f>H218</f>
        <v>9.6011607999999988</v>
      </c>
      <c r="J215" s="221">
        <f>I218</f>
        <v>7.2008705999999982</v>
      </c>
      <c r="K215" s="221">
        <f>J218</f>
        <v>4.8005803999999976</v>
      </c>
      <c r="L215" s="221">
        <f>K218</f>
        <v>2.4002901999999975</v>
      </c>
      <c r="M215" s="50" t="s">
        <v>213</v>
      </c>
    </row>
    <row r="216" spans="1:13" ht="13.5" customHeight="1" outlineLevel="1">
      <c r="A216" s="125"/>
      <c r="C216" s="91" t="s">
        <v>214</v>
      </c>
      <c r="D216" s="118"/>
      <c r="E216" s="118"/>
      <c r="G216" s="149"/>
      <c r="H216" s="165">
        <f>-MIN(($G218*H235),H215)</f>
        <v>-2.4002902000000002</v>
      </c>
      <c r="I216" s="165">
        <f>-MIN(($G218*I235),I215)</f>
        <v>-2.4002902000000002</v>
      </c>
      <c r="J216" s="165">
        <f>-MIN(($G218*J235),J215)</f>
        <v>-2.4002902000000002</v>
      </c>
      <c r="K216" s="165">
        <f>-MIN(($G218*K235),K215)</f>
        <v>-2.4002902000000002</v>
      </c>
      <c r="L216" s="165">
        <f>-MIN(($G218*L235),L215)</f>
        <v>-2.4002901999999975</v>
      </c>
      <c r="M216" s="50" t="s">
        <v>215</v>
      </c>
    </row>
    <row r="217" spans="1:13" ht="13.5" customHeight="1" outlineLevel="1">
      <c r="A217" s="125"/>
      <c r="C217" s="91" t="s">
        <v>216</v>
      </c>
      <c r="D217" s="118"/>
      <c r="E217" s="118"/>
      <c r="G217" s="149"/>
      <c r="H217" s="226"/>
      <c r="I217" s="226"/>
      <c r="J217" s="226"/>
      <c r="K217" s="226"/>
      <c r="L217" s="226"/>
    </row>
    <row r="218" spans="1:13" ht="13.5" customHeight="1" outlineLevel="1">
      <c r="A218" s="125"/>
      <c r="C218" s="65" t="s">
        <v>207</v>
      </c>
      <c r="D218" s="65"/>
      <c r="E218" s="65"/>
      <c r="F218" s="65"/>
      <c r="G218" s="222">
        <f>G79</f>
        <v>12.001450999999999</v>
      </c>
      <c r="H218" s="227">
        <f>SUM(H215:H217)</f>
        <v>9.6011607999999988</v>
      </c>
      <c r="I218" s="227">
        <f>SUM(I215:I217)</f>
        <v>7.2008705999999982</v>
      </c>
      <c r="J218" s="227">
        <f>SUM(J215:J217)</f>
        <v>4.8005803999999976</v>
      </c>
      <c r="K218" s="227">
        <f>SUM(K215:K217)</f>
        <v>2.4002901999999975</v>
      </c>
      <c r="L218" s="227">
        <f>SUM(L215:L217)</f>
        <v>0</v>
      </c>
      <c r="M218" s="50" t="s">
        <v>217</v>
      </c>
    </row>
    <row r="219" spans="1:13" ht="13.5" customHeight="1" outlineLevel="1">
      <c r="A219" s="125"/>
      <c r="C219" s="68"/>
      <c r="G219" s="68"/>
      <c r="H219" s="68"/>
      <c r="I219" s="68"/>
      <c r="J219" s="68"/>
      <c r="K219" s="68"/>
      <c r="L219" s="68"/>
    </row>
    <row r="220" spans="1:13" ht="13.5" customHeight="1" outlineLevel="1">
      <c r="A220" s="125"/>
      <c r="C220" s="216" t="str">
        <f>+C115</f>
        <v>Subordinated - Note 1</v>
      </c>
      <c r="D220" s="217"/>
      <c r="E220" s="217"/>
      <c r="F220" s="218"/>
      <c r="G220" s="219"/>
      <c r="H220" s="224"/>
      <c r="I220" s="224"/>
      <c r="J220" s="225"/>
      <c r="K220" s="225"/>
      <c r="L220" s="225"/>
    </row>
    <row r="221" spans="1:13" ht="13.5" customHeight="1" outlineLevel="1">
      <c r="A221" s="125"/>
      <c r="C221" s="98" t="s">
        <v>202</v>
      </c>
      <c r="D221" s="118"/>
      <c r="E221" s="118"/>
      <c r="G221" s="228"/>
      <c r="H221" s="229">
        <f>G224</f>
        <v>8.5337999999999997E-2</v>
      </c>
      <c r="I221" s="229">
        <f>H224</f>
        <v>6.8270399999999995E-2</v>
      </c>
      <c r="J221" s="229">
        <f>I224</f>
        <v>5.1202799999999993E-2</v>
      </c>
      <c r="K221" s="229">
        <f>J224</f>
        <v>3.4135199999999991E-2</v>
      </c>
      <c r="L221" s="229">
        <f>K224</f>
        <v>1.7067599999999992E-2</v>
      </c>
      <c r="M221" s="50" t="s">
        <v>213</v>
      </c>
    </row>
    <row r="222" spans="1:13" ht="13.5" customHeight="1" outlineLevel="1">
      <c r="A222" s="125"/>
      <c r="C222" s="91" t="s">
        <v>214</v>
      </c>
      <c r="D222" s="118"/>
      <c r="E222" s="118"/>
      <c r="G222" s="154"/>
      <c r="H222" s="230">
        <f>-MIN(H221,(H236*$G224))</f>
        <v>-1.7067599999999999E-2</v>
      </c>
      <c r="I222" s="230">
        <f>-MIN(I221,(I236*$G224))</f>
        <v>-1.7067599999999999E-2</v>
      </c>
      <c r="J222" s="230">
        <f>-MIN(J221,(J236*$G224))</f>
        <v>-1.7067599999999999E-2</v>
      </c>
      <c r="K222" s="230">
        <f>-MIN(K221,(K236*$G224))</f>
        <v>-1.7067599999999999E-2</v>
      </c>
      <c r="L222" s="230">
        <f>-MIN(L221,(L236*$G224))</f>
        <v>-1.7067599999999992E-2</v>
      </c>
      <c r="M222" s="50" t="s">
        <v>218</v>
      </c>
    </row>
    <row r="223" spans="1:13" ht="13.5" customHeight="1" outlineLevel="1">
      <c r="A223" s="125"/>
      <c r="C223" s="91" t="s">
        <v>216</v>
      </c>
      <c r="D223" s="118"/>
      <c r="E223" s="118"/>
      <c r="G223" s="154"/>
      <c r="H223" s="231"/>
      <c r="I223" s="231"/>
      <c r="J223" s="231"/>
      <c r="K223" s="231"/>
      <c r="L223" s="231"/>
    </row>
    <row r="224" spans="1:13" ht="13.5" customHeight="1" outlineLevel="1">
      <c r="A224" s="125"/>
      <c r="C224" s="65" t="s">
        <v>207</v>
      </c>
      <c r="D224" s="65"/>
      <c r="E224" s="65"/>
      <c r="F224" s="65"/>
      <c r="G224" s="232">
        <f>G80</f>
        <v>8.5337999999999997E-2</v>
      </c>
      <c r="H224" s="233">
        <f>SUM(H221:H223)</f>
        <v>6.8270399999999995E-2</v>
      </c>
      <c r="I224" s="233">
        <f>SUM(I221:I223)</f>
        <v>5.1202799999999993E-2</v>
      </c>
      <c r="J224" s="233">
        <f>SUM(J221:J223)</f>
        <v>3.4135199999999991E-2</v>
      </c>
      <c r="K224" s="233">
        <f>SUM(K221:K223)</f>
        <v>1.7067599999999992E-2</v>
      </c>
      <c r="L224" s="233">
        <f>SUM(L221:L223)</f>
        <v>0</v>
      </c>
      <c r="M224" s="50" t="s">
        <v>219</v>
      </c>
    </row>
    <row r="225" spans="1:13" ht="13.5" customHeight="1" outlineLevel="1">
      <c r="A225" s="125"/>
      <c r="C225" s="68"/>
      <c r="G225" s="68"/>
      <c r="H225" s="68"/>
      <c r="I225" s="68"/>
      <c r="J225" s="68"/>
      <c r="K225" s="68"/>
      <c r="L225" s="68"/>
    </row>
    <row r="226" spans="1:13" ht="13.5" customHeight="1" outlineLevel="1">
      <c r="A226" s="125"/>
      <c r="C226" s="216" t="str">
        <f>+C116</f>
        <v>Subordinated - Note 2</v>
      </c>
      <c r="D226" s="217"/>
      <c r="E226" s="217"/>
      <c r="F226" s="218"/>
      <c r="G226" s="219"/>
      <c r="H226" s="224"/>
      <c r="I226" s="224"/>
      <c r="J226" s="225"/>
      <c r="K226" s="225"/>
      <c r="L226" s="225"/>
    </row>
    <row r="227" spans="1:13" ht="13.5" customHeight="1" outlineLevel="1">
      <c r="A227" s="125"/>
      <c r="C227" s="98" t="s">
        <v>202</v>
      </c>
      <c r="D227" s="118"/>
      <c r="E227" s="118"/>
      <c r="G227" s="228"/>
      <c r="H227" s="229">
        <f>G230</f>
        <v>1.2666999999999999E-2</v>
      </c>
      <c r="I227" s="229">
        <f>H230</f>
        <v>1.203365E-2</v>
      </c>
      <c r="J227" s="229">
        <f>I230</f>
        <v>1.14003E-2</v>
      </c>
      <c r="K227" s="229">
        <f>J230</f>
        <v>1.0766950000000001E-2</v>
      </c>
      <c r="L227" s="229">
        <f>K230</f>
        <v>1.0133600000000001E-2</v>
      </c>
      <c r="M227" s="50" t="s">
        <v>213</v>
      </c>
    </row>
    <row r="228" spans="1:13" ht="13.5" customHeight="1" outlineLevel="1">
      <c r="A228" s="125"/>
      <c r="C228" s="91" t="s">
        <v>214</v>
      </c>
      <c r="D228" s="118"/>
      <c r="E228" s="118"/>
      <c r="G228" s="154"/>
      <c r="H228" s="230">
        <f>-MIN(H227,H237*$G230)</f>
        <v>-6.3334999999999997E-4</v>
      </c>
      <c r="I228" s="230">
        <f>-MIN(I227,I237*$G230)</f>
        <v>-6.3334999999999997E-4</v>
      </c>
      <c r="J228" s="230">
        <f>-MIN(J227,J237*$G230)</f>
        <v>-6.3334999999999997E-4</v>
      </c>
      <c r="K228" s="230">
        <f>-MIN(K227,K237*$G230)</f>
        <v>-6.3334999999999997E-4</v>
      </c>
      <c r="L228" s="230">
        <f>-MIN(L227,L237*$G230)</f>
        <v>-1.01336E-2</v>
      </c>
      <c r="M228" s="50" t="s">
        <v>220</v>
      </c>
    </row>
    <row r="229" spans="1:13" ht="13.5" customHeight="1" outlineLevel="1">
      <c r="A229" s="125"/>
      <c r="C229" s="91" t="s">
        <v>216</v>
      </c>
      <c r="D229" s="118"/>
      <c r="E229" s="118"/>
      <c r="G229" s="154"/>
      <c r="H229" s="231"/>
      <c r="I229" s="231"/>
      <c r="J229" s="231"/>
      <c r="K229" s="231"/>
      <c r="L229" s="231"/>
    </row>
    <row r="230" spans="1:13" ht="13.5" customHeight="1" outlineLevel="1">
      <c r="A230" s="125"/>
      <c r="C230" s="65" t="s">
        <v>207</v>
      </c>
      <c r="D230" s="65"/>
      <c r="E230" s="65"/>
      <c r="F230" s="65"/>
      <c r="G230" s="232">
        <f>G81</f>
        <v>1.2666999999999999E-2</v>
      </c>
      <c r="H230" s="233">
        <f>SUM(H227:H229)</f>
        <v>1.203365E-2</v>
      </c>
      <c r="I230" s="233">
        <f>SUM(I227:I229)</f>
        <v>1.14003E-2</v>
      </c>
      <c r="J230" s="233">
        <f>SUM(J227:J229)</f>
        <v>1.0766950000000001E-2</v>
      </c>
      <c r="K230" s="233">
        <f>SUM(K227:K229)</f>
        <v>1.0133600000000001E-2</v>
      </c>
      <c r="L230" s="233">
        <f>SUM(L227:L229)</f>
        <v>0</v>
      </c>
      <c r="M230" s="50" t="s">
        <v>219</v>
      </c>
    </row>
    <row r="231" spans="1:13" ht="13.5" customHeight="1" outlineLevel="1">
      <c r="A231" s="125"/>
      <c r="C231" s="68"/>
      <c r="G231" s="68"/>
      <c r="H231" s="68"/>
      <c r="I231" s="68"/>
      <c r="J231" s="68"/>
      <c r="K231" s="68"/>
      <c r="L231" s="68"/>
    </row>
    <row r="232" spans="1:13" ht="13.5" customHeight="1" outlineLevel="1">
      <c r="A232" s="125"/>
      <c r="C232" s="84" t="s">
        <v>221</v>
      </c>
      <c r="D232" s="85"/>
      <c r="E232" s="86"/>
      <c r="F232" s="86"/>
      <c r="G232" s="234" t="s">
        <v>222</v>
      </c>
      <c r="H232" s="86"/>
      <c r="I232" s="86"/>
      <c r="J232" s="86"/>
      <c r="K232" s="86"/>
      <c r="L232" s="87"/>
    </row>
    <row r="233" spans="1:13" ht="13.5" customHeight="1" outlineLevel="1">
      <c r="A233" s="125"/>
      <c r="C233" s="68"/>
    </row>
    <row r="234" spans="1:13" ht="13.5" customHeight="1" outlineLevel="1">
      <c r="A234" s="125"/>
      <c r="C234" s="68"/>
      <c r="G234" s="235" t="s">
        <v>222</v>
      </c>
      <c r="H234" s="236" t="s">
        <v>223</v>
      </c>
      <c r="I234" s="237"/>
      <c r="J234" s="237"/>
      <c r="K234" s="237"/>
      <c r="L234" s="237"/>
    </row>
    <row r="235" spans="1:13" ht="13.5" customHeight="1" outlineLevel="1">
      <c r="A235" s="125"/>
      <c r="C235" s="68" t="str">
        <f>+C214</f>
        <v>Term Loan A</v>
      </c>
      <c r="G235" s="152">
        <f>G218</f>
        <v>12.001450999999999</v>
      </c>
      <c r="H235" s="238">
        <v>0.2</v>
      </c>
      <c r="I235" s="238">
        <v>0.2</v>
      </c>
      <c r="J235" s="238">
        <v>0.2</v>
      </c>
      <c r="K235" s="238">
        <v>0.2</v>
      </c>
      <c r="L235" s="238">
        <v>0.2</v>
      </c>
      <c r="M235" s="50" t="s">
        <v>224</v>
      </c>
    </row>
    <row r="236" spans="1:13" ht="13.5" customHeight="1" outlineLevel="1">
      <c r="A236" s="125"/>
      <c r="C236" s="68" t="str">
        <f>+C220</f>
        <v>Subordinated - Note 1</v>
      </c>
      <c r="G236" s="152">
        <f>G224</f>
        <v>8.5337999999999997E-2</v>
      </c>
      <c r="H236" s="238">
        <v>0.2</v>
      </c>
      <c r="I236" s="238">
        <v>0.2</v>
      </c>
      <c r="J236" s="238">
        <v>0.2</v>
      </c>
      <c r="K236" s="238">
        <v>0.2</v>
      </c>
      <c r="L236" s="238">
        <v>0.2</v>
      </c>
      <c r="M236" s="50" t="s">
        <v>225</v>
      </c>
    </row>
    <row r="237" spans="1:13" ht="13.5" customHeight="1" outlineLevel="1">
      <c r="A237" s="125"/>
      <c r="C237" s="68" t="str">
        <f>+C226</f>
        <v>Subordinated - Note 2</v>
      </c>
      <c r="G237" s="152">
        <f>G230</f>
        <v>1.2666999999999999E-2</v>
      </c>
      <c r="H237" s="238">
        <v>0.05</v>
      </c>
      <c r="I237" s="238">
        <v>0.05</v>
      </c>
      <c r="J237" s="238">
        <v>0.05</v>
      </c>
      <c r="K237" s="238">
        <v>0.05</v>
      </c>
      <c r="L237" s="238">
        <v>0.8</v>
      </c>
      <c r="M237" s="50" t="s">
        <v>226</v>
      </c>
    </row>
    <row r="238" spans="1:13" ht="13.5" customHeight="1" outlineLevel="1">
      <c r="A238" s="125"/>
      <c r="C238" s="68"/>
    </row>
    <row r="239" spans="1:13" ht="13.5" customHeight="1" outlineLevel="1">
      <c r="A239" s="125"/>
      <c r="C239" s="84" t="s">
        <v>227</v>
      </c>
      <c r="D239" s="85"/>
      <c r="E239" s="86"/>
      <c r="F239" s="86"/>
      <c r="G239" s="86"/>
      <c r="H239" s="86"/>
      <c r="I239" s="86"/>
      <c r="J239" s="86"/>
      <c r="K239" s="86"/>
      <c r="L239" s="87"/>
    </row>
    <row r="240" spans="1:13" ht="13.5" customHeight="1" outlineLevel="1">
      <c r="A240" s="125"/>
      <c r="C240" s="68"/>
    </row>
    <row r="241" spans="1:19" ht="13.5" customHeight="1" outlineLevel="1">
      <c r="A241" s="125"/>
      <c r="C241" s="239"/>
      <c r="D241" s="240"/>
      <c r="E241" s="240"/>
      <c r="H241" s="54"/>
      <c r="I241" s="54" t="s">
        <v>228</v>
      </c>
      <c r="J241" s="54" t="s">
        <v>229</v>
      </c>
      <c r="K241" s="54" t="s">
        <v>230</v>
      </c>
      <c r="L241" s="54" t="s">
        <v>98</v>
      </c>
    </row>
    <row r="242" spans="1:19" ht="13.5" customHeight="1" outlineLevel="1" thickBot="1">
      <c r="A242" s="125"/>
      <c r="C242" s="241"/>
      <c r="D242" s="242"/>
      <c r="E242" s="242"/>
      <c r="F242" s="243"/>
      <c r="G242" s="244" t="s">
        <v>231</v>
      </c>
      <c r="H242" s="243" t="s">
        <v>232</v>
      </c>
      <c r="I242" s="243" t="s">
        <v>232</v>
      </c>
      <c r="J242" s="243" t="s">
        <v>232</v>
      </c>
      <c r="K242" s="243" t="s">
        <v>233</v>
      </c>
      <c r="L242" s="243" t="s">
        <v>234</v>
      </c>
      <c r="M242" s="50" t="s">
        <v>235</v>
      </c>
    </row>
    <row r="243" spans="1:19" ht="5.0999999999999996" customHeight="1" outlineLevel="1">
      <c r="A243" s="125"/>
      <c r="C243" s="98"/>
      <c r="D243" s="118"/>
      <c r="E243" s="118"/>
      <c r="F243" s="245"/>
      <c r="G243" s="245"/>
      <c r="H243" s="245"/>
      <c r="I243" s="245"/>
      <c r="J243" s="245"/>
      <c r="K243" s="118"/>
    </row>
    <row r="244" spans="1:19" ht="13.5" customHeight="1" outlineLevel="1">
      <c r="A244" s="125"/>
      <c r="C244" s="98" t="str">
        <f>+C205</f>
        <v>Revolver</v>
      </c>
      <c r="D244" s="118"/>
      <c r="E244" s="118"/>
      <c r="F244" s="246"/>
      <c r="G244" s="247" t="s">
        <v>240</v>
      </c>
      <c r="H244" s="247">
        <v>3.7100000000000001E-2</v>
      </c>
      <c r="I244" s="247">
        <v>4.2500000000000003E-2</v>
      </c>
      <c r="J244" s="248">
        <f>I244+H244</f>
        <v>7.9600000000000004E-2</v>
      </c>
      <c r="K244" s="247" t="s">
        <v>241</v>
      </c>
      <c r="L244" s="249">
        <v>1</v>
      </c>
      <c r="M244" s="50" t="s">
        <v>236</v>
      </c>
    </row>
    <row r="245" spans="1:19" ht="13.5" customHeight="1" outlineLevel="1">
      <c r="A245" s="125"/>
      <c r="C245" s="98" t="str">
        <f>+C214</f>
        <v>Term Loan A</v>
      </c>
      <c r="D245" s="118"/>
      <c r="E245" s="118"/>
      <c r="F245" s="246"/>
      <c r="G245" s="247" t="s">
        <v>240</v>
      </c>
      <c r="H245" s="247">
        <v>3.7100000000000001E-2</v>
      </c>
      <c r="I245" s="247">
        <v>4.7500000000000001E-2</v>
      </c>
      <c r="J245" s="248">
        <f>I245+H245</f>
        <v>8.4600000000000009E-2</v>
      </c>
      <c r="K245" s="247" t="s">
        <v>241</v>
      </c>
      <c r="L245" s="249">
        <v>1</v>
      </c>
      <c r="M245" s="50" t="s">
        <v>237</v>
      </c>
    </row>
    <row r="246" spans="1:19" ht="13.5" customHeight="1" outlineLevel="1">
      <c r="A246" s="125"/>
      <c r="C246" s="98" t="str">
        <f>+C220</f>
        <v>Subordinated - Note 1</v>
      </c>
      <c r="D246" s="118"/>
      <c r="E246" s="118"/>
      <c r="F246" s="246"/>
      <c r="G246" s="247" t="s">
        <v>242</v>
      </c>
      <c r="H246" s="247" t="s">
        <v>241</v>
      </c>
      <c r="I246" s="247" t="s">
        <v>241</v>
      </c>
      <c r="J246" s="247" t="s">
        <v>241</v>
      </c>
      <c r="K246" s="247">
        <v>0.12</v>
      </c>
      <c r="L246" s="249">
        <v>1</v>
      </c>
      <c r="M246" s="50" t="s">
        <v>238</v>
      </c>
    </row>
    <row r="247" spans="1:19" ht="13.5" customHeight="1" outlineLevel="1">
      <c r="A247" s="125"/>
      <c r="C247" s="98" t="str">
        <f>+C226</f>
        <v>Subordinated - Note 2</v>
      </c>
      <c r="D247" s="118"/>
      <c r="E247" s="118"/>
      <c r="F247" s="246"/>
      <c r="G247" s="247" t="s">
        <v>242</v>
      </c>
      <c r="H247" s="247" t="s">
        <v>241</v>
      </c>
      <c r="I247" s="247" t="s">
        <v>241</v>
      </c>
      <c r="J247" s="247" t="s">
        <v>241</v>
      </c>
      <c r="K247" s="247">
        <v>0.14499999999999999</v>
      </c>
      <c r="L247" s="249">
        <v>0.5</v>
      </c>
      <c r="M247" s="50" t="s">
        <v>239</v>
      </c>
    </row>
    <row r="248" spans="1:19" ht="5.0999999999999996" customHeight="1" outlineLevel="1" thickBot="1">
      <c r="C248" s="157"/>
      <c r="D248" s="157"/>
      <c r="E248" s="157"/>
      <c r="F248" s="83"/>
      <c r="G248" s="83"/>
      <c r="H248" s="83"/>
      <c r="I248" s="83"/>
      <c r="J248" s="83"/>
      <c r="K248" s="83"/>
      <c r="L248" s="83"/>
    </row>
    <row r="250" spans="1:19" ht="19.5" customHeight="1">
      <c r="A250" s="82"/>
      <c r="B250" s="82"/>
      <c r="C250" s="121"/>
      <c r="D250" s="82"/>
      <c r="E250" s="82"/>
      <c r="F250" s="82"/>
      <c r="G250" s="82"/>
      <c r="H250" s="82"/>
      <c r="I250" s="82"/>
      <c r="J250" s="82"/>
      <c r="K250" s="82"/>
      <c r="L250" s="82"/>
      <c r="M250" s="82"/>
      <c r="N250" s="82"/>
      <c r="O250" s="82"/>
      <c r="P250" s="82"/>
      <c r="Q250" s="82"/>
      <c r="R250" s="82"/>
      <c r="S250" s="82"/>
    </row>
    <row r="251" spans="1:19" ht="5.0999999999999996" customHeight="1">
      <c r="A251" s="82"/>
      <c r="B251" s="82"/>
      <c r="C251" s="82"/>
      <c r="D251" s="82"/>
      <c r="E251" s="82"/>
      <c r="F251" s="82"/>
      <c r="G251" s="82"/>
      <c r="H251" s="82"/>
      <c r="I251" s="82"/>
      <c r="J251" s="82"/>
      <c r="K251" s="82"/>
      <c r="L251" s="82"/>
      <c r="M251" s="82"/>
      <c r="N251" s="82"/>
      <c r="O251" s="82"/>
      <c r="P251" s="82"/>
      <c r="Q251" s="82"/>
      <c r="R251" s="82"/>
      <c r="S251" s="82"/>
    </row>
    <row r="252" spans="1:19" ht="13.5" customHeight="1">
      <c r="A252" s="82"/>
      <c r="B252" s="82"/>
      <c r="C252" s="123"/>
      <c r="D252" s="82"/>
      <c r="E252" s="82"/>
      <c r="F252" s="82"/>
      <c r="G252" s="82"/>
      <c r="H252" s="82"/>
      <c r="I252" s="82"/>
      <c r="J252" s="82"/>
      <c r="K252" s="82"/>
      <c r="L252" s="82"/>
      <c r="M252" s="82"/>
      <c r="N252" s="82"/>
      <c r="O252" s="82"/>
      <c r="P252" s="82"/>
      <c r="Q252" s="82"/>
      <c r="R252" s="82"/>
      <c r="S252" s="82"/>
    </row>
    <row r="253" spans="1:19" ht="13.5" customHeight="1">
      <c r="A253" s="82"/>
      <c r="B253" s="82"/>
      <c r="C253" s="82"/>
      <c r="D253" s="82"/>
      <c r="E253" s="82"/>
      <c r="F253" s="124"/>
      <c r="G253" s="124"/>
      <c r="H253" s="82"/>
      <c r="I253" s="82"/>
      <c r="J253" s="82"/>
      <c r="K253" s="82"/>
      <c r="L253" s="82"/>
      <c r="M253" s="82"/>
      <c r="N253" s="82"/>
      <c r="O253" s="82"/>
      <c r="P253" s="82"/>
      <c r="Q253" s="82"/>
      <c r="R253" s="82"/>
      <c r="S253" s="82"/>
    </row>
    <row r="254" spans="1:19" ht="13.5" customHeight="1">
      <c r="A254" s="82"/>
      <c r="B254" s="82"/>
      <c r="C254" s="82"/>
      <c r="D254" s="82"/>
      <c r="E254" s="82"/>
      <c r="F254" s="124"/>
      <c r="G254" s="124"/>
      <c r="H254" s="82"/>
      <c r="I254" s="82"/>
      <c r="J254" s="82"/>
      <c r="K254" s="82"/>
      <c r="L254" s="82"/>
      <c r="M254" s="82"/>
      <c r="N254" s="82"/>
      <c r="O254" s="82"/>
      <c r="P254" s="82"/>
      <c r="Q254" s="82"/>
      <c r="R254" s="82"/>
      <c r="S254" s="82"/>
    </row>
    <row r="255" spans="1:19" ht="13.5" customHeight="1">
      <c r="A255" s="82"/>
      <c r="B255" s="82"/>
      <c r="C255" s="82"/>
      <c r="D255" s="82"/>
      <c r="E255" s="82"/>
      <c r="F255" s="124"/>
      <c r="G255" s="124"/>
      <c r="H255" s="82"/>
      <c r="I255" s="82"/>
      <c r="J255" s="82"/>
      <c r="K255" s="82"/>
      <c r="L255" s="82"/>
      <c r="M255" s="82"/>
      <c r="N255" s="82"/>
      <c r="O255" s="82"/>
      <c r="P255" s="82"/>
      <c r="Q255" s="82"/>
      <c r="R255" s="82"/>
      <c r="S255" s="82"/>
    </row>
    <row r="256" spans="1:19" ht="13.5" customHeight="1">
      <c r="A256" s="82"/>
      <c r="B256" s="82"/>
      <c r="C256" s="82"/>
      <c r="D256" s="82"/>
      <c r="E256" s="82"/>
      <c r="F256" s="124"/>
      <c r="G256" s="124"/>
      <c r="H256" s="82"/>
      <c r="I256" s="82"/>
      <c r="J256" s="82"/>
      <c r="K256" s="82"/>
      <c r="L256" s="82"/>
      <c r="M256" s="82"/>
      <c r="N256" s="82"/>
      <c r="O256" s="82"/>
      <c r="P256" s="82"/>
      <c r="Q256" s="82"/>
      <c r="R256" s="82"/>
      <c r="S256" s="82"/>
    </row>
    <row r="257" spans="1:19" ht="13.5" customHeight="1">
      <c r="A257" s="82"/>
      <c r="B257" s="82"/>
      <c r="C257" s="82"/>
      <c r="D257" s="82"/>
      <c r="E257" s="82"/>
      <c r="F257" s="82"/>
      <c r="G257" s="82"/>
      <c r="H257" s="82"/>
      <c r="I257" s="82"/>
      <c r="J257" s="82"/>
      <c r="K257" s="82"/>
      <c r="L257" s="82"/>
      <c r="M257" s="82"/>
      <c r="N257" s="82"/>
      <c r="O257" s="82"/>
      <c r="P257" s="82"/>
      <c r="Q257" s="82"/>
      <c r="R257" s="82"/>
      <c r="S257" s="82"/>
    </row>
    <row r="258" spans="1:19" ht="13.5" customHeight="1">
      <c r="A258" s="82"/>
      <c r="B258" s="82"/>
      <c r="C258" s="123"/>
      <c r="D258" s="82"/>
      <c r="E258" s="82"/>
      <c r="F258" s="82"/>
      <c r="G258" s="82"/>
      <c r="H258" s="82"/>
      <c r="I258" s="82"/>
      <c r="J258" s="82"/>
      <c r="K258" s="82"/>
      <c r="L258" s="82"/>
      <c r="M258" s="82"/>
      <c r="N258" s="82"/>
      <c r="O258" s="82"/>
      <c r="P258" s="82"/>
      <c r="Q258" s="82"/>
      <c r="R258" s="82"/>
      <c r="S258" s="82"/>
    </row>
    <row r="259" spans="1:19" ht="13.5" customHeight="1">
      <c r="A259" s="82"/>
      <c r="B259" s="82"/>
      <c r="C259" s="82"/>
      <c r="D259" s="82"/>
      <c r="E259" s="82"/>
      <c r="F259" s="124"/>
      <c r="G259" s="124"/>
      <c r="H259" s="82"/>
      <c r="I259" s="82"/>
      <c r="J259" s="82"/>
      <c r="K259" s="82"/>
      <c r="L259" s="82"/>
      <c r="M259" s="82"/>
      <c r="N259" s="82"/>
      <c r="O259" s="82"/>
      <c r="P259" s="82"/>
      <c r="Q259" s="82"/>
      <c r="R259" s="82"/>
      <c r="S259" s="82"/>
    </row>
    <row r="260" spans="1:19" ht="13.5" customHeight="1">
      <c r="A260" s="82"/>
      <c r="B260" s="82"/>
      <c r="C260" s="82"/>
      <c r="D260" s="82"/>
      <c r="E260" s="82"/>
      <c r="F260" s="124"/>
      <c r="G260" s="124"/>
      <c r="H260" s="82"/>
      <c r="I260" s="82"/>
      <c r="J260" s="82"/>
      <c r="K260" s="82"/>
      <c r="L260" s="82"/>
      <c r="M260" s="82"/>
      <c r="N260" s="82"/>
      <c r="O260" s="82"/>
      <c r="P260" s="82"/>
      <c r="Q260" s="82"/>
      <c r="R260" s="82"/>
      <c r="S260" s="82"/>
    </row>
    <row r="261" spans="1:19" ht="13.5" customHeight="1">
      <c r="A261" s="82"/>
      <c r="B261" s="82"/>
      <c r="C261" s="82"/>
      <c r="D261" s="82"/>
      <c r="E261" s="82"/>
      <c r="F261" s="124"/>
      <c r="G261" s="124"/>
      <c r="H261" s="82"/>
      <c r="I261" s="82"/>
      <c r="J261" s="82"/>
      <c r="K261" s="82"/>
      <c r="L261" s="82"/>
      <c r="M261" s="82"/>
      <c r="N261" s="82"/>
      <c r="O261" s="82"/>
      <c r="P261" s="82"/>
      <c r="Q261" s="82"/>
      <c r="R261" s="82"/>
      <c r="S261" s="82"/>
    </row>
    <row r="262" spans="1:19" ht="13.5" customHeight="1">
      <c r="A262" s="82"/>
      <c r="B262" s="82"/>
      <c r="C262" s="82"/>
      <c r="D262" s="82"/>
      <c r="E262" s="82"/>
      <c r="F262" s="124"/>
      <c r="G262" s="124"/>
      <c r="H262" s="82"/>
      <c r="I262" s="82"/>
      <c r="J262" s="82"/>
      <c r="K262" s="82"/>
      <c r="L262" s="82"/>
      <c r="M262" s="82"/>
      <c r="N262" s="82"/>
      <c r="O262" s="82"/>
      <c r="P262" s="82"/>
      <c r="Q262" s="82"/>
      <c r="R262" s="82"/>
      <c r="S262" s="82"/>
    </row>
    <row r="263" spans="1:19" ht="5.0999999999999996" customHeight="1">
      <c r="A263" s="82"/>
      <c r="B263" s="82"/>
      <c r="C263" s="82"/>
      <c r="D263" s="82"/>
      <c r="E263" s="82"/>
      <c r="F263" s="82"/>
      <c r="G263" s="82"/>
      <c r="H263" s="82"/>
      <c r="I263" s="82"/>
      <c r="J263" s="82"/>
      <c r="K263" s="82"/>
      <c r="L263" s="82"/>
      <c r="M263" s="82"/>
      <c r="N263" s="82"/>
      <c r="O263" s="82"/>
      <c r="P263" s="82"/>
      <c r="Q263" s="82"/>
      <c r="R263" s="82"/>
      <c r="S263" s="82"/>
    </row>
    <row r="264" spans="1:19" ht="13.5" customHeight="1">
      <c r="A264" s="82"/>
      <c r="B264" s="82"/>
      <c r="C264" s="82"/>
      <c r="D264" s="82"/>
      <c r="E264" s="82"/>
      <c r="F264" s="124"/>
      <c r="G264" s="124"/>
      <c r="H264" s="82"/>
      <c r="I264" s="82"/>
      <c r="J264" s="82"/>
      <c r="K264" s="82"/>
      <c r="L264" s="82"/>
      <c r="M264" s="82"/>
      <c r="N264" s="82"/>
      <c r="O264" s="82"/>
      <c r="P264" s="82"/>
      <c r="Q264" s="82"/>
      <c r="R264" s="82"/>
      <c r="S264" s="82"/>
    </row>
    <row r="265" spans="1:19" ht="13.5" customHeight="1">
      <c r="A265" s="82"/>
      <c r="B265" s="82"/>
      <c r="C265" s="82"/>
      <c r="D265" s="82"/>
      <c r="E265" s="82"/>
      <c r="F265" s="124"/>
      <c r="G265" s="124"/>
      <c r="H265" s="82"/>
      <c r="I265" s="82"/>
      <c r="J265" s="82"/>
      <c r="K265" s="82"/>
      <c r="L265" s="82"/>
      <c r="M265" s="82"/>
      <c r="N265" s="82"/>
      <c r="O265" s="82"/>
      <c r="P265" s="82"/>
      <c r="Q265" s="82"/>
      <c r="R265" s="82"/>
      <c r="S265" s="82"/>
    </row>
    <row r="266" spans="1:19" ht="13.5" customHeight="1">
      <c r="A266" s="82"/>
      <c r="B266" s="82"/>
      <c r="C266" s="82"/>
      <c r="D266" s="82"/>
      <c r="E266" s="82"/>
      <c r="F266" s="82"/>
      <c r="G266" s="82"/>
      <c r="H266" s="82"/>
      <c r="I266" s="82"/>
      <c r="J266" s="82"/>
      <c r="K266" s="82"/>
      <c r="L266" s="82"/>
      <c r="M266" s="82"/>
      <c r="N266" s="82"/>
      <c r="O266" s="82"/>
      <c r="P266" s="82"/>
      <c r="Q266" s="82"/>
      <c r="R266" s="82"/>
      <c r="S266" s="82"/>
    </row>
    <row r="267" spans="1:19" ht="13.5" customHeight="1">
      <c r="F267" s="124"/>
      <c r="G267" s="124"/>
    </row>
  </sheetData>
  <dataValidations count="1">
    <dataValidation type="whole" showInputMessage="1" showErrorMessage="1" errorTitle="Validation Error" error="Enter either 0 or 1." sqref="F244:F247" xr:uid="{E0BC97E1-F4FE-45B2-A36A-341CA20E6797}">
      <formula1>0</formula1>
      <formula2>1</formula2>
    </dataValidation>
  </dataValidations>
  <pageMargins left="0.25" right="0.25" top="0.75" bottom="0.75" header="0.3" footer="0.3"/>
  <pageSetup scale="47" orientation="landscape" r:id="rId1"/>
  <headerFooter alignWithMargins="0">
    <oddHeader>&amp;A</oddHeader>
    <oddFooter>Page &amp;P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7E58B-E7C2-4888-A568-D3F6C7EB793B}">
  <sheetPr>
    <outlinePr summaryBelow="0"/>
    <pageSetUpPr fitToPage="1"/>
  </sheetPr>
  <dimension ref="A1:S290"/>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243</v>
      </c>
      <c r="D3" s="34"/>
      <c r="E3" s="38"/>
      <c r="F3" s="38"/>
      <c r="G3" s="38"/>
      <c r="H3" s="34"/>
      <c r="I3" s="34"/>
      <c r="J3" s="34"/>
      <c r="K3" s="34"/>
      <c r="L3" s="34"/>
    </row>
    <row r="4" spans="2:14" ht="13.5" customHeight="1" outlineLevel="1">
      <c r="C4" s="37"/>
      <c r="D4" s="34"/>
      <c r="E4" s="38"/>
      <c r="F4" s="38"/>
      <c r="G4" s="38"/>
      <c r="H4" s="34"/>
      <c r="I4" s="34"/>
      <c r="J4" s="34"/>
      <c r="K4" s="34"/>
      <c r="L4" s="34"/>
      <c r="N4" s="195"/>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C60" s="88" t="s">
        <v>82</v>
      </c>
      <c r="F60" s="141">
        <f>'Financials from CIP'!D46/1000</f>
        <v>7.1056520000000001</v>
      </c>
      <c r="G60" s="141">
        <f>'Financials from CIP'!E46/1000</f>
        <v>2.9579920000000004</v>
      </c>
      <c r="H60" s="214">
        <f>G60+H119</f>
        <v>13.005932342237593</v>
      </c>
      <c r="I60" s="214">
        <f>H60+I119</f>
        <v>22.519730311941146</v>
      </c>
      <c r="J60" s="214">
        <f ca="1">I60+J119</f>
        <v>33.545552217020031</v>
      </c>
      <c r="K60" s="214">
        <f ca="1">J60+K119</f>
        <v>46.071928574382142</v>
      </c>
      <c r="L60" s="214">
        <f ca="1">K60+L119</f>
        <v>59.993804262544216</v>
      </c>
      <c r="M60" s="50"/>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7">I130</f>
        <v>27.695031965240773</v>
      </c>
      <c r="J61" s="149">
        <f t="shared" si="17"/>
        <v>31.111314829301037</v>
      </c>
      <c r="K61" s="149">
        <f t="shared" si="17"/>
        <v>34.015669157916122</v>
      </c>
      <c r="L61" s="149">
        <f t="shared" si="17"/>
        <v>36.170685445667161</v>
      </c>
      <c r="M61" s="50"/>
    </row>
    <row r="62" spans="1:13" ht="13.5" customHeight="1" outlineLevel="1">
      <c r="A62" s="82"/>
      <c r="C62" s="91" t="s">
        <v>31</v>
      </c>
      <c r="F62" s="96">
        <f>'Financials from CIP'!D49/1000</f>
        <v>0.80490099999999998</v>
      </c>
      <c r="G62" s="96">
        <f>'Financials from CIP'!E49/1000</f>
        <v>1.161057</v>
      </c>
      <c r="H62" s="149">
        <f t="shared" ref="H62:L63" si="18">H131</f>
        <v>1.2029011201180084</v>
      </c>
      <c r="I62" s="149">
        <f t="shared" si="18"/>
        <v>1.3873703794209342</v>
      </c>
      <c r="J62" s="149">
        <f t="shared" si="18"/>
        <v>1.558507558799139</v>
      </c>
      <c r="K62" s="149">
        <f t="shared" si="18"/>
        <v>1.7039999045715051</v>
      </c>
      <c r="L62" s="149">
        <f t="shared" si="18"/>
        <v>1.8119544925477122</v>
      </c>
      <c r="M62" s="50"/>
    </row>
    <row r="63" spans="1:13" ht="13.5" customHeight="1" outlineLevel="1">
      <c r="A63" s="82"/>
      <c r="C63" s="91" t="s">
        <v>84</v>
      </c>
      <c r="F63" s="96">
        <f>'Financials from CIP'!D50/1000</f>
        <v>0.26978399999999997</v>
      </c>
      <c r="G63" s="96">
        <f>'Financials from CIP'!E50/1000</f>
        <v>0.34491899999999998</v>
      </c>
      <c r="H63" s="149">
        <f t="shared" si="18"/>
        <v>0.3792215684283346</v>
      </c>
      <c r="I63" s="149">
        <f t="shared" si="18"/>
        <v>0.43737657441320382</v>
      </c>
      <c r="J63" s="149">
        <f t="shared" si="18"/>
        <v>0.49132856472628733</v>
      </c>
      <c r="K63" s="149">
        <f t="shared" si="18"/>
        <v>0.53719587221761422</v>
      </c>
      <c r="L63" s="149">
        <f t="shared" si="18"/>
        <v>0.57122918342390505</v>
      </c>
      <c r="M63" s="50"/>
    </row>
    <row r="64" spans="1:13" ht="13.5" customHeight="1" outlineLevel="1">
      <c r="A64" s="82"/>
      <c r="C64" s="76" t="s">
        <v>33</v>
      </c>
      <c r="D64" s="77"/>
      <c r="E64" s="77"/>
      <c r="F64" s="93">
        <f>SUM(F60:F63)</f>
        <v>24.961756000000005</v>
      </c>
      <c r="G64" s="93">
        <f>SUM(G60:G63)</f>
        <v>26.74869</v>
      </c>
      <c r="H64" s="93">
        <f t="shared" ref="H64:L64" si="19">SUM(H60:H63)</f>
        <v>38.600665842467151</v>
      </c>
      <c r="I64" s="93">
        <f t="shared" si="19"/>
        <v>52.039509231016062</v>
      </c>
      <c r="J64" s="93">
        <f t="shared" ca="1" si="19"/>
        <v>66.706703169846492</v>
      </c>
      <c r="K64" s="93">
        <f t="shared" ca="1" si="19"/>
        <v>82.328793509087376</v>
      </c>
      <c r="L64" s="93">
        <f t="shared" ca="1" si="19"/>
        <v>98.547673384183</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20">SUM(H64,H67:H69)</f>
        <v>95.331616888100726</v>
      </c>
      <c r="I70" s="102">
        <f t="shared" si="20"/>
        <v>105.41124477257277</v>
      </c>
      <c r="J70" s="102">
        <f t="shared" ca="1" si="20"/>
        <v>116.75237754196664</v>
      </c>
      <c r="K70" s="102">
        <f t="shared" ca="1" si="20"/>
        <v>128.99438515551395</v>
      </c>
      <c r="L70" s="102">
        <f t="shared" ca="1" si="20"/>
        <v>141.67433206604585</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1">I135</f>
        <v>3.7340173042871405</v>
      </c>
      <c r="J74" s="149">
        <f t="shared" si="21"/>
        <v>4.1946219118843056</v>
      </c>
      <c r="K74" s="149">
        <f t="shared" si="21"/>
        <v>4.5862051147649199</v>
      </c>
      <c r="L74" s="149">
        <f t="shared" si="21"/>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2">H136</f>
        <v>3.1966854452582232</v>
      </c>
      <c r="I75" s="149">
        <f t="shared" si="22"/>
        <v>3.6869087782063024</v>
      </c>
      <c r="J75" s="149">
        <f t="shared" si="22"/>
        <v>4.1417023778724023</v>
      </c>
      <c r="K75" s="149">
        <f t="shared" si="22"/>
        <v>4.5283453498910609</v>
      </c>
      <c r="L75" s="149">
        <f t="shared" si="22"/>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2"/>
        <v>3.2317636858846019</v>
      </c>
      <c r="I76" s="149">
        <f t="shared" si="22"/>
        <v>3.727366394541769</v>
      </c>
      <c r="J76" s="149">
        <f t="shared" si="22"/>
        <v>4.1871505882458564</v>
      </c>
      <c r="K76" s="149">
        <f t="shared" si="22"/>
        <v>4.5780363159066395</v>
      </c>
      <c r="L76" s="149">
        <f t="shared" si="22"/>
        <v>4.8680715576328382</v>
      </c>
      <c r="M76" s="50"/>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C78" s="91" t="s">
        <v>41</v>
      </c>
      <c r="D78" s="95"/>
      <c r="E78" s="95"/>
      <c r="F78" s="96">
        <f>'Financials from CIP'!D63/1000</f>
        <v>0.64588299999999998</v>
      </c>
      <c r="G78" s="96">
        <f>'Financials from CIP'!E63/1000</f>
        <v>1.2892999999999999</v>
      </c>
      <c r="H78" s="149">
        <f>H232</f>
        <v>1.2892999999999999</v>
      </c>
      <c r="I78" s="149">
        <f>I232</f>
        <v>1.2892999999999999</v>
      </c>
      <c r="J78" s="149">
        <f>J232</f>
        <v>1.2892999999999999</v>
      </c>
      <c r="K78" s="149">
        <f>K232</f>
        <v>1.2892999999999999</v>
      </c>
      <c r="L78" s="149">
        <f>L232</f>
        <v>1.2892999999999999</v>
      </c>
      <c r="M78" s="50"/>
    </row>
    <row r="79" spans="1:13" ht="13.5" customHeight="1" outlineLevel="1">
      <c r="C79" s="91" t="s">
        <v>42</v>
      </c>
      <c r="D79" s="95"/>
      <c r="E79" s="95"/>
      <c r="F79" s="96">
        <f>'Financials from CIP'!D64/1000</f>
        <v>18.943222000000002</v>
      </c>
      <c r="G79" s="96">
        <f>'Financials from CIP'!E64/1000</f>
        <v>12.001450999999999</v>
      </c>
      <c r="H79" s="149">
        <f>H241</f>
        <v>9.6011607999999988</v>
      </c>
      <c r="I79" s="149">
        <f>I241</f>
        <v>7.2008705999999982</v>
      </c>
      <c r="J79" s="149">
        <f>J241</f>
        <v>4.8005803999999976</v>
      </c>
      <c r="K79" s="149">
        <f>K241</f>
        <v>2.4002901999999975</v>
      </c>
      <c r="L79" s="149">
        <f>L241</f>
        <v>0</v>
      </c>
      <c r="M79" s="50"/>
    </row>
    <row r="80" spans="1:13" ht="13.5" customHeight="1" outlineLevel="1">
      <c r="C80" s="91" t="s">
        <v>90</v>
      </c>
      <c r="D80" s="95"/>
      <c r="E80" s="95"/>
      <c r="F80" s="96">
        <f>'Financials from CIP'!D65/1000</f>
        <v>0.54533299999999996</v>
      </c>
      <c r="G80" s="96">
        <f>'Financials from CIP'!E65/1000</f>
        <v>8.5337999999999997E-2</v>
      </c>
      <c r="H80" s="149">
        <f>H247</f>
        <v>6.8270399999999995E-2</v>
      </c>
      <c r="I80" s="149">
        <f>I247</f>
        <v>5.1202799999999993E-2</v>
      </c>
      <c r="J80" s="149">
        <f>J247</f>
        <v>3.4135199999999991E-2</v>
      </c>
      <c r="K80" s="149">
        <f>K247</f>
        <v>1.7067599999999992E-2</v>
      </c>
      <c r="L80" s="149">
        <f>L247</f>
        <v>0</v>
      </c>
      <c r="M80" s="50"/>
    </row>
    <row r="81" spans="1:13" ht="13.5" customHeight="1" outlineLevel="1">
      <c r="C81" s="91" t="s">
        <v>91</v>
      </c>
      <c r="D81" s="95"/>
      <c r="E81" s="95"/>
      <c r="F81" s="96">
        <f>'Financials from CIP'!D66/1000</f>
        <v>9.2447999999999989E-2</v>
      </c>
      <c r="G81" s="96">
        <f>'Financials from CIP'!E66/1000</f>
        <v>1.2666999999999999E-2</v>
      </c>
      <c r="H81" s="149">
        <f>H253</f>
        <v>1.203365E-2</v>
      </c>
      <c r="I81" s="149">
        <f>I253</f>
        <v>1.14003E-2</v>
      </c>
      <c r="J81" s="149">
        <f>J253</f>
        <v>1.0766950000000001E-2</v>
      </c>
      <c r="K81" s="149">
        <f>K253</f>
        <v>1.0133600000000001E-2</v>
      </c>
      <c r="L81" s="149">
        <f>L253</f>
        <v>0</v>
      </c>
      <c r="M81" s="50"/>
    </row>
    <row r="82" spans="1:13" ht="13.5" customHeight="1" outlineLevel="1">
      <c r="A82" s="82"/>
      <c r="C82" s="76" t="s">
        <v>92</v>
      </c>
      <c r="D82" s="77"/>
      <c r="E82" s="77"/>
      <c r="F82" s="93">
        <f>SUM(F78:F81)</f>
        <v>20.226886000000004</v>
      </c>
      <c r="G82" s="93">
        <f>SUM(G78:G81)</f>
        <v>13.388756000000001</v>
      </c>
      <c r="H82" s="93">
        <f t="shared" ref="H82:L82" si="24">SUM(H78:H81)</f>
        <v>10.970764849999998</v>
      </c>
      <c r="I82" s="93">
        <f t="shared" si="24"/>
        <v>8.5527736999999995</v>
      </c>
      <c r="J82" s="93">
        <f t="shared" si="24"/>
        <v>6.1347825499999971</v>
      </c>
      <c r="K82" s="93">
        <f t="shared" si="24"/>
        <v>3.7167913999999973</v>
      </c>
      <c r="L82" s="93">
        <f t="shared" si="24"/>
        <v>1.2892999999999999</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5">SUM(H77,H82:H83)</f>
        <v>21.066632250270935</v>
      </c>
      <c r="I84" s="93">
        <f t="shared" si="25"/>
        <v>20.130954177035211</v>
      </c>
      <c r="J84" s="93">
        <f t="shared" si="25"/>
        <v>19.088145428002559</v>
      </c>
      <c r="K84" s="93">
        <f t="shared" si="25"/>
        <v>17.839266180562618</v>
      </c>
      <c r="L84" s="93">
        <f t="shared" si="25"/>
        <v>16.27924992551916</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6">SUM(H84:H86)</f>
        <v>92.913625233908917</v>
      </c>
      <c r="I87" s="105">
        <f t="shared" si="26"/>
        <v>100.57526196838094</v>
      </c>
      <c r="J87" s="105">
        <f t="shared" ca="1" si="26"/>
        <v>109.49840358777482</v>
      </c>
      <c r="K87" s="105">
        <f t="shared" ca="1" si="26"/>
        <v>119.32242005132214</v>
      </c>
      <c r="L87" s="105">
        <f t="shared" ca="1" si="26"/>
        <v>129.57487556185401</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si="27"/>
        <v>-2.4179916541918089</v>
      </c>
      <c r="I89" s="178">
        <f t="shared" si="27"/>
        <v>-4.8359828041918291</v>
      </c>
      <c r="J89" s="178">
        <f t="shared" ca="1" si="27"/>
        <v>-7.2539739541918209</v>
      </c>
      <c r="K89" s="178">
        <f t="shared" ca="1" si="27"/>
        <v>-9.6719651041918127</v>
      </c>
      <c r="L89" s="178">
        <f t="shared" ca="1" si="27"/>
        <v>-12.099456504191835</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B93" s="46" t="s">
        <v>61</v>
      </c>
      <c r="C93" s="47" t="s">
        <v>178</v>
      </c>
      <c r="D93" s="48"/>
      <c r="E93" s="49"/>
      <c r="F93" s="49"/>
      <c r="G93" s="49"/>
      <c r="H93" s="49"/>
      <c r="I93" s="49"/>
      <c r="J93" s="49"/>
      <c r="K93" s="49"/>
      <c r="L93" s="49"/>
    </row>
    <row r="94" spans="1:13" ht="5.0999999999999996" customHeight="1" outlineLevel="1">
      <c r="C94" s="51"/>
      <c r="D94" s="52"/>
    </row>
    <row r="95" spans="1:13" ht="13.5" customHeight="1" outlineLevel="1">
      <c r="C95" s="53"/>
      <c r="D95" s="53"/>
      <c r="E95" s="53"/>
      <c r="F95" s="54" t="s">
        <v>63</v>
      </c>
      <c r="G95" s="54" t="s">
        <v>63</v>
      </c>
      <c r="H95" s="55" t="s">
        <v>64</v>
      </c>
      <c r="I95" s="55"/>
      <c r="J95" s="55"/>
      <c r="K95" s="55"/>
      <c r="L95" s="55"/>
    </row>
    <row r="96" spans="1:13" ht="13.5" customHeight="1" outlineLevel="1" thickBot="1">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C97" s="59"/>
      <c r="D97" s="59"/>
      <c r="E97" s="59"/>
      <c r="F97" s="60"/>
      <c r="G97" s="60"/>
      <c r="H97" s="60"/>
      <c r="I97" s="60"/>
      <c r="J97" s="60"/>
      <c r="K97" s="60"/>
    </row>
    <row r="98" spans="1:13" ht="13.5" customHeight="1" outlineLevel="1">
      <c r="C98" s="84" t="s">
        <v>179</v>
      </c>
      <c r="D98" s="85"/>
      <c r="E98" s="86"/>
      <c r="F98" s="86"/>
      <c r="G98" s="86"/>
      <c r="H98" s="86"/>
      <c r="I98" s="86"/>
      <c r="J98" s="86"/>
      <c r="K98" s="86"/>
      <c r="L98" s="87"/>
      <c r="M98" s="50"/>
    </row>
    <row r="99" spans="1:13" ht="13.5" customHeight="1" outlineLevel="1">
      <c r="C99" s="118"/>
      <c r="D99" s="118"/>
      <c r="E99" s="118"/>
    </row>
    <row r="100" spans="1:13" ht="13.5" customHeight="1" outlineLevel="1">
      <c r="C100" s="68" t="s">
        <v>22</v>
      </c>
      <c r="D100" s="68"/>
      <c r="E100" s="68"/>
      <c r="F100" s="68"/>
      <c r="G100" s="147"/>
      <c r="H100" s="149">
        <f>H33</f>
        <v>7.078372487829796</v>
      </c>
      <c r="I100" s="149">
        <f>I33</f>
        <v>8.5973148077077592</v>
      </c>
      <c r="J100" s="149">
        <f ca="1">J33</f>
        <v>9.965950368426526</v>
      </c>
      <c r="K100" s="149">
        <f ca="1">K33</f>
        <v>11.072895710987275</v>
      </c>
      <c r="L100" s="149">
        <f ca="1">L33</f>
        <v>11.812471765575342</v>
      </c>
      <c r="M100" s="50"/>
    </row>
    <row r="101" spans="1:13" ht="13.5" customHeight="1" outlineLevel="1">
      <c r="C101" s="91" t="s">
        <v>15</v>
      </c>
      <c r="D101" s="68"/>
      <c r="E101" s="68"/>
      <c r="F101" s="68"/>
      <c r="G101" s="154"/>
      <c r="H101" s="149">
        <f>H20</f>
        <v>5.829392560625954</v>
      </c>
      <c r="I101" s="149">
        <f>I20</f>
        <v>6.1302957891314076</v>
      </c>
      <c r="J101" s="149">
        <f ca="1">J20</f>
        <v>6.4683165246530567</v>
      </c>
      <c r="K101" s="149">
        <f ca="1">K20</f>
        <v>6.8378927245374452</v>
      </c>
      <c r="L101" s="149">
        <f ca="1">L20</f>
        <v>7.2308829200900817</v>
      </c>
      <c r="M101" s="50"/>
    </row>
    <row r="102" spans="1:13" ht="13.5" customHeight="1" outlineLevel="1">
      <c r="C102" s="91" t="s">
        <v>183</v>
      </c>
      <c r="D102" s="68"/>
      <c r="E102" s="68"/>
      <c r="F102" s="68"/>
      <c r="G102" s="154"/>
      <c r="H102" s="149">
        <f>H21</f>
        <v>0.237952</v>
      </c>
      <c r="I102" s="149">
        <f t="shared" ref="I102:L102" si="29">I21</f>
        <v>0.237952</v>
      </c>
      <c r="J102" s="149">
        <f t="shared" si="29"/>
        <v>0.237952</v>
      </c>
      <c r="K102" s="149">
        <f t="shared" si="29"/>
        <v>0.237952</v>
      </c>
      <c r="L102" s="149">
        <f t="shared" si="29"/>
        <v>0.237952</v>
      </c>
      <c r="M102" s="50"/>
    </row>
    <row r="103" spans="1:13" ht="13.5" customHeight="1" outlineLevel="1">
      <c r="C103" s="65" t="s">
        <v>185</v>
      </c>
      <c r="D103" s="65"/>
      <c r="E103" s="65"/>
      <c r="F103" s="65"/>
      <c r="G103" s="197"/>
      <c r="H103" s="198">
        <f>SUM(H100:H102)</f>
        <v>13.145717048455751</v>
      </c>
      <c r="I103" s="198">
        <f t="shared" ref="I103:L103" si="30">SUM(I100:I102)</f>
        <v>14.965562596839167</v>
      </c>
      <c r="J103" s="198">
        <f t="shared" ca="1" si="30"/>
        <v>16.672218893079581</v>
      </c>
      <c r="K103" s="198">
        <f t="shared" ca="1" si="30"/>
        <v>18.148740435524722</v>
      </c>
      <c r="L103" s="198">
        <f t="shared" ca="1" si="30"/>
        <v>19.281306685665424</v>
      </c>
      <c r="M103" s="50"/>
    </row>
    <row r="104" spans="1:13" ht="13.5" customHeight="1" outlineLevel="1">
      <c r="C104" s="91" t="s">
        <v>187</v>
      </c>
      <c r="D104" s="68"/>
      <c r="E104" s="68"/>
      <c r="F104" s="68"/>
      <c r="G104" s="154"/>
      <c r="H104" s="149">
        <f>-(H141)</f>
        <v>-0.48883509995862262</v>
      </c>
      <c r="I104" s="149">
        <f>-(I141)</f>
        <v>-2.442732342081074</v>
      </c>
      <c r="J104" s="149">
        <f>-(J141)</f>
        <v>-2.2661896327842008</v>
      </c>
      <c r="K104" s="149">
        <f>-(K141)</f>
        <v>-1.9266020793187231</v>
      </c>
      <c r="L104" s="149">
        <f>-(L141)</f>
        <v>-1.4295290419769913</v>
      </c>
      <c r="M104" s="50"/>
    </row>
    <row r="105" spans="1:13" ht="13.5" customHeight="1" outlineLevel="1">
      <c r="C105" s="180" t="s">
        <v>189</v>
      </c>
      <c r="D105" s="180"/>
      <c r="E105" s="180"/>
      <c r="F105" s="180"/>
      <c r="G105" s="199"/>
      <c r="H105" s="200">
        <f>+SUM(H103:H104)</f>
        <v>12.656881948497128</v>
      </c>
      <c r="I105" s="200">
        <f t="shared" ref="I105:L105" si="31">+SUM(I103:I104)</f>
        <v>12.522830254758093</v>
      </c>
      <c r="J105" s="200">
        <f t="shared" ca="1" si="31"/>
        <v>14.40602926029538</v>
      </c>
      <c r="K105" s="200">
        <f t="shared" ca="1" si="31"/>
        <v>16.222138356205999</v>
      </c>
      <c r="L105" s="200">
        <f t="shared" ca="1" si="31"/>
        <v>17.851777643688433</v>
      </c>
      <c r="M105" s="50"/>
    </row>
    <row r="106" spans="1:13" ht="13.5" customHeight="1" outlineLevel="1">
      <c r="C106" s="68"/>
      <c r="D106" s="68"/>
      <c r="E106" s="68"/>
      <c r="F106" s="68"/>
      <c r="G106" s="154"/>
      <c r="H106" s="154"/>
      <c r="I106" s="154"/>
      <c r="J106" s="154"/>
      <c r="K106" s="154"/>
      <c r="L106" s="154"/>
    </row>
    <row r="107" spans="1:13" ht="13.5" customHeight="1" outlineLevel="1">
      <c r="C107" s="84" t="s">
        <v>190</v>
      </c>
      <c r="D107" s="85"/>
      <c r="E107" s="86"/>
      <c r="F107" s="86"/>
      <c r="G107" s="86"/>
      <c r="H107" s="201"/>
      <c r="I107" s="201"/>
      <c r="J107" s="201"/>
      <c r="K107" s="201"/>
      <c r="L107" s="202"/>
    </row>
    <row r="108" spans="1:13" ht="13.5" customHeight="1" outlineLevel="1">
      <c r="C108" s="118"/>
      <c r="D108" s="118"/>
      <c r="E108" s="118"/>
      <c r="H108" s="68"/>
      <c r="I108" s="68"/>
      <c r="J108" s="68"/>
      <c r="K108" s="68"/>
      <c r="L108" s="68"/>
    </row>
    <row r="109" spans="1:13" ht="13.5" customHeight="1" outlineLevel="1">
      <c r="C109" s="39" t="s">
        <v>191</v>
      </c>
      <c r="D109" s="68"/>
      <c r="E109" s="68"/>
      <c r="F109" s="68"/>
      <c r="G109" s="147"/>
      <c r="H109" s="215">
        <f>-H36</f>
        <v>-2.6089416062595356</v>
      </c>
      <c r="I109" s="215">
        <f>-I36</f>
        <v>-3.0090322850545372</v>
      </c>
      <c r="J109" s="215">
        <f>-J36</f>
        <v>-3.3802073552164953</v>
      </c>
      <c r="K109" s="215">
        <f>-K36</f>
        <v>-3.6957619988438841</v>
      </c>
      <c r="L109" s="215">
        <f>-L36</f>
        <v>-3.9299019555263603</v>
      </c>
      <c r="M109" s="50"/>
    </row>
    <row r="110" spans="1:13" ht="13.5" customHeight="1" outlineLevel="1">
      <c r="C110" s="68"/>
      <c r="D110" s="68"/>
      <c r="E110" s="68"/>
      <c r="F110" s="68"/>
      <c r="G110" s="154"/>
      <c r="H110" s="154"/>
      <c r="I110" s="154"/>
      <c r="J110" s="154"/>
      <c r="K110" s="154"/>
      <c r="L110" s="154"/>
    </row>
    <row r="111" spans="1:13" ht="13.5" customHeight="1" outlineLevel="1">
      <c r="A111" s="125"/>
      <c r="C111" s="84" t="s">
        <v>193</v>
      </c>
      <c r="D111" s="85"/>
      <c r="E111" s="86"/>
      <c r="F111" s="86"/>
      <c r="G111" s="86"/>
      <c r="H111" s="201"/>
      <c r="I111" s="201"/>
      <c r="J111" s="201"/>
      <c r="K111" s="201"/>
      <c r="L111" s="202"/>
    </row>
    <row r="112" spans="1:13" ht="13.5" customHeight="1" outlineLevel="1">
      <c r="A112" s="125"/>
      <c r="C112" s="118"/>
      <c r="D112" s="118"/>
      <c r="E112" s="118"/>
      <c r="H112" s="68"/>
      <c r="I112" s="68"/>
      <c r="J112" s="68"/>
      <c r="K112" s="68"/>
      <c r="L112" s="68"/>
    </row>
    <row r="113" spans="1:13" s="205" customFormat="1" ht="13.5" customHeight="1" outlineLevel="1">
      <c r="A113" s="204"/>
      <c r="C113" s="68" t="s">
        <v>41</v>
      </c>
      <c r="D113" s="118"/>
      <c r="E113" s="118"/>
      <c r="F113" s="29"/>
      <c r="G113" s="132"/>
      <c r="H113" s="129"/>
      <c r="I113" s="129"/>
      <c r="J113" s="129"/>
      <c r="K113" s="129"/>
      <c r="L113" s="129"/>
      <c r="M113" s="50" t="s">
        <v>244</v>
      </c>
    </row>
    <row r="114" spans="1:13" s="205" customFormat="1" ht="13.5" customHeight="1" outlineLevel="1">
      <c r="A114" s="204"/>
      <c r="C114" s="68" t="str">
        <f>+C79</f>
        <v>Term Loan A</v>
      </c>
      <c r="D114" s="118"/>
      <c r="E114" s="118"/>
      <c r="F114" s="29"/>
      <c r="G114" s="207"/>
      <c r="H114" s="129"/>
      <c r="I114" s="129"/>
      <c r="J114" s="129"/>
      <c r="K114" s="129"/>
      <c r="L114" s="129"/>
      <c r="M114" s="50" t="s">
        <v>245</v>
      </c>
    </row>
    <row r="115" spans="1:13" s="205" customFormat="1" ht="13.5" customHeight="1" outlineLevel="1">
      <c r="A115" s="204"/>
      <c r="C115" s="68" t="str">
        <f>+C80</f>
        <v>Subordinated - Note 1</v>
      </c>
      <c r="D115" s="118"/>
      <c r="E115" s="118"/>
      <c r="F115" s="29"/>
      <c r="G115" s="207"/>
      <c r="H115" s="129"/>
      <c r="I115" s="129"/>
      <c r="J115" s="129"/>
      <c r="K115" s="129"/>
      <c r="L115" s="129"/>
      <c r="M115" s="50" t="s">
        <v>246</v>
      </c>
    </row>
    <row r="116" spans="1:13" s="205" customFormat="1" ht="13.5" customHeight="1" outlineLevel="1">
      <c r="A116" s="204"/>
      <c r="C116" s="68" t="str">
        <f t="shared" ref="C116" si="32">+C81</f>
        <v>Subordinated - Note 2</v>
      </c>
      <c r="D116" s="118"/>
      <c r="E116" s="118"/>
      <c r="F116" s="29"/>
      <c r="G116" s="207"/>
      <c r="H116" s="129"/>
      <c r="I116" s="129"/>
      <c r="J116" s="129"/>
      <c r="K116" s="129"/>
      <c r="L116" s="129"/>
      <c r="M116" s="50" t="s">
        <v>246</v>
      </c>
    </row>
    <row r="117" spans="1:13" s="205" customFormat="1" ht="13.5" customHeight="1" outlineLevel="1">
      <c r="A117" s="204"/>
      <c r="C117" s="180" t="s">
        <v>194</v>
      </c>
      <c r="D117" s="180"/>
      <c r="E117" s="180"/>
      <c r="F117" s="180"/>
      <c r="G117" s="199"/>
      <c r="H117" s="200">
        <f>SUM(H113:H116)</f>
        <v>0</v>
      </c>
      <c r="I117" s="200">
        <f t="shared" ref="I117:L117" si="33">SUM(I113:I116)</f>
        <v>0</v>
      </c>
      <c r="J117" s="200">
        <f t="shared" si="33"/>
        <v>0</v>
      </c>
      <c r="K117" s="200">
        <f t="shared" si="33"/>
        <v>0</v>
      </c>
      <c r="L117" s="200">
        <f t="shared" si="33"/>
        <v>0</v>
      </c>
    </row>
    <row r="118" spans="1:13" s="205" customFormat="1" ht="13.5" customHeight="1" outlineLevel="1">
      <c r="C118" s="118"/>
      <c r="D118" s="118"/>
      <c r="E118" s="118"/>
      <c r="F118" s="29"/>
      <c r="G118" s="29"/>
      <c r="H118" s="68"/>
      <c r="I118" s="68"/>
      <c r="J118" s="68"/>
      <c r="K118" s="68"/>
      <c r="L118" s="68"/>
    </row>
    <row r="119" spans="1:13" s="205" customFormat="1" ht="13.5" customHeight="1" outlineLevel="1">
      <c r="C119" s="39" t="s">
        <v>195</v>
      </c>
      <c r="D119" s="118"/>
      <c r="E119" s="118"/>
      <c r="F119" s="30"/>
      <c r="G119" s="208"/>
      <c r="H119" s="215">
        <f>H117+H109+H105</f>
        <v>10.047940342237592</v>
      </c>
      <c r="I119" s="215">
        <f>I117+I109+I105</f>
        <v>9.5137979697035551</v>
      </c>
      <c r="J119" s="215">
        <f ca="1">J117+J109+J105</f>
        <v>11.025821905078885</v>
      </c>
      <c r="K119" s="215">
        <f ca="1">K117+K109+K105</f>
        <v>12.526376357362114</v>
      </c>
      <c r="L119" s="215">
        <f ca="1">L117+L109+L105</f>
        <v>13.921875688162071</v>
      </c>
      <c r="M119" s="50"/>
    </row>
    <row r="120" spans="1:13" s="205" customFormat="1" ht="5.0999999999999996" customHeight="1" outlineLevel="1" thickBot="1">
      <c r="C120" s="157"/>
      <c r="D120" s="157"/>
      <c r="E120" s="157"/>
      <c r="F120" s="83"/>
      <c r="G120" s="83"/>
      <c r="H120" s="83"/>
      <c r="I120" s="83"/>
      <c r="J120" s="83"/>
      <c r="K120" s="83"/>
      <c r="L120" s="83"/>
    </row>
    <row r="121" spans="1:13" s="205" customFormat="1" ht="13.5" customHeight="1" outlineLevel="1">
      <c r="C121" s="29"/>
      <c r="D121" s="29"/>
      <c r="E121" s="29"/>
      <c r="F121" s="29"/>
      <c r="G121" s="29"/>
      <c r="H121" s="29"/>
      <c r="I121" s="29"/>
      <c r="J121" s="29"/>
      <c r="K121" s="29"/>
      <c r="L121" s="29"/>
    </row>
    <row r="122" spans="1:13" ht="13.5" customHeight="1" outlineLevel="1" thickBot="1"/>
    <row r="123" spans="1:13" ht="21.75" thickTop="1">
      <c r="B123" s="46" t="s">
        <v>61</v>
      </c>
      <c r="C123" s="47" t="s">
        <v>148</v>
      </c>
      <c r="D123" s="48"/>
      <c r="E123" s="49"/>
      <c r="F123" s="49"/>
      <c r="G123" s="49"/>
      <c r="H123" s="49"/>
      <c r="I123" s="49"/>
      <c r="J123" s="49"/>
      <c r="K123" s="49"/>
      <c r="L123" s="49"/>
    </row>
    <row r="124" spans="1:13" ht="5.0999999999999996" customHeight="1" outlineLevel="1">
      <c r="C124" s="51"/>
      <c r="D124" s="52"/>
    </row>
    <row r="125" spans="1:13" ht="13.5" customHeight="1" outlineLevel="1">
      <c r="C125" s="53"/>
      <c r="D125" s="53"/>
      <c r="E125" s="53"/>
      <c r="F125" s="54" t="s">
        <v>63</v>
      </c>
      <c r="G125" s="54" t="s">
        <v>63</v>
      </c>
      <c r="H125" s="55" t="s">
        <v>64</v>
      </c>
      <c r="I125" s="55"/>
      <c r="J125" s="55"/>
      <c r="K125" s="55"/>
      <c r="L125" s="55"/>
    </row>
    <row r="126" spans="1:13" ht="13.5" customHeight="1" outlineLevel="1" thickBot="1">
      <c r="C126" s="56" t="s">
        <v>65</v>
      </c>
      <c r="D126" s="57"/>
      <c r="E126" s="57"/>
      <c r="F126" s="58">
        <f>F$11</f>
        <v>45291</v>
      </c>
      <c r="G126" s="58">
        <f>G$11</f>
        <v>45657</v>
      </c>
      <c r="H126" s="58">
        <f t="shared" ref="H126:L126" si="34">H$11</f>
        <v>46022</v>
      </c>
      <c r="I126" s="58">
        <f t="shared" si="34"/>
        <v>46387</v>
      </c>
      <c r="J126" s="58">
        <f t="shared" si="34"/>
        <v>46752</v>
      </c>
      <c r="K126" s="58">
        <f t="shared" si="34"/>
        <v>47118</v>
      </c>
      <c r="L126" s="58">
        <f t="shared" si="34"/>
        <v>47483</v>
      </c>
    </row>
    <row r="127" spans="1:13" ht="5.0999999999999996" customHeight="1" outlineLevel="1">
      <c r="C127" s="59"/>
      <c r="D127" s="59"/>
      <c r="E127" s="59"/>
      <c r="F127" s="60"/>
      <c r="G127" s="60"/>
      <c r="H127" s="60"/>
      <c r="I127" s="60"/>
      <c r="J127" s="60"/>
      <c r="K127" s="60"/>
    </row>
    <row r="128" spans="1: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5">F61</f>
        <v>16.781419000000003</v>
      </c>
      <c r="G130" s="177">
        <f t="shared" si="35"/>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5"/>
        <v>0.80490099999999998</v>
      </c>
      <c r="G131" s="177">
        <f t="shared" si="35"/>
        <v>1.161057</v>
      </c>
      <c r="H131" s="177">
        <f>(H146/365)*H150</f>
        <v>1.2029011201180084</v>
      </c>
      <c r="I131" s="177">
        <f t="shared" ref="I131:L131" si="36">(I146/365)*I150</f>
        <v>1.3873703794209342</v>
      </c>
      <c r="J131" s="177">
        <f t="shared" si="36"/>
        <v>1.558507558799139</v>
      </c>
      <c r="K131" s="177">
        <f t="shared" si="36"/>
        <v>1.7039999045715051</v>
      </c>
      <c r="L131" s="177">
        <f t="shared" si="36"/>
        <v>1.8119544925477122</v>
      </c>
      <c r="M131" s="50"/>
    </row>
    <row r="132" spans="3:13" ht="13.5" customHeight="1" outlineLevel="1">
      <c r="C132" s="91" t="str">
        <f>C63</f>
        <v>Prepaids and Other Current Assets</v>
      </c>
      <c r="D132" s="68"/>
      <c r="E132" s="68"/>
      <c r="F132" s="177">
        <f t="shared" si="35"/>
        <v>0.26978399999999997</v>
      </c>
      <c r="G132" s="177">
        <f t="shared" si="35"/>
        <v>0.34491899999999998</v>
      </c>
      <c r="H132" s="177">
        <f>H151*H147</f>
        <v>0.3792215684283346</v>
      </c>
      <c r="I132" s="177">
        <f t="shared" ref="I132:L132" si="37">I151*I147</f>
        <v>0.43737657441320382</v>
      </c>
      <c r="J132" s="177">
        <f t="shared" si="37"/>
        <v>0.49132856472628733</v>
      </c>
      <c r="K132" s="177">
        <f t="shared" si="37"/>
        <v>0.53719587221761422</v>
      </c>
      <c r="L132" s="177">
        <f t="shared" si="37"/>
        <v>0.57122918342390505</v>
      </c>
      <c r="M132" s="50"/>
    </row>
    <row r="133" spans="3:13" ht="13.5" customHeight="1" outlineLevel="1">
      <c r="C133" s="65" t="s">
        <v>152</v>
      </c>
      <c r="D133" s="65"/>
      <c r="E133" s="65"/>
      <c r="F133" s="179">
        <f t="shared" ref="F133:L133" si="38">SUM(F130:F132)</f>
        <v>17.856104000000006</v>
      </c>
      <c r="G133" s="179">
        <f t="shared" si="38"/>
        <v>23.790697999999999</v>
      </c>
      <c r="H133" s="179">
        <f t="shared" si="38"/>
        <v>25.594733500229559</v>
      </c>
      <c r="I133" s="179">
        <f t="shared" si="38"/>
        <v>29.519778919074909</v>
      </c>
      <c r="J133" s="179">
        <f t="shared" si="38"/>
        <v>33.161150952826461</v>
      </c>
      <c r="K133" s="179">
        <f t="shared" si="38"/>
        <v>36.256864934705241</v>
      </c>
      <c r="L133" s="179">
        <f t="shared" si="38"/>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39">F74</f>
        <v>2.8058170000000002</v>
      </c>
      <c r="G135" s="177">
        <f t="shared" si="39"/>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39"/>
        <v>2.3839329999999999</v>
      </c>
      <c r="G136" s="177">
        <f t="shared" si="39"/>
        <v>2.7880379999999998</v>
      </c>
      <c r="H136" s="177">
        <f>H154*H147</f>
        <v>3.1966854452582232</v>
      </c>
      <c r="I136" s="177">
        <f t="shared" ref="I136:L136" si="40">I154*I147</f>
        <v>3.6869087782063024</v>
      </c>
      <c r="J136" s="177">
        <f t="shared" si="40"/>
        <v>4.1417023778724023</v>
      </c>
      <c r="K136" s="177">
        <f t="shared" si="40"/>
        <v>4.5283453498910609</v>
      </c>
      <c r="L136" s="177">
        <f t="shared" si="40"/>
        <v>4.8152324882940372</v>
      </c>
      <c r="M136" s="50"/>
    </row>
    <row r="137" spans="3:13" ht="13.5" customHeight="1" outlineLevel="1">
      <c r="C137" s="91" t="str">
        <f>C76</f>
        <v>Accrued Expenses &amp; Other</v>
      </c>
      <c r="D137" s="68"/>
      <c r="E137" s="68"/>
      <c r="F137" s="177">
        <f t="shared" si="39"/>
        <v>2.0579079999999998</v>
      </c>
      <c r="G137" s="177">
        <f t="shared" si="39"/>
        <v>3.2020309999999998</v>
      </c>
      <c r="H137" s="177">
        <f>H155*H147</f>
        <v>3.2317636858846019</v>
      </c>
      <c r="I137" s="177">
        <f t="shared" ref="I137:L137" si="41">I155*I147</f>
        <v>3.727366394541769</v>
      </c>
      <c r="J137" s="177">
        <f t="shared" si="41"/>
        <v>4.1871505882458564</v>
      </c>
      <c r="K137" s="177">
        <f t="shared" si="41"/>
        <v>4.5780363159066395</v>
      </c>
      <c r="L137" s="177">
        <f t="shared" si="41"/>
        <v>4.8680715576328382</v>
      </c>
      <c r="M137" s="50"/>
    </row>
    <row r="138" spans="3:13" ht="13.5" customHeight="1" outlineLevel="1">
      <c r="C138" s="65" t="s">
        <v>156</v>
      </c>
      <c r="D138" s="65"/>
      <c r="E138" s="65"/>
      <c r="F138" s="179">
        <f t="shared" ref="F138:L138" si="42">SUM(F135:F137)</f>
        <v>7.2476579999999995</v>
      </c>
      <c r="G138" s="179">
        <f t="shared" si="42"/>
        <v>8.3507789999999993</v>
      </c>
      <c r="H138" s="179">
        <f t="shared" si="42"/>
        <v>9.6659794002709365</v>
      </c>
      <c r="I138" s="179">
        <f t="shared" si="42"/>
        <v>11.148292477035213</v>
      </c>
      <c r="J138" s="179">
        <f t="shared" si="42"/>
        <v>12.523474878002563</v>
      </c>
      <c r="K138" s="179">
        <f t="shared" si="42"/>
        <v>13.692586780562621</v>
      </c>
      <c r="L138" s="179">
        <f t="shared" si="42"/>
        <v>14.560061925519163</v>
      </c>
    </row>
    <row r="139" spans="3:13" ht="13.5" customHeight="1" outlineLevel="1">
      <c r="C139" s="180" t="s">
        <v>157</v>
      </c>
      <c r="D139" s="180"/>
      <c r="E139" s="180"/>
      <c r="F139" s="181">
        <f t="shared" ref="F139:L139" si="43">F133-F138</f>
        <v>10.608446000000006</v>
      </c>
      <c r="G139" s="181">
        <f t="shared" si="43"/>
        <v>15.439919</v>
      </c>
      <c r="H139" s="181">
        <f t="shared" si="43"/>
        <v>15.928754099958622</v>
      </c>
      <c r="I139" s="181">
        <f t="shared" si="43"/>
        <v>18.371486442039696</v>
      </c>
      <c r="J139" s="181">
        <f t="shared" si="43"/>
        <v>20.637676074823897</v>
      </c>
      <c r="K139" s="181">
        <f t="shared" si="43"/>
        <v>22.56427815414262</v>
      </c>
      <c r="L139" s="181">
        <f t="shared" si="43"/>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4">G139-F139</f>
        <v>4.8314729999999937</v>
      </c>
      <c r="H141" s="182">
        <f t="shared" si="44"/>
        <v>0.48883509995862262</v>
      </c>
      <c r="I141" s="182">
        <f t="shared" si="44"/>
        <v>2.442732342081074</v>
      </c>
      <c r="J141" s="182">
        <f t="shared" si="44"/>
        <v>2.2661896327842008</v>
      </c>
      <c r="K141" s="182">
        <f t="shared" si="44"/>
        <v>1.9266020793187231</v>
      </c>
      <c r="L141" s="182">
        <f t="shared" si="44"/>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5">F13</f>
        <v>78.565675999999996</v>
      </c>
      <c r="G145" s="209">
        <f t="shared" si="45"/>
        <v>90.614007999999998</v>
      </c>
      <c r="H145" s="209">
        <f t="shared" si="45"/>
        <v>104.5099955077592</v>
      </c>
      <c r="I145" s="209">
        <f t="shared" si="45"/>
        <v>120.53698321160066</v>
      </c>
      <c r="J145" s="209">
        <f t="shared" si="45"/>
        <v>135.4056582414087</v>
      </c>
      <c r="K145" s="209">
        <f t="shared" si="45"/>
        <v>148.04626863637753</v>
      </c>
      <c r="L145" s="209">
        <f t="shared" si="45"/>
        <v>157.42553790111026</v>
      </c>
      <c r="M145" s="50"/>
    </row>
    <row r="146" spans="1:19" ht="13.5" customHeight="1" outlineLevel="1">
      <c r="C146" s="68" t="s">
        <v>66</v>
      </c>
      <c r="D146" s="68"/>
      <c r="E146" s="68"/>
      <c r="F146" s="177">
        <f t="shared" si="45"/>
        <v>51.562188999999996</v>
      </c>
      <c r="G146" s="177">
        <f t="shared" si="45"/>
        <v>61.618676000000001</v>
      </c>
      <c r="H146" s="177">
        <f t="shared" si="45"/>
        <v>69.828708282059708</v>
      </c>
      <c r="I146" s="177">
        <f t="shared" si="45"/>
        <v>80.537194523728473</v>
      </c>
      <c r="J146" s="177">
        <f t="shared" si="45"/>
        <v>90.471750220079329</v>
      </c>
      <c r="K146" s="177">
        <f t="shared" si="45"/>
        <v>98.917616966977391</v>
      </c>
      <c r="L146" s="177">
        <f t="shared" si="45"/>
        <v>105.18440756632523</v>
      </c>
      <c r="M146" s="50"/>
    </row>
    <row r="147" spans="1:19" ht="13.5" customHeight="1" outlineLevel="1">
      <c r="C147" s="68" t="s">
        <v>69</v>
      </c>
      <c r="D147" s="68"/>
      <c r="E147" s="68"/>
      <c r="F147" s="177">
        <f t="shared" ref="F147:L147" si="46">F17</f>
        <v>14.179914999999999</v>
      </c>
      <c r="G147" s="177">
        <f t="shared" si="46"/>
        <v>15.4366889395</v>
      </c>
      <c r="H147" s="177">
        <f t="shared" si="46"/>
        <v>18.333216581804578</v>
      </c>
      <c r="I147" s="177">
        <f t="shared" si="46"/>
        <v>21.144681985672378</v>
      </c>
      <c r="J147" s="177">
        <f t="shared" si="46"/>
        <v>23.752955369300096</v>
      </c>
      <c r="K147" s="177">
        <f t="shared" si="46"/>
        <v>25.970380094765407</v>
      </c>
      <c r="L147" s="177">
        <f t="shared" si="46"/>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47">I149</f>
        <v>83.863776892169696</v>
      </c>
      <c r="K149" s="211">
        <f t="shared" si="47"/>
        <v>83.863776892169696</v>
      </c>
      <c r="L149" s="211">
        <f t="shared" si="47"/>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48">I151</f>
        <v>2.0684944550576352E-2</v>
      </c>
      <c r="K151" s="139">
        <f t="shared" si="48"/>
        <v>2.0684944550576352E-2</v>
      </c>
      <c r="L151" s="139">
        <f t="shared" si="48"/>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49">H153</f>
        <v>16.922818383787302</v>
      </c>
      <c r="J153" s="211">
        <f t="shared" si="49"/>
        <v>16.922818383787302</v>
      </c>
      <c r="K153" s="211">
        <f t="shared" si="49"/>
        <v>16.922818383787302</v>
      </c>
      <c r="L153" s="211">
        <f t="shared" si="49"/>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49"/>
        <v>0.17436577105792128</v>
      </c>
      <c r="K154" s="139">
        <f t="shared" si="49"/>
        <v>0.17436577105792128</v>
      </c>
      <c r="L154" s="139">
        <f t="shared" si="49"/>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49"/>
        <v>0.1762791418223944</v>
      </c>
      <c r="K155" s="139">
        <f t="shared" si="49"/>
        <v>0.1762791418223944</v>
      </c>
      <c r="L155" s="139">
        <f t="shared" si="49"/>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7'!F13</f>
        <v>0</v>
      </c>
      <c r="G162" s="122">
        <f>'Financials from CIP'!E13/1000-'Step 7'!G13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7'!F15</f>
        <v>0</v>
      </c>
      <c r="G163" s="122">
        <f>'Financials from CIP'!E19/1000-'Step 7'!G15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7'!F18</f>
        <v>0</v>
      </c>
      <c r="G164" s="122">
        <f>'Financials from CIP'!E36/1000-'Step 7'!G18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7'!F33</f>
        <v>0</v>
      </c>
      <c r="G165" s="122">
        <f>'Financials from CIP'!E34/1000-'Step 7'!G33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7'!F60</f>
        <v>0</v>
      </c>
      <c r="G168" s="122">
        <f>'Financials from CIP'!E46/1000-'Step 7'!G60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7'!F64</f>
        <v>0</v>
      </c>
      <c r="G169" s="122">
        <f>'Financials from CIP'!E51/1000-'Step 7'!G64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7'!F70</f>
        <v>0</v>
      </c>
      <c r="G170" s="122">
        <f>'Financials from CIP'!E56/1000-'Step 7'!G70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7'!F77</f>
        <v>0</v>
      </c>
      <c r="G171" s="122">
        <f>'Financials from CIP'!E61/1000-'Step 7'!G77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7'!F84</f>
        <v>0</v>
      </c>
      <c r="G172" s="122">
        <f>'Financials from CIP'!E69/1000-'Step 7'!G84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7'!F85:F86)</f>
        <v>0</v>
      </c>
      <c r="G173" s="122">
        <f>'Financials from CIP'!E73/1000-SUM('Step 7'!G85:G86)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50">H$11</f>
        <v>46022</v>
      </c>
      <c r="I185" s="58">
        <f t="shared" si="50"/>
        <v>46387</v>
      </c>
      <c r="J185" s="58">
        <f t="shared" si="50"/>
        <v>46752</v>
      </c>
      <c r="K185" s="58">
        <f t="shared" si="50"/>
        <v>47118</v>
      </c>
      <c r="L185" s="58">
        <f t="shared" si="50"/>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1">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1"/>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1"/>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1"/>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1"/>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1"/>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2">-SUM(I187:I193)</f>
        <v>6.1302957891314076</v>
      </c>
      <c r="J194" s="156">
        <f t="shared" ca="1" si="52"/>
        <v>6.4683165246530567</v>
      </c>
      <c r="K194" s="156">
        <f t="shared" ca="1" si="52"/>
        <v>6.8378927245374452</v>
      </c>
      <c r="L194" s="156">
        <f t="shared" ca="1" si="52"/>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thickBot="1">
      <c r="A197" s="82"/>
      <c r="B197" s="82"/>
      <c r="C197" s="121"/>
      <c r="D197" s="82"/>
      <c r="E197" s="82"/>
      <c r="F197" s="82"/>
      <c r="G197" s="82"/>
      <c r="H197" s="82"/>
      <c r="I197" s="82"/>
      <c r="J197" s="82"/>
      <c r="K197" s="82"/>
      <c r="L197" s="82"/>
      <c r="M197" s="82"/>
      <c r="N197" s="82"/>
      <c r="O197" s="82"/>
      <c r="P197" s="82"/>
      <c r="Q197" s="82"/>
      <c r="R197" s="82"/>
      <c r="S197" s="82"/>
    </row>
    <row r="198" spans="1:19" ht="19.5" customHeight="1" outlineLevel="1" thickTop="1">
      <c r="A198" s="125"/>
      <c r="B198" s="46" t="s">
        <v>61</v>
      </c>
      <c r="C198" s="47" t="s">
        <v>199</v>
      </c>
      <c r="D198" s="48"/>
      <c r="E198" s="49"/>
      <c r="F198" s="49"/>
      <c r="G198" s="49"/>
      <c r="H198" s="49"/>
      <c r="I198" s="49"/>
      <c r="J198" s="49"/>
      <c r="K198" s="49"/>
      <c r="L198" s="49"/>
      <c r="M198" s="50" t="s">
        <v>200</v>
      </c>
    </row>
    <row r="199" spans="1:19" ht="5.0999999999999996" customHeight="1" outlineLevel="1">
      <c r="A199" s="125"/>
      <c r="M199" s="50"/>
    </row>
    <row r="200" spans="1:19" ht="13.5" customHeight="1" outlineLevel="1">
      <c r="A200" s="125"/>
      <c r="C200" s="53"/>
      <c r="D200" s="53"/>
      <c r="E200" s="53"/>
      <c r="F200" s="54" t="s">
        <v>63</v>
      </c>
      <c r="G200" s="54" t="s">
        <v>63</v>
      </c>
      <c r="H200" s="55" t="s">
        <v>64</v>
      </c>
      <c r="I200" s="55"/>
      <c r="J200" s="55"/>
      <c r="K200" s="55"/>
      <c r="L200" s="55"/>
    </row>
    <row r="201" spans="1:19" ht="13.5" customHeight="1" outlineLevel="1" thickBot="1">
      <c r="A201" s="125"/>
      <c r="C201" s="56" t="s">
        <v>65</v>
      </c>
      <c r="D201" s="57"/>
      <c r="E201" s="57"/>
      <c r="F201" s="58">
        <f>F$11</f>
        <v>45291</v>
      </c>
      <c r="G201" s="58">
        <f>G$11</f>
        <v>45657</v>
      </c>
      <c r="H201" s="58">
        <f t="shared" ref="H201:L201" si="53">H$11</f>
        <v>46022</v>
      </c>
      <c r="I201" s="58">
        <f t="shared" si="53"/>
        <v>46387</v>
      </c>
      <c r="J201" s="58">
        <f t="shared" si="53"/>
        <v>46752</v>
      </c>
      <c r="K201" s="58">
        <f t="shared" si="53"/>
        <v>47118</v>
      </c>
      <c r="L201" s="58">
        <f t="shared" si="53"/>
        <v>47483</v>
      </c>
    </row>
    <row r="202" spans="1:19" ht="5.0999999999999996" customHeight="1" outlineLevel="1">
      <c r="A202" s="125"/>
      <c r="M202" s="50"/>
    </row>
    <row r="203" spans="1:19" ht="13.5" customHeight="1" outlineLevel="1">
      <c r="A203" s="125"/>
      <c r="C203" s="68" t="s">
        <v>247</v>
      </c>
      <c r="D203" s="68"/>
      <c r="E203" s="68"/>
      <c r="F203" s="68"/>
      <c r="G203" s="132"/>
      <c r="H203" s="221"/>
      <c r="I203" s="221"/>
      <c r="J203" s="221"/>
      <c r="K203" s="221"/>
      <c r="L203" s="221"/>
      <c r="M203" s="50" t="s">
        <v>248</v>
      </c>
    </row>
    <row r="204" spans="1:19" ht="13.5" customHeight="1" outlineLevel="1">
      <c r="A204" s="125"/>
      <c r="C204" s="68" t="s">
        <v>249</v>
      </c>
      <c r="D204" s="68"/>
      <c r="E204" s="68"/>
      <c r="F204" s="68"/>
      <c r="G204" s="250"/>
      <c r="H204" s="130"/>
      <c r="I204" s="130"/>
      <c r="J204" s="130"/>
      <c r="K204" s="130"/>
      <c r="L204" s="130"/>
      <c r="M204" s="50" t="s">
        <v>250</v>
      </c>
    </row>
    <row r="205" spans="1:19" ht="13.5" customHeight="1" outlineLevel="1">
      <c r="A205" s="125"/>
      <c r="C205" s="65" t="s">
        <v>251</v>
      </c>
      <c r="D205" s="65"/>
      <c r="E205" s="65"/>
      <c r="F205" s="65"/>
      <c r="G205" s="197"/>
      <c r="H205" s="251"/>
      <c r="I205" s="251"/>
      <c r="J205" s="251"/>
      <c r="K205" s="251"/>
      <c r="L205" s="251"/>
      <c r="M205" s="50" t="s">
        <v>252</v>
      </c>
    </row>
    <row r="206" spans="1:19" ht="13.5" customHeight="1" outlineLevel="1">
      <c r="A206" s="125"/>
      <c r="C206" s="68" t="s">
        <v>253</v>
      </c>
      <c r="D206" s="68"/>
      <c r="E206" s="68"/>
      <c r="F206" s="68"/>
      <c r="G206" s="250"/>
      <c r="H206" s="129"/>
      <c r="I206" s="129"/>
      <c r="J206" s="129"/>
      <c r="K206" s="129"/>
      <c r="L206" s="129"/>
      <c r="M206" s="50" t="s">
        <v>254</v>
      </c>
    </row>
    <row r="207" spans="1:19" ht="13.5" customHeight="1" outlineLevel="1">
      <c r="A207" s="125"/>
      <c r="C207" s="70" t="s">
        <v>255</v>
      </c>
      <c r="D207" s="70"/>
      <c r="E207" s="70"/>
      <c r="F207" s="70"/>
      <c r="G207" s="252"/>
      <c r="H207" s="253"/>
      <c r="I207" s="253"/>
      <c r="J207" s="253"/>
      <c r="K207" s="253"/>
      <c r="L207" s="253"/>
      <c r="M207" s="50" t="s">
        <v>256</v>
      </c>
    </row>
    <row r="208" spans="1:19" ht="5.0999999999999996" customHeight="1" outlineLevel="1">
      <c r="A208" s="125"/>
      <c r="C208" s="68"/>
      <c r="D208" s="68"/>
      <c r="E208" s="68"/>
      <c r="F208" s="68"/>
      <c r="G208" s="154"/>
      <c r="H208" s="151"/>
      <c r="I208" s="151"/>
      <c r="J208" s="151"/>
      <c r="K208" s="151"/>
      <c r="L208" s="151"/>
    </row>
    <row r="209" spans="1:13" ht="13.5" customHeight="1" outlineLevel="1">
      <c r="A209" s="125"/>
      <c r="C209" s="72" t="s">
        <v>257</v>
      </c>
      <c r="D209" s="68"/>
      <c r="E209" s="68"/>
      <c r="F209" s="68"/>
      <c r="G209" s="154"/>
      <c r="H209" s="151"/>
      <c r="I209" s="151"/>
      <c r="J209" s="151"/>
      <c r="K209" s="151"/>
      <c r="L209" s="151"/>
    </row>
    <row r="210" spans="1:13" ht="13.5" customHeight="1" outlineLevel="1">
      <c r="A210" s="125"/>
      <c r="C210" s="91" t="str">
        <f>+C237</f>
        <v>Term Loan A</v>
      </c>
      <c r="D210" s="118"/>
      <c r="E210" s="118"/>
      <c r="G210" s="250"/>
      <c r="H210" s="129"/>
      <c r="I210" s="129"/>
      <c r="J210" s="129"/>
      <c r="K210" s="129"/>
      <c r="L210" s="129"/>
      <c r="M210" s="50" t="s">
        <v>258</v>
      </c>
    </row>
    <row r="211" spans="1:13" ht="13.5" customHeight="1" outlineLevel="1">
      <c r="A211" s="125"/>
      <c r="C211" s="91" t="str">
        <f>+C243</f>
        <v>Subordinated - Note 1</v>
      </c>
      <c r="D211" s="118"/>
      <c r="E211" s="118"/>
      <c r="G211" s="250"/>
      <c r="H211" s="129"/>
      <c r="I211" s="129"/>
      <c r="J211" s="129"/>
      <c r="K211" s="129"/>
      <c r="L211" s="129"/>
      <c r="M211" s="50" t="s">
        <v>259</v>
      </c>
    </row>
    <row r="212" spans="1:13" ht="13.5" customHeight="1" outlineLevel="1">
      <c r="A212" s="125"/>
      <c r="C212" s="91" t="str">
        <f>+C249</f>
        <v>Subordinated - Note 2</v>
      </c>
      <c r="D212" s="118"/>
      <c r="E212" s="118"/>
      <c r="G212" s="250"/>
      <c r="H212" s="129"/>
      <c r="I212" s="129"/>
      <c r="J212" s="129"/>
      <c r="K212" s="129"/>
      <c r="L212" s="129"/>
      <c r="M212" s="50" t="s">
        <v>260</v>
      </c>
    </row>
    <row r="213" spans="1:13" ht="13.5" customHeight="1" outlineLevel="1">
      <c r="A213" s="125"/>
      <c r="C213" s="65" t="s">
        <v>261</v>
      </c>
      <c r="D213" s="65"/>
      <c r="E213" s="65"/>
      <c r="F213" s="65"/>
      <c r="G213" s="197"/>
      <c r="H213" s="251"/>
      <c r="I213" s="251"/>
      <c r="J213" s="251"/>
      <c r="K213" s="251"/>
      <c r="L213" s="251"/>
      <c r="M213" s="50" t="s">
        <v>262</v>
      </c>
    </row>
    <row r="214" spans="1:13" ht="13.5" customHeight="1" outlineLevel="1">
      <c r="A214" s="125"/>
      <c r="C214" s="180" t="s">
        <v>263</v>
      </c>
      <c r="D214" s="180"/>
      <c r="E214" s="180"/>
      <c r="F214" s="180"/>
      <c r="G214" s="199"/>
      <c r="H214" s="254"/>
      <c r="I214" s="254"/>
      <c r="J214" s="254"/>
      <c r="K214" s="254"/>
      <c r="L214" s="254"/>
      <c r="M214" s="50" t="s">
        <v>264</v>
      </c>
    </row>
    <row r="215" spans="1:13" ht="13.5" customHeight="1" outlineLevel="1">
      <c r="A215" s="125"/>
      <c r="C215" s="59"/>
      <c r="D215" s="59"/>
      <c r="E215" s="59"/>
      <c r="F215" s="60"/>
      <c r="G215" s="60"/>
      <c r="H215" s="255"/>
      <c r="I215" s="255"/>
      <c r="J215" s="255"/>
      <c r="K215" s="255"/>
      <c r="L215" s="256"/>
    </row>
    <row r="216" spans="1:13" ht="13.5" customHeight="1" outlineLevel="1">
      <c r="A216" s="125"/>
      <c r="C216" s="68" t="s">
        <v>265</v>
      </c>
      <c r="D216" s="59"/>
      <c r="E216" s="59"/>
      <c r="F216" s="60"/>
      <c r="G216" s="60"/>
      <c r="H216" s="129"/>
      <c r="I216" s="129"/>
      <c r="J216" s="129"/>
      <c r="K216" s="129"/>
      <c r="L216" s="129"/>
      <c r="M216" s="50" t="s">
        <v>266</v>
      </c>
    </row>
    <row r="217" spans="1:13" ht="13.5" customHeight="1" outlineLevel="1">
      <c r="A217" s="125"/>
      <c r="C217" s="59"/>
      <c r="D217" s="59"/>
      <c r="E217" s="59"/>
      <c r="F217" s="60"/>
      <c r="G217" s="60"/>
      <c r="H217" s="129"/>
      <c r="I217" s="129"/>
      <c r="J217" s="129"/>
      <c r="K217" s="129"/>
      <c r="L217" s="129"/>
    </row>
    <row r="218" spans="1:13" ht="13.5" customHeight="1" outlineLevel="1">
      <c r="A218" s="125"/>
      <c r="C218" s="72" t="s">
        <v>267</v>
      </c>
      <c r="D218" s="68"/>
      <c r="E218" s="68"/>
      <c r="F218" s="68"/>
      <c r="G218" s="147"/>
      <c r="H218" s="129"/>
      <c r="I218" s="129"/>
      <c r="J218" s="129"/>
      <c r="K218" s="129"/>
      <c r="L218" s="129"/>
    </row>
    <row r="219" spans="1:13" ht="13.5" customHeight="1" outlineLevel="1">
      <c r="A219" s="125"/>
      <c r="C219" s="68" t="s">
        <v>268</v>
      </c>
      <c r="D219" s="68"/>
      <c r="E219" s="68"/>
      <c r="F219" s="68"/>
      <c r="G219" s="132"/>
      <c r="H219" s="129"/>
      <c r="I219" s="129"/>
      <c r="J219" s="129"/>
      <c r="K219" s="129"/>
      <c r="L219" s="129"/>
      <c r="M219" s="50" t="s">
        <v>269</v>
      </c>
    </row>
    <row r="220" spans="1:13" ht="13.5" customHeight="1" outlineLevel="1">
      <c r="A220" s="125"/>
      <c r="C220" s="68" t="str">
        <f>+C210</f>
        <v>Term Loan A</v>
      </c>
      <c r="D220" s="68"/>
      <c r="E220" s="68"/>
      <c r="F220" s="68"/>
      <c r="G220" s="154"/>
      <c r="H220" s="129"/>
      <c r="I220" s="129"/>
      <c r="J220" s="129"/>
      <c r="K220" s="129"/>
      <c r="L220" s="129"/>
      <c r="M220" s="50" t="s">
        <v>270</v>
      </c>
    </row>
    <row r="221" spans="1:13" ht="13.5" customHeight="1" outlineLevel="1">
      <c r="A221" s="125"/>
      <c r="C221" s="68" t="str">
        <f>+C211</f>
        <v>Subordinated - Note 1</v>
      </c>
      <c r="D221" s="68"/>
      <c r="E221" s="68"/>
      <c r="F221" s="68"/>
      <c r="G221" s="154"/>
      <c r="H221" s="129"/>
      <c r="I221" s="129"/>
      <c r="J221" s="129"/>
      <c r="K221" s="129"/>
      <c r="L221" s="129"/>
      <c r="M221" s="50" t="s">
        <v>271</v>
      </c>
    </row>
    <row r="222" spans="1:13" ht="13.5" customHeight="1" outlineLevel="1">
      <c r="A222" s="125"/>
      <c r="C222" s="68" t="str">
        <f>+C212</f>
        <v>Subordinated - Note 2</v>
      </c>
      <c r="D222" s="68"/>
      <c r="E222" s="68"/>
      <c r="F222" s="68"/>
      <c r="G222" s="154"/>
      <c r="H222" s="129"/>
      <c r="I222" s="129"/>
      <c r="J222" s="129"/>
      <c r="K222" s="129"/>
      <c r="L222" s="129"/>
      <c r="M222" s="50" t="s">
        <v>272</v>
      </c>
    </row>
    <row r="223" spans="1:13" ht="13.5" customHeight="1" outlineLevel="1">
      <c r="A223" s="125"/>
      <c r="C223" s="65" t="s">
        <v>273</v>
      </c>
      <c r="D223" s="65"/>
      <c r="E223" s="65"/>
      <c r="F223" s="65"/>
      <c r="G223" s="257"/>
      <c r="H223" s="251"/>
      <c r="I223" s="251"/>
      <c r="J223" s="251"/>
      <c r="K223" s="251"/>
      <c r="L223" s="251"/>
      <c r="M223" s="50" t="s">
        <v>274</v>
      </c>
    </row>
    <row r="224" spans="1:13" ht="13.5" customHeight="1" outlineLevel="1">
      <c r="A224" s="125"/>
      <c r="C224" s="258"/>
      <c r="D224" s="53"/>
      <c r="E224" s="53"/>
      <c r="F224" s="259"/>
      <c r="G224" s="259"/>
      <c r="H224" s="259"/>
      <c r="I224" s="259"/>
      <c r="J224" s="259"/>
      <c r="K224" s="259"/>
      <c r="L224" s="259"/>
    </row>
    <row r="225" spans="1:13" ht="5.0999999999999996" customHeight="1" outlineLevel="1">
      <c r="A225" s="125"/>
      <c r="C225" s="59"/>
      <c r="D225" s="59"/>
      <c r="E225" s="59"/>
      <c r="F225" s="60"/>
      <c r="G225" s="60"/>
      <c r="H225" s="60"/>
      <c r="I225" s="60"/>
      <c r="J225" s="60"/>
      <c r="K225" s="60"/>
    </row>
    <row r="226" spans="1:13" ht="13.5" customHeight="1" outlineLevel="1">
      <c r="A226" s="125"/>
      <c r="C226" s="84" t="s">
        <v>201</v>
      </c>
      <c r="D226" s="85"/>
      <c r="E226" s="86"/>
      <c r="F226" s="86"/>
      <c r="G226" s="86"/>
      <c r="H226" s="86"/>
      <c r="I226" s="86"/>
      <c r="J226" s="86"/>
      <c r="K226" s="86"/>
      <c r="L226" s="87"/>
    </row>
    <row r="227" spans="1:13" ht="13.5" customHeight="1" outlineLevel="1">
      <c r="A227" s="125"/>
      <c r="M227" s="30"/>
    </row>
    <row r="228" spans="1:13" ht="13.5" customHeight="1" outlineLevel="1">
      <c r="A228" s="125"/>
      <c r="C228" s="216" t="str">
        <f>+C113</f>
        <v>Revolver</v>
      </c>
      <c r="D228" s="217"/>
      <c r="E228" s="217"/>
      <c r="F228" s="218"/>
      <c r="G228" s="219"/>
      <c r="H228" s="220"/>
      <c r="I228" s="220"/>
      <c r="J228" s="220"/>
      <c r="K228" s="220"/>
      <c r="L228" s="220"/>
    </row>
    <row r="229" spans="1:13" ht="13.5" customHeight="1" outlineLevel="1">
      <c r="A229" s="125"/>
      <c r="C229" s="98" t="s">
        <v>202</v>
      </c>
      <c r="D229" s="118"/>
      <c r="E229" s="118"/>
      <c r="G229" s="149"/>
      <c r="H229" s="152">
        <f>G232</f>
        <v>1.2892999999999999</v>
      </c>
      <c r="I229" s="152">
        <f>H232</f>
        <v>1.2892999999999999</v>
      </c>
      <c r="J229" s="152">
        <f>I232</f>
        <v>1.2892999999999999</v>
      </c>
      <c r="K229" s="152">
        <f>J232</f>
        <v>1.2892999999999999</v>
      </c>
      <c r="L229" s="152">
        <f>K232</f>
        <v>1.2892999999999999</v>
      </c>
      <c r="M229" s="50"/>
    </row>
    <row r="230" spans="1:13" ht="13.5" customHeight="1" outlineLevel="1">
      <c r="A230" s="125"/>
      <c r="C230" s="91" t="s">
        <v>204</v>
      </c>
      <c r="D230" s="118"/>
      <c r="E230" s="118"/>
      <c r="G230" s="149"/>
      <c r="H230" s="129"/>
      <c r="I230" s="129"/>
      <c r="J230" s="129"/>
      <c r="K230" s="129"/>
      <c r="L230" s="129"/>
      <c r="M230" s="50" t="s">
        <v>275</v>
      </c>
    </row>
    <row r="231" spans="1:13" ht="13.5" customHeight="1" outlineLevel="1">
      <c r="A231" s="125"/>
      <c r="C231" s="91" t="s">
        <v>206</v>
      </c>
      <c r="D231" s="118"/>
      <c r="E231" s="118"/>
      <c r="G231" s="149"/>
      <c r="H231" s="129"/>
      <c r="I231" s="129"/>
      <c r="J231" s="129"/>
      <c r="K231" s="129"/>
      <c r="L231" s="129"/>
      <c r="M231" s="50" t="s">
        <v>276</v>
      </c>
    </row>
    <row r="232" spans="1:13" ht="13.5" customHeight="1" outlineLevel="1">
      <c r="A232" s="125"/>
      <c r="C232" s="65" t="s">
        <v>207</v>
      </c>
      <c r="D232" s="65"/>
      <c r="E232" s="65"/>
      <c r="F232" s="65"/>
      <c r="G232" s="260">
        <f>G78</f>
        <v>1.2892999999999999</v>
      </c>
      <c r="H232" s="260">
        <f>SUM(H229:H231)</f>
        <v>1.2892999999999999</v>
      </c>
      <c r="I232" s="260">
        <f>SUM(I229:I231)</f>
        <v>1.2892999999999999</v>
      </c>
      <c r="J232" s="260">
        <f>SUM(J229:J231)</f>
        <v>1.2892999999999999</v>
      </c>
      <c r="K232" s="260">
        <f>SUM(K229:K231)</f>
        <v>1.2892999999999999</v>
      </c>
      <c r="L232" s="260">
        <f>SUM(L229:L231)</f>
        <v>1.2892999999999999</v>
      </c>
      <c r="M232" s="50"/>
    </row>
    <row r="233" spans="1:13" ht="13.5" customHeight="1" outlineLevel="1">
      <c r="A233" s="125"/>
      <c r="C233" s="68"/>
      <c r="D233" s="68"/>
      <c r="E233" s="68"/>
      <c r="F233" s="68"/>
      <c r="G233" s="147"/>
      <c r="H233" s="154"/>
      <c r="I233" s="68"/>
      <c r="J233" s="68"/>
      <c r="K233" s="68"/>
      <c r="L233" s="68"/>
    </row>
    <row r="234" spans="1:13" ht="13.5" customHeight="1" outlineLevel="1">
      <c r="A234" s="125"/>
      <c r="C234" s="68" t="s">
        <v>209</v>
      </c>
      <c r="D234" s="68"/>
      <c r="E234" s="68"/>
      <c r="F234" s="68"/>
      <c r="G234" s="159">
        <v>30</v>
      </c>
      <c r="H234" s="159">
        <v>30</v>
      </c>
      <c r="I234" s="159">
        <v>30</v>
      </c>
      <c r="J234" s="159">
        <v>30</v>
      </c>
      <c r="K234" s="159">
        <v>30</v>
      </c>
      <c r="L234" s="159">
        <v>30</v>
      </c>
      <c r="M234" s="50"/>
    </row>
    <row r="235" spans="1:13" ht="13.5" customHeight="1" outlineLevel="1">
      <c r="A235" s="125"/>
      <c r="C235" s="98" t="s">
        <v>211</v>
      </c>
      <c r="D235" s="223"/>
      <c r="E235" s="223"/>
      <c r="F235" s="223"/>
      <c r="G235" s="177">
        <f t="shared" ref="G235:L235" si="54">G234-G232</f>
        <v>28.710699999999999</v>
      </c>
      <c r="H235" s="177">
        <f t="shared" si="54"/>
        <v>28.710699999999999</v>
      </c>
      <c r="I235" s="177">
        <f t="shared" si="54"/>
        <v>28.710699999999999</v>
      </c>
      <c r="J235" s="177">
        <f t="shared" si="54"/>
        <v>28.710699999999999</v>
      </c>
      <c r="K235" s="177">
        <f t="shared" si="54"/>
        <v>28.710699999999999</v>
      </c>
      <c r="L235" s="177">
        <f t="shared" si="54"/>
        <v>28.710699999999999</v>
      </c>
      <c r="M235" s="50"/>
    </row>
    <row r="236" spans="1:13" ht="13.5" customHeight="1" outlineLevel="1">
      <c r="A236" s="125"/>
      <c r="C236" s="68"/>
      <c r="G236" s="68"/>
      <c r="H236" s="68"/>
      <c r="I236" s="68"/>
      <c r="J236" s="68"/>
      <c r="K236" s="68"/>
      <c r="L236" s="68"/>
    </row>
    <row r="237" spans="1:13" ht="13.5" customHeight="1" outlineLevel="1">
      <c r="A237" s="125"/>
      <c r="C237" s="216" t="str">
        <f>+C114</f>
        <v>Term Loan A</v>
      </c>
      <c r="D237" s="217"/>
      <c r="E237" s="217"/>
      <c r="F237" s="218"/>
      <c r="G237" s="219"/>
      <c r="H237" s="224"/>
      <c r="I237" s="224"/>
      <c r="J237" s="225"/>
      <c r="K237" s="225"/>
      <c r="L237" s="225"/>
    </row>
    <row r="238" spans="1:13" ht="13.5" customHeight="1" outlineLevel="1">
      <c r="A238" s="125"/>
      <c r="C238" s="98" t="s">
        <v>202</v>
      </c>
      <c r="D238" s="118"/>
      <c r="E238" s="118"/>
      <c r="G238" s="149"/>
      <c r="H238" s="152">
        <f>G241</f>
        <v>12.001450999999999</v>
      </c>
      <c r="I238" s="152">
        <f>H241</f>
        <v>9.6011607999999988</v>
      </c>
      <c r="J238" s="152">
        <f>I241</f>
        <v>7.2008705999999982</v>
      </c>
      <c r="K238" s="152">
        <f>J241</f>
        <v>4.8005803999999976</v>
      </c>
      <c r="L238" s="152">
        <f>K241</f>
        <v>2.4002901999999975</v>
      </c>
      <c r="M238" s="50"/>
    </row>
    <row r="239" spans="1:13" ht="13.5" customHeight="1" outlineLevel="1">
      <c r="A239" s="125"/>
      <c r="C239" s="91" t="s">
        <v>214</v>
      </c>
      <c r="D239" s="118"/>
      <c r="E239" s="118"/>
      <c r="G239" s="149"/>
      <c r="H239" s="177">
        <f>-MIN(($G241*H258),H238)</f>
        <v>-2.4002902000000002</v>
      </c>
      <c r="I239" s="177">
        <f>-MIN(($G241*I258),I238)</f>
        <v>-2.4002902000000002</v>
      </c>
      <c r="J239" s="177">
        <f>-MIN(($G241*J258),J238)</f>
        <v>-2.4002902000000002</v>
      </c>
      <c r="K239" s="177">
        <f>-MIN(($G241*K258),K238)</f>
        <v>-2.4002902000000002</v>
      </c>
      <c r="L239" s="177">
        <f>-MIN(($G241*L258),L238)</f>
        <v>-2.4002901999999975</v>
      </c>
      <c r="M239" s="50"/>
    </row>
    <row r="240" spans="1:13" ht="13.5" customHeight="1" outlineLevel="1">
      <c r="A240" s="125"/>
      <c r="C240" s="91" t="s">
        <v>216</v>
      </c>
      <c r="D240" s="118"/>
      <c r="E240" s="118"/>
      <c r="G240" s="149"/>
      <c r="H240" s="165"/>
      <c r="I240" s="165"/>
      <c r="J240" s="165"/>
      <c r="K240" s="165"/>
      <c r="L240" s="165"/>
      <c r="M240" s="50" t="s">
        <v>277</v>
      </c>
    </row>
    <row r="241" spans="1:13" ht="13.5" customHeight="1" outlineLevel="1">
      <c r="A241" s="125"/>
      <c r="C241" s="65" t="s">
        <v>207</v>
      </c>
      <c r="D241" s="65"/>
      <c r="E241" s="65"/>
      <c r="F241" s="65"/>
      <c r="G241" s="260">
        <f>G79</f>
        <v>12.001450999999999</v>
      </c>
      <c r="H241" s="261">
        <f>SUM(H238:H240)</f>
        <v>9.6011607999999988</v>
      </c>
      <c r="I241" s="261">
        <f>SUM(I238:I240)</f>
        <v>7.2008705999999982</v>
      </c>
      <c r="J241" s="261">
        <f>SUM(J238:J240)</f>
        <v>4.8005803999999976</v>
      </c>
      <c r="K241" s="261">
        <f>SUM(K238:K240)</f>
        <v>2.4002901999999975</v>
      </c>
      <c r="L241" s="261">
        <f>SUM(L238:L240)</f>
        <v>0</v>
      </c>
      <c r="M241" s="50"/>
    </row>
    <row r="242" spans="1:13" ht="13.5" customHeight="1" outlineLevel="1">
      <c r="A242" s="125"/>
      <c r="C242" s="68"/>
      <c r="G242" s="68"/>
      <c r="H242" s="68"/>
      <c r="I242" s="68"/>
      <c r="J242" s="68"/>
      <c r="K242" s="68"/>
      <c r="L242" s="68"/>
    </row>
    <row r="243" spans="1:13" ht="13.5" customHeight="1" outlineLevel="1">
      <c r="A243" s="125"/>
      <c r="C243" s="216" t="str">
        <f>+C115</f>
        <v>Subordinated - Note 1</v>
      </c>
      <c r="D243" s="217"/>
      <c r="E243" s="217"/>
      <c r="F243" s="218"/>
      <c r="G243" s="219"/>
      <c r="H243" s="224"/>
      <c r="I243" s="224"/>
      <c r="J243" s="225"/>
      <c r="K243" s="225"/>
      <c r="L243" s="225"/>
    </row>
    <row r="244" spans="1:13" ht="13.5" customHeight="1" outlineLevel="1">
      <c r="A244" s="125"/>
      <c r="C244" s="98" t="s">
        <v>202</v>
      </c>
      <c r="D244" s="118"/>
      <c r="E244" s="118"/>
      <c r="G244" s="228"/>
      <c r="H244" s="228">
        <f>G247</f>
        <v>8.5337999999999997E-2</v>
      </c>
      <c r="I244" s="228">
        <f>H247</f>
        <v>6.8270399999999995E-2</v>
      </c>
      <c r="J244" s="228">
        <f>I247</f>
        <v>5.1202799999999993E-2</v>
      </c>
      <c r="K244" s="228">
        <f>J247</f>
        <v>3.4135199999999991E-2</v>
      </c>
      <c r="L244" s="228">
        <f>K247</f>
        <v>1.7067599999999992E-2</v>
      </c>
      <c r="M244" s="50"/>
    </row>
    <row r="245" spans="1:13" ht="13.5" customHeight="1" outlineLevel="1">
      <c r="A245" s="125"/>
      <c r="C245" s="91" t="s">
        <v>214</v>
      </c>
      <c r="D245" s="118"/>
      <c r="E245" s="118"/>
      <c r="G245" s="154"/>
      <c r="H245" s="177">
        <f>-MIN(H244,(H259*$G247))</f>
        <v>-1.7067599999999999E-2</v>
      </c>
      <c r="I245" s="177">
        <f>-MIN(I244,(I259*$G247))</f>
        <v>-1.7067599999999999E-2</v>
      </c>
      <c r="J245" s="177">
        <f>-MIN(J244,(J259*$G247))</f>
        <v>-1.7067599999999999E-2</v>
      </c>
      <c r="K245" s="177">
        <f>-MIN(K244,(K259*$G247))</f>
        <v>-1.7067599999999999E-2</v>
      </c>
      <c r="L245" s="177">
        <f>-MIN(L244,(L259*$G247))</f>
        <v>-1.7067599999999992E-2</v>
      </c>
      <c r="M245" s="50"/>
    </row>
    <row r="246" spans="1:13" ht="13.5" customHeight="1" outlineLevel="1">
      <c r="A246" s="125"/>
      <c r="C246" s="91" t="s">
        <v>216</v>
      </c>
      <c r="D246" s="118"/>
      <c r="E246" s="118"/>
      <c r="G246" s="154"/>
      <c r="H246" s="165"/>
      <c r="I246" s="165"/>
      <c r="J246" s="165"/>
      <c r="K246" s="165"/>
      <c r="L246" s="165"/>
      <c r="M246" s="50" t="s">
        <v>278</v>
      </c>
    </row>
    <row r="247" spans="1:13" ht="13.5" customHeight="1" outlineLevel="1">
      <c r="A247" s="125"/>
      <c r="C247" s="65" t="s">
        <v>207</v>
      </c>
      <c r="D247" s="65"/>
      <c r="E247" s="65"/>
      <c r="F247" s="65"/>
      <c r="G247" s="257">
        <f>G80</f>
        <v>8.5337999999999997E-2</v>
      </c>
      <c r="H247" s="262">
        <f>SUM(H244:H246)</f>
        <v>6.8270399999999995E-2</v>
      </c>
      <c r="I247" s="262">
        <f>SUM(I244:I246)</f>
        <v>5.1202799999999993E-2</v>
      </c>
      <c r="J247" s="262">
        <f>SUM(J244:J246)</f>
        <v>3.4135199999999991E-2</v>
      </c>
      <c r="K247" s="262">
        <f>SUM(K244:K246)</f>
        <v>1.7067599999999992E-2</v>
      </c>
      <c r="L247" s="262">
        <f>SUM(L244:L246)</f>
        <v>0</v>
      </c>
      <c r="M247" s="50"/>
    </row>
    <row r="248" spans="1:13" ht="13.5" customHeight="1" outlineLevel="1">
      <c r="A248" s="125"/>
      <c r="C248" s="68"/>
      <c r="G248" s="68"/>
      <c r="H248" s="68"/>
      <c r="I248" s="68"/>
      <c r="J248" s="68"/>
      <c r="K248" s="68"/>
      <c r="L248" s="68"/>
    </row>
    <row r="249" spans="1:13" ht="13.5" customHeight="1" outlineLevel="1">
      <c r="A249" s="125"/>
      <c r="C249" s="216" t="str">
        <f>+C116</f>
        <v>Subordinated - Note 2</v>
      </c>
      <c r="D249" s="217"/>
      <c r="E249" s="217"/>
      <c r="F249" s="218"/>
      <c r="G249" s="219"/>
      <c r="H249" s="224"/>
      <c r="I249" s="224"/>
      <c r="J249" s="225"/>
      <c r="K249" s="225"/>
      <c r="L249" s="225"/>
    </row>
    <row r="250" spans="1:13" ht="13.5" customHeight="1" outlineLevel="1">
      <c r="A250" s="125"/>
      <c r="C250" s="98" t="s">
        <v>202</v>
      </c>
      <c r="D250" s="118"/>
      <c r="E250" s="118"/>
      <c r="G250" s="228"/>
      <c r="H250" s="228">
        <f>G253</f>
        <v>1.2666999999999999E-2</v>
      </c>
      <c r="I250" s="228">
        <f>H253</f>
        <v>1.203365E-2</v>
      </c>
      <c r="J250" s="228">
        <f>I253</f>
        <v>1.14003E-2</v>
      </c>
      <c r="K250" s="228">
        <f>J253</f>
        <v>1.0766950000000001E-2</v>
      </c>
      <c r="L250" s="228">
        <f>K253</f>
        <v>1.0133600000000001E-2</v>
      </c>
      <c r="M250" s="50"/>
    </row>
    <row r="251" spans="1:13" ht="13.5" customHeight="1" outlineLevel="1">
      <c r="A251" s="125"/>
      <c r="C251" s="91" t="s">
        <v>214</v>
      </c>
      <c r="D251" s="118"/>
      <c r="E251" s="118"/>
      <c r="G251" s="154"/>
      <c r="H251" s="177">
        <f>-MIN(H250,H260*$G253)</f>
        <v>-6.3334999999999997E-4</v>
      </c>
      <c r="I251" s="177">
        <f>-MIN(I250,I260*$G253)</f>
        <v>-6.3334999999999997E-4</v>
      </c>
      <c r="J251" s="177">
        <f>-MIN(J250,J260*$G253)</f>
        <v>-6.3334999999999997E-4</v>
      </c>
      <c r="K251" s="177">
        <f>-MIN(K250,K260*$G253)</f>
        <v>-6.3334999999999997E-4</v>
      </c>
      <c r="L251" s="177">
        <f>-MIN(L250,L260*$G253)</f>
        <v>-1.01336E-2</v>
      </c>
      <c r="M251" s="50"/>
    </row>
    <row r="252" spans="1:13" ht="13.5" customHeight="1" outlineLevel="1">
      <c r="A252" s="125"/>
      <c r="C252" s="91" t="s">
        <v>216</v>
      </c>
      <c r="D252" s="118"/>
      <c r="E252" s="118"/>
      <c r="G252" s="154"/>
      <c r="H252" s="165"/>
      <c r="I252" s="165"/>
      <c r="J252" s="165"/>
      <c r="K252" s="165"/>
      <c r="L252" s="165"/>
      <c r="M252" s="50" t="s">
        <v>279</v>
      </c>
    </row>
    <row r="253" spans="1:13" ht="13.5" customHeight="1" outlineLevel="1">
      <c r="A253" s="125"/>
      <c r="C253" s="65" t="s">
        <v>207</v>
      </c>
      <c r="D253" s="65"/>
      <c r="E253" s="65"/>
      <c r="F253" s="65"/>
      <c r="G253" s="257">
        <f>G81</f>
        <v>1.2666999999999999E-2</v>
      </c>
      <c r="H253" s="262">
        <f>SUM(H250:H252)</f>
        <v>1.203365E-2</v>
      </c>
      <c r="I253" s="262">
        <f>SUM(I250:I252)</f>
        <v>1.14003E-2</v>
      </c>
      <c r="J253" s="262">
        <f>SUM(J250:J252)</f>
        <v>1.0766950000000001E-2</v>
      </c>
      <c r="K253" s="262">
        <f>SUM(K250:K252)</f>
        <v>1.0133600000000001E-2</v>
      </c>
      <c r="L253" s="262">
        <f>SUM(L250:L252)</f>
        <v>0</v>
      </c>
      <c r="M253" s="50"/>
    </row>
    <row r="254" spans="1:13" ht="13.5" customHeight="1" outlineLevel="1">
      <c r="A254" s="125"/>
      <c r="C254" s="68"/>
      <c r="G254" s="68"/>
      <c r="H254" s="68"/>
      <c r="I254" s="68"/>
      <c r="J254" s="68"/>
      <c r="K254" s="68"/>
      <c r="L254" s="68"/>
    </row>
    <row r="255" spans="1:13" ht="13.5" customHeight="1" outlineLevel="1">
      <c r="A255" s="125"/>
      <c r="C255" s="84" t="s">
        <v>221</v>
      </c>
      <c r="D255" s="85"/>
      <c r="E255" s="86"/>
      <c r="F255" s="86"/>
      <c r="G255" s="234" t="s">
        <v>222</v>
      </c>
      <c r="H255" s="86"/>
      <c r="I255" s="86"/>
      <c r="J255" s="86"/>
      <c r="K255" s="86"/>
      <c r="L255" s="87"/>
    </row>
    <row r="256" spans="1:13" ht="13.5" customHeight="1" outlineLevel="1">
      <c r="A256" s="125"/>
      <c r="C256" s="68"/>
    </row>
    <row r="257" spans="1:13" ht="13.5" customHeight="1" outlineLevel="1">
      <c r="A257" s="125"/>
      <c r="C257" s="68"/>
      <c r="G257" s="235" t="s">
        <v>222</v>
      </c>
      <c r="H257" s="236" t="s">
        <v>223</v>
      </c>
      <c r="I257" s="237"/>
      <c r="J257" s="237"/>
      <c r="K257" s="237"/>
      <c r="L257" s="237"/>
    </row>
    <row r="258" spans="1:13" ht="13.5" customHeight="1" outlineLevel="1">
      <c r="A258" s="125"/>
      <c r="C258" s="68" t="str">
        <f>+C237</f>
        <v>Term Loan A</v>
      </c>
      <c r="G258" s="152">
        <f>G241</f>
        <v>12.001450999999999</v>
      </c>
      <c r="H258" s="263">
        <v>0.2</v>
      </c>
      <c r="I258" s="263">
        <v>0.2</v>
      </c>
      <c r="J258" s="263">
        <v>0.2</v>
      </c>
      <c r="K258" s="263">
        <v>0.2</v>
      </c>
      <c r="L258" s="263">
        <v>0.2</v>
      </c>
      <c r="M258" s="50"/>
    </row>
    <row r="259" spans="1:13" ht="13.5" customHeight="1" outlineLevel="1">
      <c r="A259" s="125"/>
      <c r="C259" s="68" t="str">
        <f>+C243</f>
        <v>Subordinated - Note 1</v>
      </c>
      <c r="G259" s="152">
        <f>G247</f>
        <v>8.5337999999999997E-2</v>
      </c>
      <c r="H259" s="263">
        <v>0.2</v>
      </c>
      <c r="I259" s="263">
        <v>0.2</v>
      </c>
      <c r="J259" s="263">
        <v>0.2</v>
      </c>
      <c r="K259" s="263">
        <v>0.2</v>
      </c>
      <c r="L259" s="263">
        <v>0.2</v>
      </c>
      <c r="M259" s="50"/>
    </row>
    <row r="260" spans="1:13" ht="13.5" customHeight="1" outlineLevel="1">
      <c r="A260" s="125"/>
      <c r="C260" s="68" t="str">
        <f>+C249</f>
        <v>Subordinated - Note 2</v>
      </c>
      <c r="G260" s="152">
        <f>G253</f>
        <v>1.2666999999999999E-2</v>
      </c>
      <c r="H260" s="263">
        <v>0.05</v>
      </c>
      <c r="I260" s="263">
        <v>0.05</v>
      </c>
      <c r="J260" s="263">
        <v>0.05</v>
      </c>
      <c r="K260" s="263">
        <v>0.05</v>
      </c>
      <c r="L260" s="263">
        <v>0.8</v>
      </c>
      <c r="M260" s="50"/>
    </row>
    <row r="261" spans="1:13" ht="13.5" customHeight="1" outlineLevel="1">
      <c r="A261" s="125"/>
      <c r="C261" s="68"/>
    </row>
    <row r="262" spans="1:13" ht="13.5" customHeight="1" outlineLevel="1">
      <c r="A262" s="125"/>
      <c r="C262" s="84" t="s">
        <v>227</v>
      </c>
      <c r="D262" s="85"/>
      <c r="E262" s="86"/>
      <c r="F262" s="86"/>
      <c r="G262" s="86"/>
      <c r="H262" s="86"/>
      <c r="I262" s="86"/>
      <c r="J262" s="86"/>
      <c r="K262" s="86"/>
      <c r="L262" s="87"/>
    </row>
    <row r="263" spans="1:13" ht="13.5" customHeight="1" outlineLevel="1">
      <c r="A263" s="125"/>
      <c r="C263" s="68"/>
    </row>
    <row r="264" spans="1:13" ht="13.5" customHeight="1" outlineLevel="1">
      <c r="A264" s="125"/>
      <c r="C264" s="239"/>
      <c r="D264" s="240"/>
      <c r="E264" s="240"/>
      <c r="H264" s="54"/>
      <c r="I264" s="54" t="s">
        <v>228</v>
      </c>
      <c r="J264" s="54" t="s">
        <v>229</v>
      </c>
      <c r="K264" s="54" t="s">
        <v>230</v>
      </c>
      <c r="L264" s="54" t="s">
        <v>98</v>
      </c>
    </row>
    <row r="265" spans="1:13" ht="13.5" customHeight="1" outlineLevel="1" thickBot="1">
      <c r="A265" s="125"/>
      <c r="C265" s="241"/>
      <c r="D265" s="242"/>
      <c r="E265" s="242"/>
      <c r="F265" s="243"/>
      <c r="G265" s="244" t="s">
        <v>231</v>
      </c>
      <c r="H265" s="243" t="s">
        <v>232</v>
      </c>
      <c r="I265" s="243" t="s">
        <v>232</v>
      </c>
      <c r="J265" s="243" t="s">
        <v>232</v>
      </c>
      <c r="K265" s="243" t="s">
        <v>233</v>
      </c>
      <c r="L265" s="243" t="s">
        <v>234</v>
      </c>
      <c r="M265" s="50"/>
    </row>
    <row r="266" spans="1:13" ht="5.0999999999999996" customHeight="1" outlineLevel="1">
      <c r="A266" s="125"/>
      <c r="C266" s="98"/>
      <c r="D266" s="118"/>
      <c r="E266" s="118"/>
      <c r="F266" s="245"/>
      <c r="G266" s="245"/>
      <c r="H266" s="245"/>
      <c r="I266" s="245"/>
      <c r="J266" s="245"/>
      <c r="K266" s="118"/>
    </row>
    <row r="267" spans="1:13" ht="13.5" customHeight="1" outlineLevel="1">
      <c r="A267" s="125"/>
      <c r="C267" s="98" t="str">
        <f>+C228</f>
        <v>Revolver</v>
      </c>
      <c r="D267" s="118"/>
      <c r="E267" s="118"/>
      <c r="F267" s="264"/>
      <c r="G267" s="265" t="s">
        <v>240</v>
      </c>
      <c r="H267" s="265">
        <v>3.7100000000000001E-2</v>
      </c>
      <c r="I267" s="265">
        <v>4.2500000000000003E-2</v>
      </c>
      <c r="J267" s="266">
        <f>I267+H267</f>
        <v>7.9600000000000004E-2</v>
      </c>
      <c r="K267" s="265" t="s">
        <v>241</v>
      </c>
      <c r="L267" s="267">
        <v>1</v>
      </c>
      <c r="M267" s="50"/>
    </row>
    <row r="268" spans="1:13" ht="13.5" customHeight="1" outlineLevel="1">
      <c r="A268" s="125"/>
      <c r="C268" s="98" t="str">
        <f>+C237</f>
        <v>Term Loan A</v>
      </c>
      <c r="D268" s="118"/>
      <c r="E268" s="118"/>
      <c r="F268" s="264"/>
      <c r="G268" s="265" t="s">
        <v>240</v>
      </c>
      <c r="H268" s="265">
        <v>3.7100000000000001E-2</v>
      </c>
      <c r="I268" s="265">
        <v>4.7500000000000001E-2</v>
      </c>
      <c r="J268" s="266">
        <f>I268+H268</f>
        <v>8.4600000000000009E-2</v>
      </c>
      <c r="K268" s="265" t="s">
        <v>241</v>
      </c>
      <c r="L268" s="267">
        <v>1</v>
      </c>
      <c r="M268" s="50"/>
    </row>
    <row r="269" spans="1:13" ht="13.5" customHeight="1" outlineLevel="1">
      <c r="A269" s="125"/>
      <c r="C269" s="98" t="str">
        <f>+C243</f>
        <v>Subordinated - Note 1</v>
      </c>
      <c r="D269" s="118"/>
      <c r="E269" s="118"/>
      <c r="F269" s="264"/>
      <c r="G269" s="265" t="s">
        <v>242</v>
      </c>
      <c r="H269" s="265" t="s">
        <v>241</v>
      </c>
      <c r="I269" s="265" t="s">
        <v>241</v>
      </c>
      <c r="J269" s="265" t="s">
        <v>241</v>
      </c>
      <c r="K269" s="265">
        <v>0.12</v>
      </c>
      <c r="L269" s="267">
        <v>1</v>
      </c>
      <c r="M269" s="50"/>
    </row>
    <row r="270" spans="1:13" ht="13.5" customHeight="1" outlineLevel="1">
      <c r="A270" s="125"/>
      <c r="C270" s="98" t="str">
        <f>+C249</f>
        <v>Subordinated - Note 2</v>
      </c>
      <c r="D270" s="118"/>
      <c r="E270" s="118"/>
      <c r="F270" s="264"/>
      <c r="G270" s="265" t="s">
        <v>242</v>
      </c>
      <c r="H270" s="265" t="s">
        <v>241</v>
      </c>
      <c r="I270" s="265" t="s">
        <v>241</v>
      </c>
      <c r="J270" s="265" t="s">
        <v>241</v>
      </c>
      <c r="K270" s="265">
        <v>0.14499999999999999</v>
      </c>
      <c r="L270" s="267">
        <v>0.5</v>
      </c>
      <c r="M270" s="50"/>
    </row>
    <row r="271" spans="1:13" ht="5.0999999999999996" customHeight="1" outlineLevel="1" thickBot="1">
      <c r="C271" s="157"/>
      <c r="D271" s="157"/>
      <c r="E271" s="157"/>
      <c r="F271" s="83"/>
      <c r="G271" s="83"/>
      <c r="H271" s="83"/>
      <c r="I271" s="83"/>
      <c r="J271" s="83"/>
      <c r="K271" s="83"/>
      <c r="L271" s="83"/>
    </row>
    <row r="273" spans="1:19" ht="19.5" customHeight="1">
      <c r="A273" s="82"/>
      <c r="B273" s="82"/>
      <c r="C273" s="121"/>
      <c r="D273" s="82"/>
      <c r="E273" s="82"/>
      <c r="F273" s="82"/>
      <c r="G273" s="82"/>
      <c r="H273" s="82"/>
      <c r="I273" s="82"/>
      <c r="J273" s="82"/>
      <c r="K273" s="82"/>
      <c r="L273" s="82"/>
      <c r="M273" s="82"/>
      <c r="N273" s="82"/>
      <c r="O273" s="82"/>
      <c r="P273" s="82"/>
      <c r="Q273" s="82"/>
      <c r="R273" s="82"/>
      <c r="S273" s="82"/>
    </row>
    <row r="274" spans="1:19" ht="5.0999999999999996" customHeight="1">
      <c r="A274" s="82"/>
      <c r="B274" s="82"/>
      <c r="C274" s="82"/>
      <c r="D274" s="82"/>
      <c r="E274" s="82"/>
      <c r="F274" s="82"/>
      <c r="G274" s="82"/>
      <c r="H274" s="82"/>
      <c r="I274" s="82"/>
      <c r="J274" s="82"/>
      <c r="K274" s="82"/>
      <c r="L274" s="82"/>
      <c r="M274" s="82"/>
      <c r="N274" s="82"/>
      <c r="O274" s="82"/>
      <c r="P274" s="82"/>
      <c r="Q274" s="82"/>
      <c r="R274" s="82"/>
      <c r="S274" s="82"/>
    </row>
    <row r="275" spans="1:19" ht="13.5" customHeight="1">
      <c r="A275" s="82"/>
      <c r="B275" s="82"/>
      <c r="C275" s="123"/>
      <c r="D275" s="82"/>
      <c r="E275" s="82"/>
      <c r="F275" s="82"/>
      <c r="G275" s="82"/>
      <c r="H275" s="82"/>
      <c r="I275" s="82"/>
      <c r="J275" s="82"/>
      <c r="K275" s="82"/>
      <c r="L275" s="82"/>
      <c r="M275" s="82"/>
      <c r="N275" s="82"/>
      <c r="O275" s="82"/>
      <c r="P275" s="82"/>
      <c r="Q275" s="82"/>
      <c r="R275" s="82"/>
      <c r="S275" s="82"/>
    </row>
    <row r="276" spans="1:19" ht="13.5" customHeight="1">
      <c r="A276" s="82"/>
      <c r="B276" s="82"/>
      <c r="C276" s="82"/>
      <c r="D276" s="82"/>
      <c r="E276" s="82"/>
      <c r="F276" s="124"/>
      <c r="G276" s="124"/>
      <c r="H276" s="82"/>
      <c r="I276" s="82"/>
      <c r="J276" s="82"/>
      <c r="K276" s="82"/>
      <c r="L276" s="82"/>
      <c r="M276" s="82"/>
      <c r="N276" s="82"/>
      <c r="O276" s="82"/>
      <c r="P276" s="82"/>
      <c r="Q276" s="82"/>
      <c r="R276" s="82"/>
      <c r="S276" s="82"/>
    </row>
    <row r="277" spans="1:19" ht="13.5" customHeight="1">
      <c r="A277" s="82"/>
      <c r="B277" s="82"/>
      <c r="C277" s="82"/>
      <c r="D277" s="82"/>
      <c r="E277" s="82"/>
      <c r="F277" s="124"/>
      <c r="G277" s="124"/>
      <c r="H277" s="82"/>
      <c r="I277" s="82"/>
      <c r="J277" s="82"/>
      <c r="K277" s="82"/>
      <c r="L277" s="82"/>
      <c r="M277" s="82"/>
      <c r="N277" s="82"/>
      <c r="O277" s="82"/>
      <c r="P277" s="82"/>
      <c r="Q277" s="82"/>
      <c r="R277" s="82"/>
      <c r="S277" s="82"/>
    </row>
    <row r="278" spans="1:19" ht="13.5" customHeight="1">
      <c r="A278" s="82"/>
      <c r="B278" s="82"/>
      <c r="C278" s="82"/>
      <c r="D278" s="82"/>
      <c r="E278" s="82"/>
      <c r="F278" s="124"/>
      <c r="G278" s="124"/>
      <c r="H278" s="82"/>
      <c r="I278" s="82"/>
      <c r="J278" s="82"/>
      <c r="K278" s="82"/>
      <c r="L278" s="82"/>
      <c r="M278" s="82"/>
      <c r="N278" s="82"/>
      <c r="O278" s="82"/>
      <c r="P278" s="82"/>
      <c r="Q278" s="82"/>
      <c r="R278" s="82"/>
      <c r="S278" s="82"/>
    </row>
    <row r="279" spans="1:19" ht="13.5" customHeight="1">
      <c r="A279" s="82"/>
      <c r="B279" s="82"/>
      <c r="C279" s="82"/>
      <c r="D279" s="82"/>
      <c r="E279" s="82"/>
      <c r="F279" s="124"/>
      <c r="G279" s="124"/>
      <c r="H279" s="82"/>
      <c r="I279" s="82"/>
      <c r="J279" s="82"/>
      <c r="K279" s="82"/>
      <c r="L279" s="82"/>
      <c r="M279" s="82"/>
      <c r="N279" s="82"/>
      <c r="O279" s="82"/>
      <c r="P279" s="82"/>
      <c r="Q279" s="82"/>
      <c r="R279" s="82"/>
      <c r="S279" s="82"/>
    </row>
    <row r="280" spans="1:19" ht="13.5" customHeight="1">
      <c r="A280" s="82"/>
      <c r="B280" s="82"/>
      <c r="C280" s="82"/>
      <c r="D280" s="82"/>
      <c r="E280" s="82"/>
      <c r="F280" s="82"/>
      <c r="G280" s="82"/>
      <c r="H280" s="82"/>
      <c r="I280" s="82"/>
      <c r="J280" s="82"/>
      <c r="K280" s="82"/>
      <c r="L280" s="82"/>
      <c r="M280" s="82"/>
      <c r="N280" s="82"/>
      <c r="O280" s="82"/>
      <c r="P280" s="82"/>
      <c r="Q280" s="82"/>
      <c r="R280" s="82"/>
      <c r="S280" s="82"/>
    </row>
    <row r="281" spans="1:19" ht="13.5" customHeight="1">
      <c r="A281" s="82"/>
      <c r="B281" s="82"/>
      <c r="C281" s="123"/>
      <c r="D281" s="82"/>
      <c r="E281" s="82"/>
      <c r="F281" s="82"/>
      <c r="G281" s="82"/>
      <c r="H281" s="82"/>
      <c r="I281" s="82"/>
      <c r="J281" s="82"/>
      <c r="K281" s="82"/>
      <c r="L281" s="82"/>
      <c r="M281" s="82"/>
      <c r="N281" s="82"/>
      <c r="O281" s="82"/>
      <c r="P281" s="82"/>
      <c r="Q281" s="82"/>
      <c r="R281" s="82"/>
      <c r="S281" s="82"/>
    </row>
    <row r="282" spans="1:19" ht="13.5" customHeight="1">
      <c r="A282" s="82"/>
      <c r="B282" s="82"/>
      <c r="C282" s="82"/>
      <c r="D282" s="82"/>
      <c r="E282" s="82"/>
      <c r="F282" s="124"/>
      <c r="G282" s="124"/>
      <c r="H282" s="82"/>
      <c r="I282" s="82"/>
      <c r="J282" s="82"/>
      <c r="K282" s="82"/>
      <c r="L282" s="82"/>
      <c r="M282" s="82"/>
      <c r="N282" s="82"/>
      <c r="O282" s="82"/>
      <c r="P282" s="82"/>
      <c r="Q282" s="82"/>
      <c r="R282" s="82"/>
      <c r="S282" s="82"/>
    </row>
    <row r="283" spans="1:19" ht="13.5" customHeight="1">
      <c r="A283" s="82"/>
      <c r="B283" s="82"/>
      <c r="C283" s="82"/>
      <c r="D283" s="82"/>
      <c r="E283" s="82"/>
      <c r="F283" s="124"/>
      <c r="G283" s="124"/>
      <c r="H283" s="82"/>
      <c r="I283" s="82"/>
      <c r="J283" s="82"/>
      <c r="K283" s="82"/>
      <c r="L283" s="82"/>
      <c r="M283" s="82"/>
      <c r="N283" s="82"/>
      <c r="O283" s="82"/>
      <c r="P283" s="82"/>
      <c r="Q283" s="82"/>
      <c r="R283" s="82"/>
      <c r="S283" s="82"/>
    </row>
    <row r="284" spans="1:19" ht="13.5" customHeight="1">
      <c r="A284" s="82"/>
      <c r="B284" s="82"/>
      <c r="C284" s="82"/>
      <c r="D284" s="82"/>
      <c r="E284" s="82"/>
      <c r="F284" s="124"/>
      <c r="G284" s="124"/>
      <c r="H284" s="82"/>
      <c r="I284" s="82"/>
      <c r="J284" s="82"/>
      <c r="K284" s="82"/>
      <c r="L284" s="82"/>
      <c r="M284" s="82"/>
      <c r="N284" s="82"/>
      <c r="O284" s="82"/>
      <c r="P284" s="82"/>
      <c r="Q284" s="82"/>
      <c r="R284" s="82"/>
      <c r="S284" s="82"/>
    </row>
    <row r="285" spans="1:19" ht="13.5" customHeight="1">
      <c r="A285" s="82"/>
      <c r="B285" s="82"/>
      <c r="C285" s="82"/>
      <c r="D285" s="82"/>
      <c r="E285" s="82"/>
      <c r="F285" s="124"/>
      <c r="G285" s="124"/>
      <c r="H285" s="82"/>
      <c r="I285" s="82"/>
      <c r="J285" s="82"/>
      <c r="K285" s="82"/>
      <c r="L285" s="82"/>
      <c r="M285" s="82"/>
      <c r="N285" s="82"/>
      <c r="O285" s="82"/>
      <c r="P285" s="82"/>
      <c r="Q285" s="82"/>
      <c r="R285" s="82"/>
      <c r="S285" s="82"/>
    </row>
    <row r="286" spans="1:19" ht="5.0999999999999996" customHeight="1">
      <c r="A286" s="82"/>
      <c r="B286" s="82"/>
      <c r="C286" s="82"/>
      <c r="D286" s="82"/>
      <c r="E286" s="82"/>
      <c r="F286" s="82"/>
      <c r="G286" s="82"/>
      <c r="H286" s="82"/>
      <c r="I286" s="82"/>
      <c r="J286" s="82"/>
      <c r="K286" s="82"/>
      <c r="L286" s="82"/>
      <c r="M286" s="82"/>
      <c r="N286" s="82"/>
      <c r="O286" s="82"/>
      <c r="P286" s="82"/>
      <c r="Q286" s="82"/>
      <c r="R286" s="82"/>
      <c r="S286" s="82"/>
    </row>
    <row r="287" spans="1:19" ht="13.5" customHeight="1">
      <c r="A287" s="82"/>
      <c r="B287" s="82"/>
      <c r="C287" s="82"/>
      <c r="D287" s="82"/>
      <c r="E287" s="82"/>
      <c r="F287" s="124"/>
      <c r="G287" s="124"/>
      <c r="H287" s="82"/>
      <c r="I287" s="82"/>
      <c r="J287" s="82"/>
      <c r="K287" s="82"/>
      <c r="L287" s="82"/>
      <c r="M287" s="82"/>
      <c r="N287" s="82"/>
      <c r="O287" s="82"/>
      <c r="P287" s="82"/>
      <c r="Q287" s="82"/>
      <c r="R287" s="82"/>
      <c r="S287" s="82"/>
    </row>
    <row r="288" spans="1:19" ht="13.5" customHeight="1">
      <c r="A288" s="82"/>
      <c r="B288" s="82"/>
      <c r="C288" s="82"/>
      <c r="D288" s="82"/>
      <c r="E288" s="82"/>
      <c r="F288" s="124"/>
      <c r="G288" s="124"/>
      <c r="H288" s="82"/>
      <c r="I288" s="82"/>
      <c r="J288" s="82"/>
      <c r="K288" s="82"/>
      <c r="L288" s="82"/>
      <c r="M288" s="82"/>
      <c r="N288" s="82"/>
      <c r="O288" s="82"/>
      <c r="P288" s="82"/>
      <c r="Q288" s="82"/>
      <c r="R288" s="82"/>
      <c r="S288" s="82"/>
    </row>
    <row r="289" spans="1:19" ht="13.5" customHeight="1">
      <c r="A289" s="82"/>
      <c r="B289" s="82"/>
      <c r="C289" s="82"/>
      <c r="D289" s="82"/>
      <c r="E289" s="82"/>
      <c r="F289" s="82"/>
      <c r="G289" s="82"/>
      <c r="H289" s="82"/>
      <c r="I289" s="82"/>
      <c r="J289" s="82"/>
      <c r="K289" s="82"/>
      <c r="L289" s="82"/>
      <c r="M289" s="82"/>
      <c r="N289" s="82"/>
      <c r="O289" s="82"/>
      <c r="P289" s="82"/>
      <c r="Q289" s="82"/>
      <c r="R289" s="82"/>
      <c r="S289" s="82"/>
    </row>
    <row r="290" spans="1:19" ht="13.5" customHeight="1">
      <c r="F290" s="124"/>
      <c r="G290" s="124"/>
    </row>
  </sheetData>
  <dataValidations count="1">
    <dataValidation type="whole" showInputMessage="1" showErrorMessage="1" errorTitle="Validation Error" error="Enter either 0 or 1." sqref="F267:F270" xr:uid="{4C61EA21-6370-410B-BCFF-9AD05C456AC6}">
      <formula1>0</formula1>
      <formula2>1</formula2>
    </dataValidation>
  </dataValidations>
  <pageMargins left="0.25" right="0.25" top="0.75" bottom="0.75" header="0.3" footer="0.3"/>
  <pageSetup scale="47" orientation="landscape" r:id="rId1"/>
  <headerFooter alignWithMargins="0">
    <oddHeader>&amp;A</oddHeader>
    <oddFooter>Page &amp;P of &amp;N</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62BF4-13A8-478C-BF1D-EDD6E16FC50C}">
  <sheetPr>
    <tabColor rgb="FF416D89"/>
    <outlinePr summaryBelow="0"/>
    <pageSetUpPr fitToPage="1"/>
  </sheetPr>
  <dimension ref="A1:S290"/>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243</v>
      </c>
      <c r="D3" s="34"/>
      <c r="E3" s="38"/>
      <c r="F3" s="38"/>
      <c r="G3" s="38"/>
      <c r="H3" s="34"/>
      <c r="I3" s="34"/>
      <c r="J3" s="34"/>
      <c r="K3" s="34"/>
      <c r="L3" s="34"/>
    </row>
    <row r="4" spans="2:14" ht="13.5" customHeight="1" outlineLevel="1">
      <c r="C4" s="37"/>
      <c r="D4" s="34"/>
      <c r="E4" s="38"/>
      <c r="F4" s="38"/>
      <c r="G4" s="38"/>
      <c r="H4" s="34"/>
      <c r="I4" s="34"/>
      <c r="J4" s="34"/>
      <c r="K4" s="34"/>
      <c r="L4" s="34"/>
      <c r="N4" s="195"/>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C60" s="88" t="s">
        <v>82</v>
      </c>
      <c r="F60" s="141">
        <f>'Financials from CIP'!D46/1000</f>
        <v>7.1056520000000001</v>
      </c>
      <c r="G60" s="141">
        <f>'Financials from CIP'!E46/1000</f>
        <v>2.9579920000000004</v>
      </c>
      <c r="H60" s="214">
        <f ca="1">G60+H119</f>
        <v>10</v>
      </c>
      <c r="I60" s="214">
        <f ca="1">H60+I119</f>
        <v>10</v>
      </c>
      <c r="J60" s="214">
        <f ca="1">I60+J119</f>
        <v>20.161229667020034</v>
      </c>
      <c r="K60" s="214">
        <f ca="1">J60+K119</f>
        <v>32.683172574382148</v>
      </c>
      <c r="L60" s="214">
        <f ca="1">K60+L119</f>
        <v>46.605048262544216</v>
      </c>
      <c r="M60" s="50"/>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7">I130</f>
        <v>27.695031965240773</v>
      </c>
      <c r="J61" s="149">
        <f t="shared" si="17"/>
        <v>31.111314829301037</v>
      </c>
      <c r="K61" s="149">
        <f t="shared" si="17"/>
        <v>34.015669157916122</v>
      </c>
      <c r="L61" s="149">
        <f t="shared" si="17"/>
        <v>36.170685445667161</v>
      </c>
      <c r="M61" s="50"/>
    </row>
    <row r="62" spans="1:13" ht="13.5" customHeight="1" outlineLevel="1">
      <c r="A62" s="82"/>
      <c r="C62" s="91" t="s">
        <v>31</v>
      </c>
      <c r="F62" s="96">
        <f>'Financials from CIP'!D49/1000</f>
        <v>0.80490099999999998</v>
      </c>
      <c r="G62" s="96">
        <f>'Financials from CIP'!E49/1000</f>
        <v>1.161057</v>
      </c>
      <c r="H62" s="149">
        <f t="shared" ref="H62:L63" si="18">H131</f>
        <v>1.2029011201180084</v>
      </c>
      <c r="I62" s="149">
        <f t="shared" si="18"/>
        <v>1.3873703794209342</v>
      </c>
      <c r="J62" s="149">
        <f t="shared" si="18"/>
        <v>1.558507558799139</v>
      </c>
      <c r="K62" s="149">
        <f t="shared" si="18"/>
        <v>1.7039999045715051</v>
      </c>
      <c r="L62" s="149">
        <f t="shared" si="18"/>
        <v>1.8119544925477122</v>
      </c>
      <c r="M62" s="50"/>
    </row>
    <row r="63" spans="1:13" ht="13.5" customHeight="1" outlineLevel="1">
      <c r="A63" s="82"/>
      <c r="C63" s="91" t="s">
        <v>84</v>
      </c>
      <c r="F63" s="96">
        <f>'Financials from CIP'!D50/1000</f>
        <v>0.26978399999999997</v>
      </c>
      <c r="G63" s="96">
        <f>'Financials from CIP'!E50/1000</f>
        <v>0.34491899999999998</v>
      </c>
      <c r="H63" s="149">
        <f t="shared" si="18"/>
        <v>0.3792215684283346</v>
      </c>
      <c r="I63" s="149">
        <f t="shared" si="18"/>
        <v>0.43737657441320382</v>
      </c>
      <c r="J63" s="149">
        <f t="shared" si="18"/>
        <v>0.49132856472628733</v>
      </c>
      <c r="K63" s="149">
        <f t="shared" si="18"/>
        <v>0.53719587221761422</v>
      </c>
      <c r="L63" s="149">
        <f t="shared" si="18"/>
        <v>0.57122918342390505</v>
      </c>
      <c r="M63" s="50"/>
    </row>
    <row r="64" spans="1:13" ht="13.5" customHeight="1" outlineLevel="1">
      <c r="A64" s="82"/>
      <c r="C64" s="76" t="s">
        <v>33</v>
      </c>
      <c r="D64" s="77"/>
      <c r="E64" s="77"/>
      <c r="F64" s="93">
        <f>SUM(F60:F63)</f>
        <v>24.961756000000005</v>
      </c>
      <c r="G64" s="93">
        <f>SUM(G60:G63)</f>
        <v>26.74869</v>
      </c>
      <c r="H64" s="93">
        <f t="shared" ref="H64:L64" ca="1" si="19">SUM(H60:H63)</f>
        <v>35.594733500229559</v>
      </c>
      <c r="I64" s="93">
        <f t="shared" ca="1" si="19"/>
        <v>39.519778919074916</v>
      </c>
      <c r="J64" s="93">
        <f t="shared" ca="1" si="19"/>
        <v>53.322380619846498</v>
      </c>
      <c r="K64" s="93">
        <f t="shared" ca="1" si="19"/>
        <v>68.940037509087375</v>
      </c>
      <c r="L64" s="93">
        <f t="shared" ca="1" si="19"/>
        <v>85.158917384182999</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ca="1" si="20">SUM(H64,H67:H69)</f>
        <v>92.32568454586314</v>
      </c>
      <c r="I70" s="102">
        <f t="shared" ca="1" si="20"/>
        <v>92.891514460631626</v>
      </c>
      <c r="J70" s="102">
        <f t="shared" ca="1" si="20"/>
        <v>103.36805499196664</v>
      </c>
      <c r="K70" s="102">
        <f t="shared" ca="1" si="20"/>
        <v>115.60562915551395</v>
      </c>
      <c r="L70" s="102">
        <f t="shared" ca="1" si="20"/>
        <v>128.28557606604585</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1">I135</f>
        <v>3.7340173042871405</v>
      </c>
      <c r="J74" s="149">
        <f t="shared" si="21"/>
        <v>4.1946219118843056</v>
      </c>
      <c r="K74" s="149">
        <f t="shared" si="21"/>
        <v>4.5862051147649199</v>
      </c>
      <c r="L74" s="149">
        <f t="shared" si="21"/>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2">H136</f>
        <v>3.1966854452582232</v>
      </c>
      <c r="I75" s="149">
        <f t="shared" si="22"/>
        <v>3.6869087782063024</v>
      </c>
      <c r="J75" s="149">
        <f t="shared" si="22"/>
        <v>4.1417023778724023</v>
      </c>
      <c r="K75" s="149">
        <f t="shared" si="22"/>
        <v>4.5283453498910609</v>
      </c>
      <c r="L75" s="149">
        <f t="shared" si="22"/>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2"/>
        <v>3.2317636858846019</v>
      </c>
      <c r="I76" s="149">
        <f t="shared" si="22"/>
        <v>3.727366394541769</v>
      </c>
      <c r="J76" s="149">
        <f t="shared" si="22"/>
        <v>4.1871505882458564</v>
      </c>
      <c r="K76" s="149">
        <f t="shared" si="22"/>
        <v>4.5780363159066395</v>
      </c>
      <c r="L76" s="149">
        <f t="shared" si="22"/>
        <v>4.8680715576328382</v>
      </c>
      <c r="M76" s="50"/>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C78" s="91" t="s">
        <v>41</v>
      </c>
      <c r="D78" s="95"/>
      <c r="E78" s="95"/>
      <c r="F78" s="96">
        <f>'Financials from CIP'!D63/1000</f>
        <v>0.64588299999999998</v>
      </c>
      <c r="G78" s="96">
        <f>'Financials from CIP'!E63/1000</f>
        <v>1.2892999999999999</v>
      </c>
      <c r="H78" s="149">
        <f ca="1">H232</f>
        <v>0.70135880776240755</v>
      </c>
      <c r="I78" s="149">
        <f ca="1">I232</f>
        <v>0</v>
      </c>
      <c r="J78" s="149">
        <f ca="1">J232</f>
        <v>0</v>
      </c>
      <c r="K78" s="149">
        <f ca="1">K232</f>
        <v>0</v>
      </c>
      <c r="L78" s="149">
        <f ca="1">L232</f>
        <v>0</v>
      </c>
      <c r="M78" s="50"/>
    </row>
    <row r="79" spans="1:13" ht="13.5" customHeight="1" outlineLevel="1">
      <c r="C79" s="91" t="s">
        <v>42</v>
      </c>
      <c r="D79" s="95"/>
      <c r="E79" s="95"/>
      <c r="F79" s="96">
        <f>'Financials from CIP'!D64/1000</f>
        <v>18.943222000000002</v>
      </c>
      <c r="G79" s="96">
        <f>'Financials from CIP'!E64/1000</f>
        <v>12.001450999999999</v>
      </c>
      <c r="H79" s="149">
        <f ca="1">H241</f>
        <v>9.6011607999999988</v>
      </c>
      <c r="I79" s="149">
        <f ca="1">I241</f>
        <v>0.80642258805885092</v>
      </c>
      <c r="J79" s="149">
        <f ca="1">J241</f>
        <v>0</v>
      </c>
      <c r="K79" s="149">
        <f ca="1">K241</f>
        <v>0</v>
      </c>
      <c r="L79" s="149">
        <f ca="1">L241</f>
        <v>0</v>
      </c>
      <c r="M79" s="50"/>
    </row>
    <row r="80" spans="1:13" ht="13.5" customHeight="1" outlineLevel="1">
      <c r="C80" s="91" t="s">
        <v>90</v>
      </c>
      <c r="D80" s="95"/>
      <c r="E80" s="95"/>
      <c r="F80" s="96">
        <f>'Financials from CIP'!D65/1000</f>
        <v>0.54533299999999996</v>
      </c>
      <c r="G80" s="96">
        <f>'Financials from CIP'!E65/1000</f>
        <v>8.5337999999999997E-2</v>
      </c>
      <c r="H80" s="149">
        <f ca="1">H247</f>
        <v>6.8270399999999995E-2</v>
      </c>
      <c r="I80" s="149">
        <f ca="1">I247</f>
        <v>5.1202799999999993E-2</v>
      </c>
      <c r="J80" s="149">
        <f ca="1">J247</f>
        <v>0</v>
      </c>
      <c r="K80" s="149">
        <f ca="1">K247</f>
        <v>0</v>
      </c>
      <c r="L80" s="149">
        <f ca="1">L247</f>
        <v>0</v>
      </c>
      <c r="M80" s="50"/>
    </row>
    <row r="81" spans="1:13" ht="13.5" customHeight="1" outlineLevel="1">
      <c r="C81" s="91" t="s">
        <v>91</v>
      </c>
      <c r="D81" s="95"/>
      <c r="E81" s="95"/>
      <c r="F81" s="96">
        <f>'Financials from CIP'!D66/1000</f>
        <v>9.2447999999999989E-2</v>
      </c>
      <c r="G81" s="96">
        <f>'Financials from CIP'!E66/1000</f>
        <v>1.2666999999999999E-2</v>
      </c>
      <c r="H81" s="149">
        <f ca="1">H253</f>
        <v>1.203365E-2</v>
      </c>
      <c r="I81" s="149">
        <f ca="1">I253</f>
        <v>1.14003E-2</v>
      </c>
      <c r="J81" s="149">
        <f ca="1">J253</f>
        <v>4.4334500000000011E-3</v>
      </c>
      <c r="K81" s="149">
        <f ca="1">K253</f>
        <v>0</v>
      </c>
      <c r="L81" s="149">
        <f ca="1">L253</f>
        <v>0</v>
      </c>
      <c r="M81" s="50"/>
    </row>
    <row r="82" spans="1:13" ht="13.5" customHeight="1" outlineLevel="1">
      <c r="A82" s="82"/>
      <c r="C82" s="76" t="s">
        <v>92</v>
      </c>
      <c r="D82" s="77"/>
      <c r="E82" s="77"/>
      <c r="F82" s="93">
        <f>SUM(F78:F81)</f>
        <v>20.226886000000004</v>
      </c>
      <c r="G82" s="93">
        <f>SUM(G78:G81)</f>
        <v>13.388756000000001</v>
      </c>
      <c r="H82" s="93">
        <f t="shared" ref="H82:L82" ca="1" si="24">SUM(H78:H81)</f>
        <v>10.382823657762405</v>
      </c>
      <c r="I82" s="93">
        <f t="shared" ca="1" si="24"/>
        <v>0.86902568805885094</v>
      </c>
      <c r="J82" s="93">
        <f t="shared" ca="1" si="24"/>
        <v>4.4334500000000011E-3</v>
      </c>
      <c r="K82" s="93">
        <f t="shared" ca="1" si="24"/>
        <v>0</v>
      </c>
      <c r="L82" s="93">
        <f t="shared" ca="1" si="24"/>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ca="1" si="25">SUM(H77,H82:H83)</f>
        <v>20.478691058033341</v>
      </c>
      <c r="I84" s="93">
        <f t="shared" ca="1" si="25"/>
        <v>12.447206165094064</v>
      </c>
      <c r="J84" s="93">
        <f t="shared" ca="1" si="25"/>
        <v>12.957796328002564</v>
      </c>
      <c r="K84" s="93">
        <f t="shared" ca="1" si="25"/>
        <v>14.122474780562621</v>
      </c>
      <c r="L84" s="93">
        <f t="shared" ca="1" si="25"/>
        <v>14.989949925519163</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ca="1" si="26">SUM(H84:H86)</f>
        <v>92.325684041671323</v>
      </c>
      <c r="I87" s="105">
        <f t="shared" ca="1" si="26"/>
        <v>92.891513956439809</v>
      </c>
      <c r="J87" s="105">
        <f t="shared" ca="1" si="26"/>
        <v>103.36805448777483</v>
      </c>
      <c r="K87" s="105">
        <f t="shared" ca="1" si="26"/>
        <v>115.60562865132215</v>
      </c>
      <c r="L87" s="105">
        <f t="shared" ca="1" si="26"/>
        <v>128.28557556185402</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ca="1" si="27"/>
        <v>-5.0419181718552863E-7</v>
      </c>
      <c r="I89" s="178">
        <f t="shared" ca="1" si="27"/>
        <v>-5.0419181718552863E-7</v>
      </c>
      <c r="J89" s="178">
        <f t="shared" ca="1" si="27"/>
        <v>-5.0419181718552863E-7</v>
      </c>
      <c r="K89" s="178">
        <f t="shared" ca="1" si="27"/>
        <v>-5.0419180297467392E-7</v>
      </c>
      <c r="L89" s="178">
        <f t="shared" ca="1" si="27"/>
        <v>-5.0419183139638335E-7</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B93" s="46" t="s">
        <v>61</v>
      </c>
      <c r="C93" s="47" t="s">
        <v>178</v>
      </c>
      <c r="D93" s="48"/>
      <c r="E93" s="49"/>
      <c r="F93" s="49"/>
      <c r="G93" s="49"/>
      <c r="H93" s="49"/>
      <c r="I93" s="49"/>
      <c r="J93" s="49"/>
      <c r="K93" s="49"/>
      <c r="L93" s="49"/>
    </row>
    <row r="94" spans="1:13" ht="5.0999999999999996" customHeight="1" outlineLevel="1">
      <c r="C94" s="51"/>
      <c r="D94" s="52"/>
    </row>
    <row r="95" spans="1:13" ht="13.5" customHeight="1" outlineLevel="1">
      <c r="C95" s="53"/>
      <c r="D95" s="53"/>
      <c r="E95" s="53"/>
      <c r="F95" s="54" t="s">
        <v>63</v>
      </c>
      <c r="G95" s="54" t="s">
        <v>63</v>
      </c>
      <c r="H95" s="55" t="s">
        <v>64</v>
      </c>
      <c r="I95" s="55"/>
      <c r="J95" s="55"/>
      <c r="K95" s="55"/>
      <c r="L95" s="55"/>
    </row>
    <row r="96" spans="1:13" ht="13.5" customHeight="1" outlineLevel="1" thickBot="1">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C97" s="59"/>
      <c r="D97" s="59"/>
      <c r="E97" s="59"/>
      <c r="F97" s="60"/>
      <c r="G97" s="60"/>
      <c r="H97" s="60"/>
      <c r="I97" s="60"/>
      <c r="J97" s="60"/>
      <c r="K97" s="60"/>
    </row>
    <row r="98" spans="1:13" ht="13.5" customHeight="1" outlineLevel="1">
      <c r="C98" s="84" t="s">
        <v>179</v>
      </c>
      <c r="D98" s="85"/>
      <c r="E98" s="86"/>
      <c r="F98" s="86"/>
      <c r="G98" s="86"/>
      <c r="H98" s="86"/>
      <c r="I98" s="86"/>
      <c r="J98" s="86"/>
      <c r="K98" s="86"/>
      <c r="L98" s="87"/>
      <c r="M98" s="50"/>
    </row>
    <row r="99" spans="1:13" ht="13.5" customHeight="1" outlineLevel="1">
      <c r="C99" s="118"/>
      <c r="D99" s="118"/>
      <c r="E99" s="118"/>
    </row>
    <row r="100" spans="1:13" ht="13.5" customHeight="1" outlineLevel="1">
      <c r="C100" s="68" t="s">
        <v>22</v>
      </c>
      <c r="D100" s="68"/>
      <c r="E100" s="68"/>
      <c r="F100" s="68"/>
      <c r="G100" s="147"/>
      <c r="H100" s="149">
        <f>H33</f>
        <v>7.078372487829796</v>
      </c>
      <c r="I100" s="149">
        <f>I33</f>
        <v>8.5973148077077592</v>
      </c>
      <c r="J100" s="149">
        <f ca="1">J33</f>
        <v>9.965950368426526</v>
      </c>
      <c r="K100" s="149">
        <f ca="1">K33</f>
        <v>11.072895710987275</v>
      </c>
      <c r="L100" s="149">
        <f ca="1">L33</f>
        <v>11.812471765575342</v>
      </c>
      <c r="M100" s="50"/>
    </row>
    <row r="101" spans="1:13" ht="13.5" customHeight="1" outlineLevel="1">
      <c r="C101" s="91" t="s">
        <v>15</v>
      </c>
      <c r="D101" s="68"/>
      <c r="E101" s="68"/>
      <c r="F101" s="68"/>
      <c r="G101" s="154"/>
      <c r="H101" s="149">
        <f>H20</f>
        <v>5.829392560625954</v>
      </c>
      <c r="I101" s="149">
        <f>I20</f>
        <v>6.1302957891314076</v>
      </c>
      <c r="J101" s="149">
        <f ca="1">J20</f>
        <v>6.4683165246530567</v>
      </c>
      <c r="K101" s="149">
        <f ca="1">K20</f>
        <v>6.8378927245374452</v>
      </c>
      <c r="L101" s="149">
        <f ca="1">L20</f>
        <v>7.2308829200900817</v>
      </c>
      <c r="M101" s="50"/>
    </row>
    <row r="102" spans="1:13" ht="13.5" customHeight="1" outlineLevel="1">
      <c r="C102" s="91" t="s">
        <v>183</v>
      </c>
      <c r="D102" s="68"/>
      <c r="E102" s="68"/>
      <c r="F102" s="68"/>
      <c r="G102" s="154"/>
      <c r="H102" s="149">
        <f>H21</f>
        <v>0.237952</v>
      </c>
      <c r="I102" s="149">
        <f t="shared" ref="I102:L102" si="29">I21</f>
        <v>0.237952</v>
      </c>
      <c r="J102" s="149">
        <f t="shared" si="29"/>
        <v>0.237952</v>
      </c>
      <c r="K102" s="149">
        <f t="shared" si="29"/>
        <v>0.237952</v>
      </c>
      <c r="L102" s="149">
        <f t="shared" si="29"/>
        <v>0.237952</v>
      </c>
      <c r="M102" s="50"/>
    </row>
    <row r="103" spans="1:13" ht="13.5" customHeight="1" outlineLevel="1">
      <c r="C103" s="65" t="s">
        <v>185</v>
      </c>
      <c r="D103" s="65"/>
      <c r="E103" s="65"/>
      <c r="F103" s="65"/>
      <c r="G103" s="197"/>
      <c r="H103" s="198">
        <f>SUM(H100:H102)</f>
        <v>13.145717048455751</v>
      </c>
      <c r="I103" s="198">
        <f t="shared" ref="I103:L103" si="30">SUM(I100:I102)</f>
        <v>14.965562596839167</v>
      </c>
      <c r="J103" s="198">
        <f t="shared" ca="1" si="30"/>
        <v>16.672218893079581</v>
      </c>
      <c r="K103" s="198">
        <f t="shared" ca="1" si="30"/>
        <v>18.148740435524722</v>
      </c>
      <c r="L103" s="198">
        <f t="shared" ca="1" si="30"/>
        <v>19.281306685665424</v>
      </c>
      <c r="M103" s="50"/>
    </row>
    <row r="104" spans="1:13" ht="13.5" customHeight="1" outlineLevel="1">
      <c r="C104" s="91" t="s">
        <v>187</v>
      </c>
      <c r="D104" s="68"/>
      <c r="E104" s="68"/>
      <c r="F104" s="68"/>
      <c r="G104" s="154"/>
      <c r="H104" s="149">
        <f>-(H141)</f>
        <v>-0.48883509995862262</v>
      </c>
      <c r="I104" s="149">
        <f>-(I141)</f>
        <v>-2.442732342081074</v>
      </c>
      <c r="J104" s="149">
        <f>-(J141)</f>
        <v>-2.2661896327842008</v>
      </c>
      <c r="K104" s="149">
        <f>-(K141)</f>
        <v>-1.9266020793187231</v>
      </c>
      <c r="L104" s="149">
        <f>-(L141)</f>
        <v>-1.4295290419769913</v>
      </c>
      <c r="M104" s="50"/>
    </row>
    <row r="105" spans="1:13" ht="13.5" customHeight="1" outlineLevel="1">
      <c r="C105" s="180" t="s">
        <v>189</v>
      </c>
      <c r="D105" s="180"/>
      <c r="E105" s="180"/>
      <c r="F105" s="180"/>
      <c r="G105" s="199"/>
      <c r="H105" s="200">
        <f>+SUM(H103:H104)</f>
        <v>12.656881948497128</v>
      </c>
      <c r="I105" s="200">
        <f t="shared" ref="I105:L105" si="31">+SUM(I103:I104)</f>
        <v>12.522830254758093</v>
      </c>
      <c r="J105" s="200">
        <f t="shared" ca="1" si="31"/>
        <v>14.40602926029538</v>
      </c>
      <c r="K105" s="200">
        <f t="shared" ca="1" si="31"/>
        <v>16.222138356205999</v>
      </c>
      <c r="L105" s="200">
        <f t="shared" ca="1" si="31"/>
        <v>17.851777643688433</v>
      </c>
      <c r="M105" s="50"/>
    </row>
    <row r="106" spans="1:13" ht="13.5" customHeight="1" outlineLevel="1">
      <c r="C106" s="68"/>
      <c r="D106" s="68"/>
      <c r="E106" s="68"/>
      <c r="F106" s="68"/>
      <c r="G106" s="154"/>
      <c r="H106" s="154"/>
      <c r="I106" s="154"/>
      <c r="J106" s="154"/>
      <c r="K106" s="154"/>
      <c r="L106" s="154"/>
    </row>
    <row r="107" spans="1:13" ht="13.5" customHeight="1" outlineLevel="1">
      <c r="C107" s="84" t="s">
        <v>190</v>
      </c>
      <c r="D107" s="85"/>
      <c r="E107" s="86"/>
      <c r="F107" s="86"/>
      <c r="G107" s="86"/>
      <c r="H107" s="201"/>
      <c r="I107" s="201"/>
      <c r="J107" s="201"/>
      <c r="K107" s="201"/>
      <c r="L107" s="202"/>
    </row>
    <row r="108" spans="1:13" ht="13.5" customHeight="1" outlineLevel="1">
      <c r="C108" s="118"/>
      <c r="D108" s="118"/>
      <c r="E108" s="118"/>
      <c r="H108" s="68"/>
      <c r="I108" s="68"/>
      <c r="J108" s="68"/>
      <c r="K108" s="68"/>
      <c r="L108" s="68"/>
    </row>
    <row r="109" spans="1:13" ht="13.5" customHeight="1" outlineLevel="1">
      <c r="C109" s="39" t="s">
        <v>191</v>
      </c>
      <c r="D109" s="68"/>
      <c r="E109" s="68"/>
      <c r="F109" s="68"/>
      <c r="G109" s="147"/>
      <c r="H109" s="215">
        <f>-H36</f>
        <v>-2.6089416062595356</v>
      </c>
      <c r="I109" s="215">
        <f>-I36</f>
        <v>-3.0090322850545372</v>
      </c>
      <c r="J109" s="215">
        <f>-J36</f>
        <v>-3.3802073552164953</v>
      </c>
      <c r="K109" s="215">
        <f>-K36</f>
        <v>-3.6957619988438841</v>
      </c>
      <c r="L109" s="215">
        <f>-L36</f>
        <v>-3.9299019555263603</v>
      </c>
      <c r="M109" s="50"/>
    </row>
    <row r="110" spans="1:13" ht="13.5" customHeight="1" outlineLevel="1">
      <c r="C110" s="68"/>
      <c r="D110" s="68"/>
      <c r="E110" s="68"/>
      <c r="F110" s="68"/>
      <c r="G110" s="154"/>
      <c r="H110" s="154"/>
      <c r="I110" s="154"/>
      <c r="J110" s="154"/>
      <c r="K110" s="154"/>
      <c r="L110" s="154"/>
    </row>
    <row r="111" spans="1:13" ht="13.5" customHeight="1" outlineLevel="1">
      <c r="A111" s="125"/>
      <c r="C111" s="84" t="s">
        <v>193</v>
      </c>
      <c r="D111" s="85"/>
      <c r="E111" s="86"/>
      <c r="F111" s="86"/>
      <c r="G111" s="86"/>
      <c r="H111" s="201"/>
      <c r="I111" s="201"/>
      <c r="J111" s="201"/>
      <c r="K111" s="201"/>
      <c r="L111" s="202"/>
    </row>
    <row r="112" spans="1:13" ht="13.5" customHeight="1" outlineLevel="1">
      <c r="A112" s="125"/>
      <c r="C112" s="118"/>
      <c r="D112" s="118"/>
      <c r="E112" s="118"/>
      <c r="H112" s="68"/>
      <c r="I112" s="68"/>
      <c r="J112" s="68"/>
      <c r="K112" s="68"/>
      <c r="L112" s="68"/>
    </row>
    <row r="113" spans="1:13" s="205" customFormat="1" ht="13.5" customHeight="1" outlineLevel="1">
      <c r="A113" s="204"/>
      <c r="C113" s="68" t="s">
        <v>41</v>
      </c>
      <c r="D113" s="118"/>
      <c r="E113" s="118"/>
      <c r="F113" s="29"/>
      <c r="G113" s="132"/>
      <c r="H113" s="129">
        <f ca="1">H78-G78</f>
        <v>-0.58794119223759234</v>
      </c>
      <c r="I113" s="129">
        <f t="shared" ref="I113:L116" ca="1" si="32">I78-H78</f>
        <v>-0.70135880776240755</v>
      </c>
      <c r="J113" s="129">
        <f t="shared" ca="1" si="32"/>
        <v>0</v>
      </c>
      <c r="K113" s="129">
        <f t="shared" ca="1" si="32"/>
        <v>0</v>
      </c>
      <c r="L113" s="129">
        <f t="shared" ca="1" si="32"/>
        <v>0</v>
      </c>
      <c r="M113" s="50" t="s">
        <v>244</v>
      </c>
    </row>
    <row r="114" spans="1:13" s="205" customFormat="1" ht="13.5" customHeight="1" outlineLevel="1">
      <c r="A114" s="204"/>
      <c r="C114" s="68" t="str">
        <f>+C79</f>
        <v>Term Loan A</v>
      </c>
      <c r="D114" s="118"/>
      <c r="E114" s="118"/>
      <c r="F114" s="29"/>
      <c r="G114" s="207"/>
      <c r="H114" s="129">
        <f ca="1">H79-G79</f>
        <v>-2.4002902000000006</v>
      </c>
      <c r="I114" s="129">
        <f t="shared" ca="1" si="32"/>
        <v>-8.7947382119411479</v>
      </c>
      <c r="J114" s="129">
        <f t="shared" ca="1" si="32"/>
        <v>-0.80642258805885092</v>
      </c>
      <c r="K114" s="129">
        <f t="shared" ca="1" si="32"/>
        <v>0</v>
      </c>
      <c r="L114" s="129">
        <f t="shared" ca="1" si="32"/>
        <v>0</v>
      </c>
      <c r="M114" s="50" t="s">
        <v>245</v>
      </c>
    </row>
    <row r="115" spans="1:13" s="205" customFormat="1" ht="13.5" customHeight="1" outlineLevel="1">
      <c r="A115" s="204"/>
      <c r="C115" s="68" t="str">
        <f>+C80</f>
        <v>Subordinated - Note 1</v>
      </c>
      <c r="D115" s="118"/>
      <c r="E115" s="118"/>
      <c r="F115" s="29"/>
      <c r="G115" s="207"/>
      <c r="H115" s="129">
        <f ca="1">H80-G80</f>
        <v>-1.7067600000000002E-2</v>
      </c>
      <c r="I115" s="129">
        <f t="shared" ca="1" si="32"/>
        <v>-1.7067600000000002E-2</v>
      </c>
      <c r="J115" s="129">
        <f t="shared" ca="1" si="32"/>
        <v>-5.1202799999999993E-2</v>
      </c>
      <c r="K115" s="129">
        <f t="shared" ca="1" si="32"/>
        <v>0</v>
      </c>
      <c r="L115" s="129">
        <f t="shared" ca="1" si="32"/>
        <v>0</v>
      </c>
      <c r="M115" s="50" t="s">
        <v>246</v>
      </c>
    </row>
    <row r="116" spans="1:13" s="205" customFormat="1" ht="13.5" customHeight="1" outlineLevel="1">
      <c r="A116" s="204"/>
      <c r="C116" s="68" t="str">
        <f t="shared" ref="C116" si="33">+C81</f>
        <v>Subordinated - Note 2</v>
      </c>
      <c r="D116" s="118"/>
      <c r="E116" s="118"/>
      <c r="F116" s="29"/>
      <c r="G116" s="207"/>
      <c r="H116" s="129">
        <f ca="1">H81-G81</f>
        <v>-6.3334999999999954E-4</v>
      </c>
      <c r="I116" s="129">
        <f t="shared" ca="1" si="32"/>
        <v>-6.3334999999999954E-4</v>
      </c>
      <c r="J116" s="129">
        <f t="shared" ca="1" si="32"/>
        <v>-6.9668499999999993E-3</v>
      </c>
      <c r="K116" s="129">
        <f t="shared" ca="1" si="32"/>
        <v>-4.4334500000000011E-3</v>
      </c>
      <c r="L116" s="129">
        <f t="shared" ca="1" si="32"/>
        <v>0</v>
      </c>
      <c r="M116" s="50" t="s">
        <v>246</v>
      </c>
    </row>
    <row r="117" spans="1:13" s="205" customFormat="1" ht="13.5" customHeight="1" outlineLevel="1">
      <c r="A117" s="204"/>
      <c r="C117" s="180" t="s">
        <v>194</v>
      </c>
      <c r="D117" s="180"/>
      <c r="E117" s="180"/>
      <c r="F117" s="180"/>
      <c r="G117" s="199"/>
      <c r="H117" s="200">
        <f ca="1">SUM(H113:H116)</f>
        <v>-3.005932342237593</v>
      </c>
      <c r="I117" s="200">
        <f t="shared" ref="I117:L117" ca="1" si="34">SUM(I113:I116)</f>
        <v>-9.5137979697035551</v>
      </c>
      <c r="J117" s="200">
        <f t="shared" ca="1" si="34"/>
        <v>-0.86459223805885088</v>
      </c>
      <c r="K117" s="200">
        <f t="shared" ca="1" si="34"/>
        <v>-4.4334500000000011E-3</v>
      </c>
      <c r="L117" s="200">
        <f t="shared" ca="1" si="34"/>
        <v>0</v>
      </c>
    </row>
    <row r="118" spans="1:13" s="205" customFormat="1" ht="13.5" customHeight="1" outlineLevel="1">
      <c r="C118" s="118"/>
      <c r="D118" s="118"/>
      <c r="E118" s="118"/>
      <c r="F118" s="29"/>
      <c r="G118" s="29"/>
      <c r="H118" s="68"/>
      <c r="I118" s="68"/>
      <c r="J118" s="68"/>
      <c r="K118" s="68"/>
      <c r="L118" s="68"/>
    </row>
    <row r="119" spans="1:13" s="205" customFormat="1" ht="13.5" customHeight="1" outlineLevel="1">
      <c r="C119" s="39" t="s">
        <v>195</v>
      </c>
      <c r="D119" s="118"/>
      <c r="E119" s="118"/>
      <c r="F119" s="30"/>
      <c r="G119" s="208"/>
      <c r="H119" s="215">
        <f ca="1">H117+H109+H105</f>
        <v>7.0420079999999992</v>
      </c>
      <c r="I119" s="215">
        <f ca="1">I117+I109+I105</f>
        <v>0</v>
      </c>
      <c r="J119" s="215">
        <f ca="1">J117+J109+J105</f>
        <v>10.161229667020034</v>
      </c>
      <c r="K119" s="215">
        <f ca="1">K117+K109+K105</f>
        <v>12.521942907362115</v>
      </c>
      <c r="L119" s="215">
        <f ca="1">L117+L109+L105</f>
        <v>13.921875688162071</v>
      </c>
      <c r="M119" s="50"/>
    </row>
    <row r="120" spans="1:13" s="205" customFormat="1" ht="5.0999999999999996" customHeight="1" outlineLevel="1" thickBot="1">
      <c r="C120" s="157"/>
      <c r="D120" s="157"/>
      <c r="E120" s="157"/>
      <c r="F120" s="83"/>
      <c r="G120" s="83"/>
      <c r="H120" s="83"/>
      <c r="I120" s="83"/>
      <c r="J120" s="83"/>
      <c r="K120" s="83"/>
      <c r="L120" s="83"/>
    </row>
    <row r="121" spans="1:13" s="205" customFormat="1" ht="13.5" customHeight="1" outlineLevel="1">
      <c r="C121" s="29"/>
      <c r="D121" s="29"/>
      <c r="E121" s="29"/>
      <c r="F121" s="29"/>
      <c r="G121" s="29"/>
      <c r="H121" s="29"/>
      <c r="I121" s="29"/>
      <c r="J121" s="29"/>
      <c r="K121" s="29"/>
      <c r="L121" s="29"/>
    </row>
    <row r="122" spans="1:13" ht="13.5" customHeight="1" outlineLevel="1" thickBot="1"/>
    <row r="123" spans="1:13" ht="21.75" thickTop="1">
      <c r="B123" s="46" t="s">
        <v>61</v>
      </c>
      <c r="C123" s="47" t="s">
        <v>148</v>
      </c>
      <c r="D123" s="48"/>
      <c r="E123" s="49"/>
      <c r="F123" s="49"/>
      <c r="G123" s="49"/>
      <c r="H123" s="49"/>
      <c r="I123" s="49"/>
      <c r="J123" s="49"/>
      <c r="K123" s="49"/>
      <c r="L123" s="49"/>
    </row>
    <row r="124" spans="1:13" ht="5.0999999999999996" customHeight="1" outlineLevel="1">
      <c r="C124" s="51"/>
      <c r="D124" s="52"/>
    </row>
    <row r="125" spans="1:13" ht="13.5" customHeight="1" outlineLevel="1">
      <c r="C125" s="53"/>
      <c r="D125" s="53"/>
      <c r="E125" s="53"/>
      <c r="F125" s="54" t="s">
        <v>63</v>
      </c>
      <c r="G125" s="54" t="s">
        <v>63</v>
      </c>
      <c r="H125" s="55" t="s">
        <v>64</v>
      </c>
      <c r="I125" s="55"/>
      <c r="J125" s="55"/>
      <c r="K125" s="55"/>
      <c r="L125" s="55"/>
    </row>
    <row r="126" spans="1:13" ht="13.5" customHeight="1" outlineLevel="1" thickBot="1">
      <c r="C126" s="56" t="s">
        <v>65</v>
      </c>
      <c r="D126" s="57"/>
      <c r="E126" s="57"/>
      <c r="F126" s="58">
        <f>F$11</f>
        <v>45291</v>
      </c>
      <c r="G126" s="58">
        <f>G$11</f>
        <v>45657</v>
      </c>
      <c r="H126" s="58">
        <f t="shared" ref="H126:L126" si="35">H$11</f>
        <v>46022</v>
      </c>
      <c r="I126" s="58">
        <f t="shared" si="35"/>
        <v>46387</v>
      </c>
      <c r="J126" s="58">
        <f t="shared" si="35"/>
        <v>46752</v>
      </c>
      <c r="K126" s="58">
        <f t="shared" si="35"/>
        <v>47118</v>
      </c>
      <c r="L126" s="58">
        <f t="shared" si="35"/>
        <v>47483</v>
      </c>
    </row>
    <row r="127" spans="1:13" ht="5.0999999999999996" customHeight="1" outlineLevel="1">
      <c r="C127" s="59"/>
      <c r="D127" s="59"/>
      <c r="E127" s="59"/>
      <c r="F127" s="60"/>
      <c r="G127" s="60"/>
      <c r="H127" s="60"/>
      <c r="I127" s="60"/>
      <c r="J127" s="60"/>
      <c r="K127" s="60"/>
    </row>
    <row r="128" spans="1: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6">F61</f>
        <v>16.781419000000003</v>
      </c>
      <c r="G130" s="177">
        <f t="shared" si="36"/>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6"/>
        <v>0.80490099999999998</v>
      </c>
      <c r="G131" s="177">
        <f t="shared" si="36"/>
        <v>1.161057</v>
      </c>
      <c r="H131" s="177">
        <f>(H146/365)*H150</f>
        <v>1.2029011201180084</v>
      </c>
      <c r="I131" s="177">
        <f t="shared" ref="I131:L131" si="37">(I146/365)*I150</f>
        <v>1.3873703794209342</v>
      </c>
      <c r="J131" s="177">
        <f t="shared" si="37"/>
        <v>1.558507558799139</v>
      </c>
      <c r="K131" s="177">
        <f t="shared" si="37"/>
        <v>1.7039999045715051</v>
      </c>
      <c r="L131" s="177">
        <f t="shared" si="37"/>
        <v>1.8119544925477122</v>
      </c>
      <c r="M131" s="50"/>
    </row>
    <row r="132" spans="3:13" ht="13.5" customHeight="1" outlineLevel="1">
      <c r="C132" s="91" t="str">
        <f>C63</f>
        <v>Prepaids and Other Current Assets</v>
      </c>
      <c r="D132" s="68"/>
      <c r="E132" s="68"/>
      <c r="F132" s="177">
        <f t="shared" si="36"/>
        <v>0.26978399999999997</v>
      </c>
      <c r="G132" s="177">
        <f t="shared" si="36"/>
        <v>0.34491899999999998</v>
      </c>
      <c r="H132" s="177">
        <f>H151*H147</f>
        <v>0.3792215684283346</v>
      </c>
      <c r="I132" s="177">
        <f t="shared" ref="I132:L132" si="38">I151*I147</f>
        <v>0.43737657441320382</v>
      </c>
      <c r="J132" s="177">
        <f t="shared" si="38"/>
        <v>0.49132856472628733</v>
      </c>
      <c r="K132" s="177">
        <f t="shared" si="38"/>
        <v>0.53719587221761422</v>
      </c>
      <c r="L132" s="177">
        <f t="shared" si="38"/>
        <v>0.57122918342390505</v>
      </c>
      <c r="M132" s="50"/>
    </row>
    <row r="133" spans="3:13" ht="13.5" customHeight="1" outlineLevel="1">
      <c r="C133" s="65" t="s">
        <v>152</v>
      </c>
      <c r="D133" s="65"/>
      <c r="E133" s="65"/>
      <c r="F133" s="179">
        <f t="shared" ref="F133:L133" si="39">SUM(F130:F132)</f>
        <v>17.856104000000006</v>
      </c>
      <c r="G133" s="179">
        <f t="shared" si="39"/>
        <v>23.790697999999999</v>
      </c>
      <c r="H133" s="179">
        <f t="shared" si="39"/>
        <v>25.594733500229559</v>
      </c>
      <c r="I133" s="179">
        <f t="shared" si="39"/>
        <v>29.519778919074909</v>
      </c>
      <c r="J133" s="179">
        <f t="shared" si="39"/>
        <v>33.161150952826461</v>
      </c>
      <c r="K133" s="179">
        <f t="shared" si="39"/>
        <v>36.256864934705241</v>
      </c>
      <c r="L133" s="179">
        <f t="shared" si="39"/>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40">F74</f>
        <v>2.8058170000000002</v>
      </c>
      <c r="G135" s="177">
        <f t="shared" si="40"/>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40"/>
        <v>2.3839329999999999</v>
      </c>
      <c r="G136" s="177">
        <f t="shared" si="40"/>
        <v>2.7880379999999998</v>
      </c>
      <c r="H136" s="177">
        <f>H154*H147</f>
        <v>3.1966854452582232</v>
      </c>
      <c r="I136" s="177">
        <f t="shared" ref="I136:L136" si="41">I154*I147</f>
        <v>3.6869087782063024</v>
      </c>
      <c r="J136" s="177">
        <f t="shared" si="41"/>
        <v>4.1417023778724023</v>
      </c>
      <c r="K136" s="177">
        <f t="shared" si="41"/>
        <v>4.5283453498910609</v>
      </c>
      <c r="L136" s="177">
        <f t="shared" si="41"/>
        <v>4.8152324882940372</v>
      </c>
      <c r="M136" s="50"/>
    </row>
    <row r="137" spans="3:13" ht="13.5" customHeight="1" outlineLevel="1">
      <c r="C137" s="91" t="str">
        <f>C76</f>
        <v>Accrued Expenses &amp; Other</v>
      </c>
      <c r="D137" s="68"/>
      <c r="E137" s="68"/>
      <c r="F137" s="177">
        <f t="shared" si="40"/>
        <v>2.0579079999999998</v>
      </c>
      <c r="G137" s="177">
        <f t="shared" si="40"/>
        <v>3.2020309999999998</v>
      </c>
      <c r="H137" s="177">
        <f>H155*H147</f>
        <v>3.2317636858846019</v>
      </c>
      <c r="I137" s="177">
        <f t="shared" ref="I137:L137" si="42">I155*I147</f>
        <v>3.727366394541769</v>
      </c>
      <c r="J137" s="177">
        <f t="shared" si="42"/>
        <v>4.1871505882458564</v>
      </c>
      <c r="K137" s="177">
        <f t="shared" si="42"/>
        <v>4.5780363159066395</v>
      </c>
      <c r="L137" s="177">
        <f t="shared" si="42"/>
        <v>4.8680715576328382</v>
      </c>
      <c r="M137" s="50"/>
    </row>
    <row r="138" spans="3:13" ht="13.5" customHeight="1" outlineLevel="1">
      <c r="C138" s="65" t="s">
        <v>156</v>
      </c>
      <c r="D138" s="65"/>
      <c r="E138" s="65"/>
      <c r="F138" s="179">
        <f t="shared" ref="F138:L138" si="43">SUM(F135:F137)</f>
        <v>7.2476579999999995</v>
      </c>
      <c r="G138" s="179">
        <f t="shared" si="43"/>
        <v>8.3507789999999993</v>
      </c>
      <c r="H138" s="179">
        <f t="shared" si="43"/>
        <v>9.6659794002709365</v>
      </c>
      <c r="I138" s="179">
        <f t="shared" si="43"/>
        <v>11.148292477035213</v>
      </c>
      <c r="J138" s="179">
        <f t="shared" si="43"/>
        <v>12.523474878002563</v>
      </c>
      <c r="K138" s="179">
        <f t="shared" si="43"/>
        <v>13.692586780562621</v>
      </c>
      <c r="L138" s="179">
        <f t="shared" si="43"/>
        <v>14.560061925519163</v>
      </c>
    </row>
    <row r="139" spans="3:13" ht="13.5" customHeight="1" outlineLevel="1">
      <c r="C139" s="180" t="s">
        <v>157</v>
      </c>
      <c r="D139" s="180"/>
      <c r="E139" s="180"/>
      <c r="F139" s="181">
        <f t="shared" ref="F139:L139" si="44">F133-F138</f>
        <v>10.608446000000006</v>
      </c>
      <c r="G139" s="181">
        <f t="shared" si="44"/>
        <v>15.439919</v>
      </c>
      <c r="H139" s="181">
        <f t="shared" si="44"/>
        <v>15.928754099958622</v>
      </c>
      <c r="I139" s="181">
        <f t="shared" si="44"/>
        <v>18.371486442039696</v>
      </c>
      <c r="J139" s="181">
        <f t="shared" si="44"/>
        <v>20.637676074823897</v>
      </c>
      <c r="K139" s="181">
        <f t="shared" si="44"/>
        <v>22.56427815414262</v>
      </c>
      <c r="L139" s="181">
        <f t="shared" si="44"/>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5">G139-F139</f>
        <v>4.8314729999999937</v>
      </c>
      <c r="H141" s="182">
        <f t="shared" si="45"/>
        <v>0.48883509995862262</v>
      </c>
      <c r="I141" s="182">
        <f t="shared" si="45"/>
        <v>2.442732342081074</v>
      </c>
      <c r="J141" s="182">
        <f t="shared" si="45"/>
        <v>2.2661896327842008</v>
      </c>
      <c r="K141" s="182">
        <f t="shared" si="45"/>
        <v>1.9266020793187231</v>
      </c>
      <c r="L141" s="182">
        <f t="shared" si="45"/>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6">F13</f>
        <v>78.565675999999996</v>
      </c>
      <c r="G145" s="209">
        <f t="shared" si="46"/>
        <v>90.614007999999998</v>
      </c>
      <c r="H145" s="209">
        <f t="shared" si="46"/>
        <v>104.5099955077592</v>
      </c>
      <c r="I145" s="209">
        <f t="shared" si="46"/>
        <v>120.53698321160066</v>
      </c>
      <c r="J145" s="209">
        <f t="shared" si="46"/>
        <v>135.4056582414087</v>
      </c>
      <c r="K145" s="209">
        <f t="shared" si="46"/>
        <v>148.04626863637753</v>
      </c>
      <c r="L145" s="209">
        <f t="shared" si="46"/>
        <v>157.42553790111026</v>
      </c>
      <c r="M145" s="50"/>
    </row>
    <row r="146" spans="1:19" ht="13.5" customHeight="1" outlineLevel="1">
      <c r="C146" s="68" t="s">
        <v>66</v>
      </c>
      <c r="D146" s="68"/>
      <c r="E146" s="68"/>
      <c r="F146" s="177">
        <f t="shared" si="46"/>
        <v>51.562188999999996</v>
      </c>
      <c r="G146" s="177">
        <f t="shared" si="46"/>
        <v>61.618676000000001</v>
      </c>
      <c r="H146" s="177">
        <f t="shared" si="46"/>
        <v>69.828708282059708</v>
      </c>
      <c r="I146" s="177">
        <f t="shared" si="46"/>
        <v>80.537194523728473</v>
      </c>
      <c r="J146" s="177">
        <f t="shared" si="46"/>
        <v>90.471750220079329</v>
      </c>
      <c r="K146" s="177">
        <f t="shared" si="46"/>
        <v>98.917616966977391</v>
      </c>
      <c r="L146" s="177">
        <f t="shared" si="46"/>
        <v>105.18440756632523</v>
      </c>
      <c r="M146" s="50"/>
    </row>
    <row r="147" spans="1:19" ht="13.5" customHeight="1" outlineLevel="1">
      <c r="C147" s="68" t="s">
        <v>69</v>
      </c>
      <c r="D147" s="68"/>
      <c r="E147" s="68"/>
      <c r="F147" s="177">
        <f t="shared" ref="F147:L147" si="47">F17</f>
        <v>14.179914999999999</v>
      </c>
      <c r="G147" s="177">
        <f t="shared" si="47"/>
        <v>15.4366889395</v>
      </c>
      <c r="H147" s="177">
        <f t="shared" si="47"/>
        <v>18.333216581804578</v>
      </c>
      <c r="I147" s="177">
        <f t="shared" si="47"/>
        <v>21.144681985672378</v>
      </c>
      <c r="J147" s="177">
        <f t="shared" si="47"/>
        <v>23.752955369300096</v>
      </c>
      <c r="K147" s="177">
        <f t="shared" si="47"/>
        <v>25.970380094765407</v>
      </c>
      <c r="L147" s="177">
        <f t="shared" si="47"/>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48">I149</f>
        <v>83.863776892169696</v>
      </c>
      <c r="K149" s="211">
        <f t="shared" si="48"/>
        <v>83.863776892169696</v>
      </c>
      <c r="L149" s="211">
        <f t="shared" si="48"/>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49">I151</f>
        <v>2.0684944550576352E-2</v>
      </c>
      <c r="K151" s="139">
        <f t="shared" si="49"/>
        <v>2.0684944550576352E-2</v>
      </c>
      <c r="L151" s="139">
        <f t="shared" si="49"/>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50">H153</f>
        <v>16.922818383787302</v>
      </c>
      <c r="J153" s="211">
        <f t="shared" si="50"/>
        <v>16.922818383787302</v>
      </c>
      <c r="K153" s="211">
        <f t="shared" si="50"/>
        <v>16.922818383787302</v>
      </c>
      <c r="L153" s="211">
        <f t="shared" si="50"/>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50"/>
        <v>0.17436577105792128</v>
      </c>
      <c r="K154" s="139">
        <f t="shared" si="50"/>
        <v>0.17436577105792128</v>
      </c>
      <c r="L154" s="139">
        <f t="shared" si="50"/>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50"/>
        <v>0.1762791418223944</v>
      </c>
      <c r="K155" s="139">
        <f t="shared" si="50"/>
        <v>0.1762791418223944</v>
      </c>
      <c r="L155" s="139">
        <f t="shared" si="50"/>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7 Answer Key'!F13</f>
        <v>0</v>
      </c>
      <c r="G162" s="122">
        <f>'Financials from CIP'!E13/1000-'Step 7 Answer Key'!G13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7 Answer Key'!F15</f>
        <v>0</v>
      </c>
      <c r="G163" s="122">
        <f>'Financials from CIP'!E19/1000-'Step 7 Answer Key'!G15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7 Answer Key'!F18</f>
        <v>0</v>
      </c>
      <c r="G164" s="122">
        <f>'Financials from CIP'!E36/1000-'Step 7 Answer Key'!G18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7 Answer Key'!F33</f>
        <v>0</v>
      </c>
      <c r="G165" s="122">
        <f>'Financials from CIP'!E34/1000-'Step 7 Answer Key'!G33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7 Answer Key'!F60</f>
        <v>0</v>
      </c>
      <c r="G168" s="122">
        <f>'Financials from CIP'!E46/1000-'Step 7 Answer Key'!G60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7 Answer Key'!F64</f>
        <v>0</v>
      </c>
      <c r="G169" s="122">
        <f>'Financials from CIP'!E51/1000-'Step 7 Answer Key'!G64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7 Answer Key'!F70</f>
        <v>0</v>
      </c>
      <c r="G170" s="122">
        <f>'Financials from CIP'!E56/1000-'Step 7 Answer Key'!G70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7 Answer Key'!F77</f>
        <v>0</v>
      </c>
      <c r="G171" s="122">
        <f>'Financials from CIP'!E61/1000-'Step 7 Answer Key'!G77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7 Answer Key'!F84</f>
        <v>0</v>
      </c>
      <c r="G172" s="122">
        <f>'Financials from CIP'!E69/1000-'Step 7 Answer Key'!G84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7 Answer Key'!F85:F86)</f>
        <v>0</v>
      </c>
      <c r="G173" s="122">
        <f>'Financials from CIP'!E73/1000-SUM('Step 7 Answer Key'!G85:G86)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51">H$11</f>
        <v>46022</v>
      </c>
      <c r="I185" s="58">
        <f t="shared" si="51"/>
        <v>46387</v>
      </c>
      <c r="J185" s="58">
        <f t="shared" si="51"/>
        <v>46752</v>
      </c>
      <c r="K185" s="58">
        <f t="shared" si="51"/>
        <v>47118</v>
      </c>
      <c r="L185" s="58">
        <f t="shared" si="51"/>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2">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2"/>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2"/>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2"/>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2"/>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2"/>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3">-SUM(I187:I193)</f>
        <v>6.1302957891314076</v>
      </c>
      <c r="J194" s="156">
        <f t="shared" ca="1" si="53"/>
        <v>6.4683165246530567</v>
      </c>
      <c r="K194" s="156">
        <f t="shared" ca="1" si="53"/>
        <v>6.8378927245374452</v>
      </c>
      <c r="L194" s="156">
        <f t="shared" ca="1" si="53"/>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thickBot="1">
      <c r="A197" s="82"/>
      <c r="B197" s="82"/>
      <c r="C197" s="121"/>
      <c r="D197" s="82"/>
      <c r="E197" s="82"/>
      <c r="F197" s="82"/>
      <c r="G197" s="82"/>
      <c r="H197" s="82"/>
      <c r="I197" s="82"/>
      <c r="J197" s="82"/>
      <c r="K197" s="82"/>
      <c r="L197" s="82"/>
      <c r="M197" s="82"/>
      <c r="N197" s="82"/>
      <c r="O197" s="82"/>
      <c r="P197" s="82"/>
      <c r="Q197" s="82"/>
      <c r="R197" s="82"/>
      <c r="S197" s="82"/>
    </row>
    <row r="198" spans="1:19" ht="19.5" customHeight="1" outlineLevel="1" thickTop="1">
      <c r="A198" s="125"/>
      <c r="B198" s="46" t="s">
        <v>61</v>
      </c>
      <c r="C198" s="47" t="s">
        <v>199</v>
      </c>
      <c r="D198" s="48"/>
      <c r="E198" s="49"/>
      <c r="F198" s="49"/>
      <c r="G198" s="49"/>
      <c r="H198" s="49"/>
      <c r="I198" s="49"/>
      <c r="J198" s="49"/>
      <c r="K198" s="49"/>
      <c r="L198" s="49"/>
      <c r="M198" s="50" t="s">
        <v>200</v>
      </c>
    </row>
    <row r="199" spans="1:19" ht="5.0999999999999996" customHeight="1" outlineLevel="1">
      <c r="A199" s="125"/>
      <c r="M199" s="50"/>
    </row>
    <row r="200" spans="1:19" ht="13.5" customHeight="1" outlineLevel="1">
      <c r="A200" s="125"/>
      <c r="C200" s="53"/>
      <c r="D200" s="53"/>
      <c r="E200" s="53"/>
      <c r="F200" s="54" t="s">
        <v>63</v>
      </c>
      <c r="G200" s="54" t="s">
        <v>63</v>
      </c>
      <c r="H200" s="55" t="s">
        <v>64</v>
      </c>
      <c r="I200" s="55"/>
      <c r="J200" s="55"/>
      <c r="K200" s="55"/>
      <c r="L200" s="55"/>
    </row>
    <row r="201" spans="1:19" ht="13.5" customHeight="1" outlineLevel="1" thickBot="1">
      <c r="A201" s="125"/>
      <c r="C201" s="56" t="s">
        <v>65</v>
      </c>
      <c r="D201" s="57"/>
      <c r="E201" s="57"/>
      <c r="F201" s="58">
        <f>F$11</f>
        <v>45291</v>
      </c>
      <c r="G201" s="58">
        <f>G$11</f>
        <v>45657</v>
      </c>
      <c r="H201" s="58">
        <f t="shared" ref="H201:L201" si="54">H$11</f>
        <v>46022</v>
      </c>
      <c r="I201" s="58">
        <f t="shared" si="54"/>
        <v>46387</v>
      </c>
      <c r="J201" s="58">
        <f t="shared" si="54"/>
        <v>46752</v>
      </c>
      <c r="K201" s="58">
        <f t="shared" si="54"/>
        <v>47118</v>
      </c>
      <c r="L201" s="58">
        <f t="shared" si="54"/>
        <v>47483</v>
      </c>
    </row>
    <row r="202" spans="1:19" ht="5.0999999999999996" customHeight="1" outlineLevel="1">
      <c r="A202" s="125"/>
      <c r="M202" s="50"/>
    </row>
    <row r="203" spans="1:19" ht="13.5" customHeight="1" outlineLevel="1">
      <c r="A203" s="125"/>
      <c r="C203" s="68" t="s">
        <v>247</v>
      </c>
      <c r="D203" s="68"/>
      <c r="E203" s="68"/>
      <c r="F203" s="68"/>
      <c r="G203" s="132"/>
      <c r="H203" s="221">
        <f>G60</f>
        <v>2.9579920000000004</v>
      </c>
      <c r="I203" s="221">
        <f ca="1">H60</f>
        <v>10</v>
      </c>
      <c r="J203" s="221">
        <f ca="1">I60</f>
        <v>10</v>
      </c>
      <c r="K203" s="221">
        <f ca="1">J60</f>
        <v>20.161229667020034</v>
      </c>
      <c r="L203" s="221">
        <f ca="1">K60</f>
        <v>32.683172574382148</v>
      </c>
      <c r="M203" s="50" t="s">
        <v>248</v>
      </c>
    </row>
    <row r="204" spans="1:19" ht="13.5" customHeight="1" outlineLevel="1">
      <c r="A204" s="125"/>
      <c r="C204" s="68" t="s">
        <v>249</v>
      </c>
      <c r="D204" s="68"/>
      <c r="E204" s="68"/>
      <c r="F204" s="68"/>
      <c r="G204" s="250"/>
      <c r="H204" s="130">
        <v>-10</v>
      </c>
      <c r="I204" s="130">
        <v>-10</v>
      </c>
      <c r="J204" s="130">
        <v>-10</v>
      </c>
      <c r="K204" s="130">
        <v>-10</v>
      </c>
      <c r="L204" s="130">
        <v>-10</v>
      </c>
      <c r="M204" s="50" t="s">
        <v>250</v>
      </c>
    </row>
    <row r="205" spans="1:19" ht="13.5" customHeight="1" outlineLevel="1">
      <c r="A205" s="125"/>
      <c r="C205" s="65" t="s">
        <v>251</v>
      </c>
      <c r="D205" s="65"/>
      <c r="E205" s="65"/>
      <c r="F205" s="65"/>
      <c r="G205" s="197"/>
      <c r="H205" s="251">
        <f>SUM(H203:H204)</f>
        <v>-7.0420079999999992</v>
      </c>
      <c r="I205" s="251">
        <f ca="1">SUM(I203:I204)</f>
        <v>0</v>
      </c>
      <c r="J205" s="251">
        <f ca="1">SUM(J203:J204)</f>
        <v>0</v>
      </c>
      <c r="K205" s="251">
        <f ca="1">SUM(K203:K204)</f>
        <v>10.161229667020034</v>
      </c>
      <c r="L205" s="251">
        <f ca="1">SUM(L203:L204)</f>
        <v>22.683172574382148</v>
      </c>
      <c r="M205" s="50" t="s">
        <v>252</v>
      </c>
    </row>
    <row r="206" spans="1:19" ht="13.5" customHeight="1" outlineLevel="1">
      <c r="A206" s="125"/>
      <c r="C206" s="68" t="s">
        <v>253</v>
      </c>
      <c r="D206" s="68"/>
      <c r="E206" s="68"/>
      <c r="F206" s="68"/>
      <c r="G206" s="250"/>
      <c r="H206" s="129">
        <f>H105+H109</f>
        <v>10.047940342237592</v>
      </c>
      <c r="I206" s="129">
        <f t="shared" ref="I206:L206" si="55">I105+I109</f>
        <v>9.5137979697035551</v>
      </c>
      <c r="J206" s="129">
        <f t="shared" ca="1" si="55"/>
        <v>11.025821905078885</v>
      </c>
      <c r="K206" s="129">
        <f t="shared" ca="1" si="55"/>
        <v>12.526376357362114</v>
      </c>
      <c r="L206" s="129">
        <f t="shared" ca="1" si="55"/>
        <v>13.921875688162071</v>
      </c>
      <c r="M206" s="50" t="s">
        <v>254</v>
      </c>
    </row>
    <row r="207" spans="1:19" ht="13.5" customHeight="1" outlineLevel="1">
      <c r="A207" s="125"/>
      <c r="C207" s="70" t="s">
        <v>255</v>
      </c>
      <c r="D207" s="70"/>
      <c r="E207" s="70"/>
      <c r="F207" s="70"/>
      <c r="G207" s="252"/>
      <c r="H207" s="253">
        <f>SUM(H205:H206)</f>
        <v>3.0059323422375925</v>
      </c>
      <c r="I207" s="253">
        <f ca="1">SUM(I205:I206)</f>
        <v>9.5137979697035551</v>
      </c>
      <c r="J207" s="253">
        <f ca="1">SUM(J205:J206)</f>
        <v>11.025821905078885</v>
      </c>
      <c r="K207" s="253">
        <f ca="1">SUM(K205:K206)</f>
        <v>22.687606024382148</v>
      </c>
      <c r="L207" s="253">
        <f ca="1">SUM(L205:L206)</f>
        <v>36.605048262544216</v>
      </c>
      <c r="M207" s="50" t="s">
        <v>256</v>
      </c>
    </row>
    <row r="208" spans="1:19" ht="5.0999999999999996" customHeight="1" outlineLevel="1">
      <c r="A208" s="125"/>
      <c r="C208" s="68"/>
      <c r="D208" s="68"/>
      <c r="E208" s="68"/>
      <c r="F208" s="68"/>
      <c r="G208" s="154"/>
      <c r="H208" s="151"/>
      <c r="I208" s="151"/>
      <c r="J208" s="151"/>
      <c r="K208" s="151"/>
      <c r="L208" s="151"/>
    </row>
    <row r="209" spans="1:13" ht="13.5" customHeight="1" outlineLevel="1">
      <c r="A209" s="125"/>
      <c r="C209" s="72" t="s">
        <v>257</v>
      </c>
      <c r="D209" s="68"/>
      <c r="E209" s="68"/>
      <c r="F209" s="68"/>
      <c r="G209" s="154"/>
      <c r="H209" s="151"/>
      <c r="I209" s="151"/>
      <c r="J209" s="151"/>
      <c r="K209" s="151"/>
      <c r="L209" s="151"/>
    </row>
    <row r="210" spans="1:13" ht="13.5" customHeight="1" outlineLevel="1">
      <c r="A210" s="125"/>
      <c r="C210" s="91" t="str">
        <f>+C237</f>
        <v>Term Loan A</v>
      </c>
      <c r="D210" s="118"/>
      <c r="E210" s="118"/>
      <c r="G210" s="250"/>
      <c r="H210" s="129">
        <f>H239</f>
        <v>-2.4002902000000002</v>
      </c>
      <c r="I210" s="129">
        <f ca="1">I239</f>
        <v>-2.4002902000000002</v>
      </c>
      <c r="J210" s="129">
        <f ca="1">J239</f>
        <v>-0.80642258805885092</v>
      </c>
      <c r="K210" s="129">
        <f ca="1">K239</f>
        <v>0</v>
      </c>
      <c r="L210" s="129">
        <f ca="1">L239</f>
        <v>0</v>
      </c>
      <c r="M210" s="50" t="s">
        <v>258</v>
      </c>
    </row>
    <row r="211" spans="1:13" ht="13.5" customHeight="1" outlineLevel="1">
      <c r="A211" s="125"/>
      <c r="C211" s="91" t="str">
        <f>+C243</f>
        <v>Subordinated - Note 1</v>
      </c>
      <c r="D211" s="118"/>
      <c r="E211" s="118"/>
      <c r="G211" s="250"/>
      <c r="H211" s="129">
        <f>H245</f>
        <v>-1.7067599999999999E-2</v>
      </c>
      <c r="I211" s="129">
        <f ca="1">I245</f>
        <v>-1.7067599999999999E-2</v>
      </c>
      <c r="J211" s="129">
        <f ca="1">J245</f>
        <v>-1.7067599999999999E-2</v>
      </c>
      <c r="K211" s="129">
        <f ca="1">K245</f>
        <v>0</v>
      </c>
      <c r="L211" s="129">
        <f ca="1">L245</f>
        <v>0</v>
      </c>
      <c r="M211" s="50" t="s">
        <v>259</v>
      </c>
    </row>
    <row r="212" spans="1:13" ht="13.5" customHeight="1" outlineLevel="1">
      <c r="A212" s="125"/>
      <c r="C212" s="91" t="str">
        <f>+C249</f>
        <v>Subordinated - Note 2</v>
      </c>
      <c r="D212" s="118"/>
      <c r="E212" s="118"/>
      <c r="G212" s="250"/>
      <c r="H212" s="129">
        <f>H251</f>
        <v>-6.3334999999999997E-4</v>
      </c>
      <c r="I212" s="129">
        <f ca="1">I251</f>
        <v>-6.3334999999999997E-4</v>
      </c>
      <c r="J212" s="129">
        <f ca="1">J251</f>
        <v>-6.3334999999999997E-4</v>
      </c>
      <c r="K212" s="129">
        <f ca="1">K251</f>
        <v>-6.3334999999999997E-4</v>
      </c>
      <c r="L212" s="129">
        <f ca="1">L251</f>
        <v>0</v>
      </c>
      <c r="M212" s="50" t="s">
        <v>260</v>
      </c>
    </row>
    <row r="213" spans="1:13" ht="13.5" customHeight="1" outlineLevel="1">
      <c r="A213" s="125"/>
      <c r="C213" s="65" t="s">
        <v>261</v>
      </c>
      <c r="D213" s="65"/>
      <c r="E213" s="65"/>
      <c r="F213" s="65"/>
      <c r="G213" s="197"/>
      <c r="H213" s="251">
        <f>SUM(H210:H212)</f>
        <v>-2.4179911500000002</v>
      </c>
      <c r="I213" s="251">
        <f ca="1">SUM(I210:I212)</f>
        <v>-2.4179911500000002</v>
      </c>
      <c r="J213" s="251">
        <f ca="1">SUM(J210:J212)</f>
        <v>-0.82412353805885086</v>
      </c>
      <c r="K213" s="251">
        <f ca="1">SUM(K210:K212)</f>
        <v>-6.3334999999999997E-4</v>
      </c>
      <c r="L213" s="251">
        <f ca="1">SUM(L210:L212)</f>
        <v>0</v>
      </c>
      <c r="M213" s="50" t="s">
        <v>262</v>
      </c>
    </row>
    <row r="214" spans="1:13" ht="13.5" customHeight="1" outlineLevel="1">
      <c r="A214" s="125"/>
      <c r="C214" s="180" t="s">
        <v>263</v>
      </c>
      <c r="D214" s="180"/>
      <c r="E214" s="180"/>
      <c r="F214" s="180"/>
      <c r="G214" s="199"/>
      <c r="H214" s="254">
        <f>SUM(H213,H207)</f>
        <v>0.58794119223759234</v>
      </c>
      <c r="I214" s="254">
        <f ca="1">SUM(I213,I207)</f>
        <v>7.0958068197035544</v>
      </c>
      <c r="J214" s="254">
        <f ca="1">SUM(J213,J207)</f>
        <v>10.201698367020034</v>
      </c>
      <c r="K214" s="254">
        <f ca="1">SUM(K213,K207)</f>
        <v>22.686972674382147</v>
      </c>
      <c r="L214" s="254">
        <f ca="1">SUM(L213,L207)</f>
        <v>36.605048262544216</v>
      </c>
      <c r="M214" s="50" t="s">
        <v>264</v>
      </c>
    </row>
    <row r="215" spans="1:13" ht="13.5" customHeight="1" outlineLevel="1">
      <c r="A215" s="125"/>
      <c r="C215" s="59"/>
      <c r="D215" s="59"/>
      <c r="E215" s="59"/>
      <c r="F215" s="60"/>
      <c r="G215" s="60"/>
      <c r="H215" s="255"/>
      <c r="I215" s="255"/>
      <c r="J215" s="255"/>
      <c r="K215" s="255"/>
      <c r="L215" s="256"/>
    </row>
    <row r="216" spans="1:13" ht="13.5" customHeight="1" outlineLevel="1">
      <c r="A216" s="125"/>
      <c r="C216" s="68" t="s">
        <v>265</v>
      </c>
      <c r="D216" s="59"/>
      <c r="E216" s="59"/>
      <c r="F216" s="60"/>
      <c r="G216" s="60"/>
      <c r="H216" s="129">
        <f ca="1">MIN(MAX(0,-H214),H235-H229)</f>
        <v>0</v>
      </c>
      <c r="I216" s="129">
        <f ca="1">MIN(MAX(0,-I214),I235-I229)</f>
        <v>0</v>
      </c>
      <c r="J216" s="129">
        <f ca="1">MIN(MAX(0,-J214),J235-J229)</f>
        <v>0</v>
      </c>
      <c r="K216" s="129">
        <f ca="1">MIN(MAX(0,-K214),K235-K229)</f>
        <v>0</v>
      </c>
      <c r="L216" s="129">
        <f ca="1">MIN(MAX(0,-L214),L235-L229)</f>
        <v>0</v>
      </c>
      <c r="M216" s="50" t="s">
        <v>266</v>
      </c>
    </row>
    <row r="217" spans="1:13" ht="13.5" customHeight="1" outlineLevel="1">
      <c r="A217" s="125"/>
      <c r="C217" s="59"/>
      <c r="D217" s="59"/>
      <c r="E217" s="59"/>
      <c r="F217" s="60"/>
      <c r="G217" s="60"/>
      <c r="H217" s="129"/>
      <c r="I217" s="129"/>
      <c r="J217" s="129"/>
      <c r="K217" s="129"/>
      <c r="L217" s="129"/>
    </row>
    <row r="218" spans="1:13" ht="13.5" customHeight="1" outlineLevel="1">
      <c r="A218" s="125"/>
      <c r="C218" s="72" t="s">
        <v>267</v>
      </c>
      <c r="D218" s="68"/>
      <c r="E218" s="68"/>
      <c r="F218" s="68"/>
      <c r="G218" s="147"/>
      <c r="H218" s="129"/>
      <c r="I218" s="129"/>
      <c r="J218" s="129"/>
      <c r="K218" s="129"/>
      <c r="L218" s="129"/>
    </row>
    <row r="219" spans="1:13" ht="13.5" customHeight="1" outlineLevel="1">
      <c r="A219" s="125"/>
      <c r="C219" s="68" t="s">
        <v>268</v>
      </c>
      <c r="D219" s="68"/>
      <c r="E219" s="68"/>
      <c r="F219" s="68"/>
      <c r="G219" s="132"/>
      <c r="H219" s="129">
        <f ca="1">-MAX(0,MIN(H229,SUM(H$214:H218),H229*$L267))</f>
        <v>-0.58794119223759234</v>
      </c>
      <c r="I219" s="129">
        <f ca="1">-MAX(0,MIN(I229,SUM(I$214:I218),I229*$L267))</f>
        <v>-0.70135880776240755</v>
      </c>
      <c r="J219" s="129">
        <f ca="1">-MAX(0,MIN(J229,SUM(J$214:J218),J229*$L267))</f>
        <v>0</v>
      </c>
      <c r="K219" s="129">
        <f ca="1">-MAX(0,MIN(K229,SUM(K$214:K218),K229*$L267))</f>
        <v>0</v>
      </c>
      <c r="L219" s="129">
        <f ca="1">-MAX(0,MIN(L229,SUM(L$214:L218),L229*$L267))</f>
        <v>0</v>
      </c>
      <c r="M219" s="50" t="s">
        <v>269</v>
      </c>
    </row>
    <row r="220" spans="1:13" ht="13.5" customHeight="1" outlineLevel="1">
      <c r="A220" s="125"/>
      <c r="C220" s="68" t="str">
        <f>+C210</f>
        <v>Term Loan A</v>
      </c>
      <c r="D220" s="68"/>
      <c r="E220" s="68"/>
      <c r="F220" s="68"/>
      <c r="G220" s="154"/>
      <c r="H220" s="129">
        <f ca="1">-MAX(0,MIN(SUM(H238:H239),SUM(H$214:H219),$G241*$L268))</f>
        <v>0</v>
      </c>
      <c r="I220" s="129">
        <f ca="1">-MAX(0,MIN(SUM(I238:I239),SUM(I$214:I219),$G241*$L268))</f>
        <v>-6.3944480119411473</v>
      </c>
      <c r="J220" s="129">
        <f ca="1">-MAX(0,MIN(SUM(J238:J239),SUM(J$214:J219),$G241*$L268))</f>
        <v>0</v>
      </c>
      <c r="K220" s="129">
        <f ca="1">-MAX(0,MIN(SUM(K238:K239),SUM(K$214:K219),$G241*$L268))</f>
        <v>0</v>
      </c>
      <c r="L220" s="129">
        <f ca="1">-MAX(0,MIN(SUM(L238:L239),SUM(L$214:L219),$G241*$L268))</f>
        <v>0</v>
      </c>
      <c r="M220" s="50" t="s">
        <v>270</v>
      </c>
    </row>
    <row r="221" spans="1:13" ht="13.5" customHeight="1" outlineLevel="1">
      <c r="A221" s="125"/>
      <c r="C221" s="68" t="str">
        <f>+C211</f>
        <v>Subordinated - Note 1</v>
      </c>
      <c r="D221" s="68"/>
      <c r="E221" s="68"/>
      <c r="F221" s="68"/>
      <c r="G221" s="154"/>
      <c r="H221" s="129">
        <f ca="1">-MAX(0,MIN(SUM(H244:H245),SUM(H$214:H220),$G247*$L269))</f>
        <v>0</v>
      </c>
      <c r="I221" s="129">
        <f ca="1">-MAX(0,MIN(SUM(I244:I245),SUM(I$214:I220),$G247*$L269))</f>
        <v>0</v>
      </c>
      <c r="J221" s="129">
        <f ca="1">-MAX(0,MIN(SUM(J244:J245),SUM(J$214:J220),$G247*$L269))</f>
        <v>-3.4135199999999991E-2</v>
      </c>
      <c r="K221" s="129">
        <f ca="1">-MAX(0,MIN(SUM(K244:K245),SUM(K$214:K220),$G247*$L269))</f>
        <v>0</v>
      </c>
      <c r="L221" s="129">
        <f ca="1">-MAX(0,MIN(SUM(L244:L245),SUM(L$214:L220),$G247*$L269))</f>
        <v>0</v>
      </c>
      <c r="M221" s="50" t="s">
        <v>271</v>
      </c>
    </row>
    <row r="222" spans="1:13" ht="13.5" customHeight="1" outlineLevel="1">
      <c r="A222" s="125"/>
      <c r="C222" s="68" t="str">
        <f>+C212</f>
        <v>Subordinated - Note 2</v>
      </c>
      <c r="D222" s="68"/>
      <c r="E222" s="68"/>
      <c r="F222" s="68"/>
      <c r="G222" s="154"/>
      <c r="H222" s="129">
        <f ca="1">-MAX(0,MIN(SUM(H250:H251),SUM(H$214:H221),$G253*$L270))</f>
        <v>0</v>
      </c>
      <c r="I222" s="129">
        <f ca="1">-MAX(0,MIN(SUM(I250:I251),SUM(I$214:I221),$G253*$L270))</f>
        <v>0</v>
      </c>
      <c r="J222" s="129">
        <f ca="1">-MAX(0,MIN(SUM(J250:J251),SUM(J$214:J221),$G253*$L270))</f>
        <v>-6.3334999999999997E-3</v>
      </c>
      <c r="K222" s="129">
        <f ca="1">-MAX(0,MIN(SUM(K250:K251),SUM(K$214:K221),$G253*$L270))</f>
        <v>-3.8001000000000011E-3</v>
      </c>
      <c r="L222" s="129">
        <f ca="1">-MAX(0,MIN(SUM(L250:L251),SUM(L$214:L221),$G253*$L270))</f>
        <v>0</v>
      </c>
      <c r="M222" s="50" t="s">
        <v>272</v>
      </c>
    </row>
    <row r="223" spans="1:13" ht="13.5" customHeight="1" outlineLevel="1">
      <c r="A223" s="125"/>
      <c r="C223" s="65" t="s">
        <v>273</v>
      </c>
      <c r="D223" s="65"/>
      <c r="E223" s="65"/>
      <c r="F223" s="65"/>
      <c r="G223" s="257"/>
      <c r="H223" s="251">
        <f ca="1">+SUM(H219:H222)</f>
        <v>-0.58794119223759234</v>
      </c>
      <c r="I223" s="251">
        <f t="shared" ref="I223:L223" ca="1" si="56">+SUM(I219:I222)</f>
        <v>-7.0958068197035544</v>
      </c>
      <c r="J223" s="251">
        <f t="shared" ca="1" si="56"/>
        <v>-4.0468699999999989E-2</v>
      </c>
      <c r="K223" s="251">
        <f t="shared" ca="1" si="56"/>
        <v>-3.8001000000000011E-3</v>
      </c>
      <c r="L223" s="251">
        <f t="shared" ca="1" si="56"/>
        <v>0</v>
      </c>
      <c r="M223" s="50" t="s">
        <v>274</v>
      </c>
    </row>
    <row r="224" spans="1:13" ht="13.5" customHeight="1" outlineLevel="1">
      <c r="A224" s="125"/>
      <c r="C224" s="258"/>
      <c r="D224" s="53"/>
      <c r="E224" s="53"/>
      <c r="F224" s="259"/>
      <c r="G224" s="259"/>
      <c r="H224" s="259"/>
      <c r="I224" s="259"/>
      <c r="J224" s="259"/>
      <c r="K224" s="259"/>
      <c r="L224" s="259"/>
    </row>
    <row r="225" spans="1:13" ht="5.0999999999999996" customHeight="1" outlineLevel="1">
      <c r="A225" s="125"/>
      <c r="C225" s="59"/>
      <c r="D225" s="59"/>
      <c r="E225" s="59"/>
      <c r="F225" s="60"/>
      <c r="G225" s="60"/>
      <c r="H225" s="60"/>
      <c r="I225" s="60"/>
      <c r="J225" s="60"/>
      <c r="K225" s="60"/>
    </row>
    <row r="226" spans="1:13" ht="13.5" customHeight="1" outlineLevel="1">
      <c r="A226" s="125"/>
      <c r="C226" s="84" t="s">
        <v>201</v>
      </c>
      <c r="D226" s="85"/>
      <c r="E226" s="86"/>
      <c r="F226" s="86"/>
      <c r="G226" s="86"/>
      <c r="H226" s="86"/>
      <c r="I226" s="86"/>
      <c r="J226" s="86"/>
      <c r="K226" s="86"/>
      <c r="L226" s="87"/>
    </row>
    <row r="227" spans="1:13" ht="13.5" customHeight="1" outlineLevel="1">
      <c r="A227" s="125"/>
      <c r="M227" s="30"/>
    </row>
    <row r="228" spans="1:13" ht="13.5" customHeight="1" outlineLevel="1">
      <c r="A228" s="125"/>
      <c r="C228" s="216" t="str">
        <f>+C113</f>
        <v>Revolver</v>
      </c>
      <c r="D228" s="217"/>
      <c r="E228" s="217"/>
      <c r="F228" s="218"/>
      <c r="G228" s="219"/>
      <c r="H228" s="220"/>
      <c r="I228" s="220"/>
      <c r="J228" s="220"/>
      <c r="K228" s="220"/>
      <c r="L228" s="220"/>
    </row>
    <row r="229" spans="1:13" ht="13.5" customHeight="1" outlineLevel="1">
      <c r="A229" s="125"/>
      <c r="C229" s="98" t="s">
        <v>202</v>
      </c>
      <c r="D229" s="118"/>
      <c r="E229" s="118"/>
      <c r="G229" s="149"/>
      <c r="H229" s="152">
        <f>G232</f>
        <v>1.2892999999999999</v>
      </c>
      <c r="I229" s="152">
        <f ca="1">H232</f>
        <v>0.70135880776240755</v>
      </c>
      <c r="J229" s="152">
        <f ca="1">I232</f>
        <v>0</v>
      </c>
      <c r="K229" s="152">
        <f ca="1">J232</f>
        <v>0</v>
      </c>
      <c r="L229" s="152">
        <f ca="1">K232</f>
        <v>0</v>
      </c>
      <c r="M229" s="50"/>
    </row>
    <row r="230" spans="1:13" ht="13.5" customHeight="1" outlineLevel="1">
      <c r="A230" s="125"/>
      <c r="C230" s="91" t="s">
        <v>204</v>
      </c>
      <c r="D230" s="118"/>
      <c r="E230" s="118"/>
      <c r="G230" s="149"/>
      <c r="H230" s="129">
        <f ca="1">H216</f>
        <v>0</v>
      </c>
      <c r="I230" s="129">
        <f ca="1">I216</f>
        <v>0</v>
      </c>
      <c r="J230" s="129">
        <f ca="1">J216</f>
        <v>0</v>
      </c>
      <c r="K230" s="129">
        <f ca="1">K216</f>
        <v>0</v>
      </c>
      <c r="L230" s="129">
        <f ca="1">L216</f>
        <v>0</v>
      </c>
      <c r="M230" s="50" t="s">
        <v>275</v>
      </c>
    </row>
    <row r="231" spans="1:13" ht="13.5" customHeight="1" outlineLevel="1">
      <c r="A231" s="125"/>
      <c r="C231" s="91" t="s">
        <v>206</v>
      </c>
      <c r="D231" s="118"/>
      <c r="E231" s="118"/>
      <c r="G231" s="149"/>
      <c r="H231" s="129">
        <f ca="1">H219</f>
        <v>-0.58794119223759234</v>
      </c>
      <c r="I231" s="129">
        <f ca="1">I219</f>
        <v>-0.70135880776240755</v>
      </c>
      <c r="J231" s="129">
        <f ca="1">J219</f>
        <v>0</v>
      </c>
      <c r="K231" s="129">
        <f ca="1">K219</f>
        <v>0</v>
      </c>
      <c r="L231" s="129">
        <f ca="1">L219</f>
        <v>0</v>
      </c>
      <c r="M231" s="50" t="s">
        <v>276</v>
      </c>
    </row>
    <row r="232" spans="1:13" ht="13.5" customHeight="1" outlineLevel="1">
      <c r="A232" s="125"/>
      <c r="C232" s="65" t="s">
        <v>207</v>
      </c>
      <c r="D232" s="65"/>
      <c r="E232" s="65"/>
      <c r="F232" s="65"/>
      <c r="G232" s="260">
        <f>G78</f>
        <v>1.2892999999999999</v>
      </c>
      <c r="H232" s="260">
        <f ca="1">SUM(H229:H231)</f>
        <v>0.70135880776240755</v>
      </c>
      <c r="I232" s="260">
        <f ca="1">SUM(I229:I231)</f>
        <v>0</v>
      </c>
      <c r="J232" s="260">
        <f ca="1">SUM(J229:J231)</f>
        <v>0</v>
      </c>
      <c r="K232" s="260">
        <f ca="1">SUM(K229:K231)</f>
        <v>0</v>
      </c>
      <c r="L232" s="260">
        <f ca="1">SUM(L229:L231)</f>
        <v>0</v>
      </c>
      <c r="M232" s="50"/>
    </row>
    <row r="233" spans="1:13" ht="13.5" customHeight="1" outlineLevel="1">
      <c r="A233" s="125"/>
      <c r="C233" s="68"/>
      <c r="D233" s="68"/>
      <c r="E233" s="68"/>
      <c r="F233" s="68"/>
      <c r="G233" s="147"/>
      <c r="H233" s="154"/>
      <c r="I233" s="68"/>
      <c r="J233" s="68"/>
      <c r="K233" s="68"/>
      <c r="L233" s="68"/>
    </row>
    <row r="234" spans="1:13" ht="13.5" customHeight="1" outlineLevel="1">
      <c r="A234" s="125"/>
      <c r="C234" s="68" t="s">
        <v>209</v>
      </c>
      <c r="D234" s="68"/>
      <c r="E234" s="68"/>
      <c r="F234" s="68"/>
      <c r="G234" s="159">
        <v>30</v>
      </c>
      <c r="H234" s="159">
        <v>30</v>
      </c>
      <c r="I234" s="159">
        <v>30</v>
      </c>
      <c r="J234" s="159">
        <v>30</v>
      </c>
      <c r="K234" s="159">
        <v>30</v>
      </c>
      <c r="L234" s="159">
        <v>30</v>
      </c>
      <c r="M234" s="50"/>
    </row>
    <row r="235" spans="1:13" ht="13.5" customHeight="1" outlineLevel="1">
      <c r="A235" s="125"/>
      <c r="C235" s="98" t="s">
        <v>211</v>
      </c>
      <c r="D235" s="223"/>
      <c r="E235" s="223"/>
      <c r="F235" s="223"/>
      <c r="G235" s="177">
        <f t="shared" ref="G235:L235" si="57">G234-G232</f>
        <v>28.710699999999999</v>
      </c>
      <c r="H235" s="177">
        <f t="shared" ca="1" si="57"/>
        <v>29.298641192237593</v>
      </c>
      <c r="I235" s="177">
        <f t="shared" ca="1" si="57"/>
        <v>30</v>
      </c>
      <c r="J235" s="177">
        <f t="shared" ca="1" si="57"/>
        <v>30</v>
      </c>
      <c r="K235" s="177">
        <f t="shared" ca="1" si="57"/>
        <v>30</v>
      </c>
      <c r="L235" s="177">
        <f t="shared" ca="1" si="57"/>
        <v>30</v>
      </c>
      <c r="M235" s="50"/>
    </row>
    <row r="236" spans="1:13" ht="13.5" customHeight="1" outlineLevel="1">
      <c r="A236" s="125"/>
      <c r="C236" s="68"/>
      <c r="G236" s="68"/>
      <c r="H236" s="68"/>
      <c r="I236" s="68"/>
      <c r="J236" s="68"/>
      <c r="K236" s="68"/>
      <c r="L236" s="68"/>
    </row>
    <row r="237" spans="1:13" ht="13.5" customHeight="1" outlineLevel="1">
      <c r="A237" s="125"/>
      <c r="C237" s="216" t="str">
        <f>+C114</f>
        <v>Term Loan A</v>
      </c>
      <c r="D237" s="217"/>
      <c r="E237" s="217"/>
      <c r="F237" s="218"/>
      <c r="G237" s="219"/>
      <c r="H237" s="224"/>
      <c r="I237" s="224"/>
      <c r="J237" s="225"/>
      <c r="K237" s="225"/>
      <c r="L237" s="225"/>
    </row>
    <row r="238" spans="1:13" ht="13.5" customHeight="1" outlineLevel="1">
      <c r="A238" s="125"/>
      <c r="C238" s="98" t="s">
        <v>202</v>
      </c>
      <c r="D238" s="118"/>
      <c r="E238" s="118"/>
      <c r="G238" s="149"/>
      <c r="H238" s="152">
        <f>G241</f>
        <v>12.001450999999999</v>
      </c>
      <c r="I238" s="152">
        <f ca="1">H241</f>
        <v>9.6011607999999988</v>
      </c>
      <c r="J238" s="152">
        <f ca="1">I241</f>
        <v>0.80642258805885092</v>
      </c>
      <c r="K238" s="152">
        <f ca="1">J241</f>
        <v>0</v>
      </c>
      <c r="L238" s="152">
        <f ca="1">K241</f>
        <v>0</v>
      </c>
      <c r="M238" s="50"/>
    </row>
    <row r="239" spans="1:13" ht="13.5" customHeight="1" outlineLevel="1">
      <c r="A239" s="125"/>
      <c r="C239" s="91" t="s">
        <v>214</v>
      </c>
      <c r="D239" s="118"/>
      <c r="E239" s="118"/>
      <c r="G239" s="149"/>
      <c r="H239" s="177">
        <f>-MIN(($G241*H258),H238)</f>
        <v>-2.4002902000000002</v>
      </c>
      <c r="I239" s="177">
        <f ca="1">-MIN(($G241*I258),I238)</f>
        <v>-2.4002902000000002</v>
      </c>
      <c r="J239" s="177">
        <f ca="1">-MIN(($G241*J258),J238)</f>
        <v>-0.80642258805885092</v>
      </c>
      <c r="K239" s="177">
        <f ca="1">-MIN(($G241*K258),K238)</f>
        <v>0</v>
      </c>
      <c r="L239" s="177">
        <f ca="1">-MIN(($G241*L258),L238)</f>
        <v>0</v>
      </c>
      <c r="M239" s="50"/>
    </row>
    <row r="240" spans="1:13" ht="13.5" customHeight="1" outlineLevel="1">
      <c r="A240" s="125"/>
      <c r="C240" s="91" t="s">
        <v>216</v>
      </c>
      <c r="D240" s="118"/>
      <c r="E240" s="118"/>
      <c r="G240" s="149"/>
      <c r="H240" s="165">
        <f ca="1">H220</f>
        <v>0</v>
      </c>
      <c r="I240" s="165">
        <f t="shared" ref="I240:L240" ca="1" si="58">I220</f>
        <v>-6.3944480119411473</v>
      </c>
      <c r="J240" s="165">
        <f t="shared" ca="1" si="58"/>
        <v>0</v>
      </c>
      <c r="K240" s="165">
        <f t="shared" ca="1" si="58"/>
        <v>0</v>
      </c>
      <c r="L240" s="165">
        <f t="shared" ca="1" si="58"/>
        <v>0</v>
      </c>
      <c r="M240" s="50" t="s">
        <v>277</v>
      </c>
    </row>
    <row r="241" spans="1:13" ht="13.5" customHeight="1" outlineLevel="1">
      <c r="A241" s="125"/>
      <c r="C241" s="65" t="s">
        <v>207</v>
      </c>
      <c r="D241" s="65"/>
      <c r="E241" s="65"/>
      <c r="F241" s="65"/>
      <c r="G241" s="260">
        <f>G79</f>
        <v>12.001450999999999</v>
      </c>
      <c r="H241" s="261">
        <f ca="1">SUM(H238:H240)</f>
        <v>9.6011607999999988</v>
      </c>
      <c r="I241" s="261">
        <f ca="1">SUM(I238:I240)</f>
        <v>0.80642258805885092</v>
      </c>
      <c r="J241" s="261">
        <f ca="1">SUM(J238:J240)</f>
        <v>0</v>
      </c>
      <c r="K241" s="261">
        <f ca="1">SUM(K238:K240)</f>
        <v>0</v>
      </c>
      <c r="L241" s="261">
        <f ca="1">SUM(L238:L240)</f>
        <v>0</v>
      </c>
      <c r="M241" s="50"/>
    </row>
    <row r="242" spans="1:13" ht="13.5" customHeight="1" outlineLevel="1">
      <c r="A242" s="125"/>
      <c r="C242" s="68"/>
      <c r="G242" s="68"/>
      <c r="H242" s="68"/>
      <c r="I242" s="68"/>
      <c r="J242" s="68"/>
      <c r="K242" s="68"/>
      <c r="L242" s="68"/>
    </row>
    <row r="243" spans="1:13" ht="13.5" customHeight="1" outlineLevel="1">
      <c r="A243" s="125"/>
      <c r="C243" s="216" t="str">
        <f>+C115</f>
        <v>Subordinated - Note 1</v>
      </c>
      <c r="D243" s="217"/>
      <c r="E243" s="217"/>
      <c r="F243" s="218"/>
      <c r="G243" s="219"/>
      <c r="H243" s="224"/>
      <c r="I243" s="224"/>
      <c r="J243" s="225"/>
      <c r="K243" s="225"/>
      <c r="L243" s="225"/>
    </row>
    <row r="244" spans="1:13" ht="13.5" customHeight="1" outlineLevel="1">
      <c r="A244" s="125"/>
      <c r="C244" s="98" t="s">
        <v>202</v>
      </c>
      <c r="D244" s="118"/>
      <c r="E244" s="118"/>
      <c r="G244" s="228"/>
      <c r="H244" s="228">
        <f>G247</f>
        <v>8.5337999999999997E-2</v>
      </c>
      <c r="I244" s="228">
        <f ca="1">H247</f>
        <v>6.8270399999999995E-2</v>
      </c>
      <c r="J244" s="228">
        <f ca="1">I247</f>
        <v>5.1202799999999993E-2</v>
      </c>
      <c r="K244" s="228">
        <f ca="1">J247</f>
        <v>0</v>
      </c>
      <c r="L244" s="228">
        <f ca="1">K247</f>
        <v>0</v>
      </c>
      <c r="M244" s="50"/>
    </row>
    <row r="245" spans="1:13" ht="13.5" customHeight="1" outlineLevel="1">
      <c r="A245" s="125"/>
      <c r="C245" s="91" t="s">
        <v>214</v>
      </c>
      <c r="D245" s="118"/>
      <c r="E245" s="118"/>
      <c r="G245" s="154"/>
      <c r="H245" s="177">
        <f>-MIN(H244,(H259*$G247))</f>
        <v>-1.7067599999999999E-2</v>
      </c>
      <c r="I245" s="177">
        <f ca="1">-MIN(I244,(I259*$G247))</f>
        <v>-1.7067599999999999E-2</v>
      </c>
      <c r="J245" s="177">
        <f ca="1">-MIN(J244,(J259*$G247))</f>
        <v>-1.7067599999999999E-2</v>
      </c>
      <c r="K245" s="177">
        <f ca="1">-MIN(K244,(K259*$G247))</f>
        <v>0</v>
      </c>
      <c r="L245" s="177">
        <f ca="1">-MIN(L244,(L259*$G247))</f>
        <v>0</v>
      </c>
      <c r="M245" s="50"/>
    </row>
    <row r="246" spans="1:13" ht="13.5" customHeight="1" outlineLevel="1">
      <c r="A246" s="125"/>
      <c r="C246" s="91" t="s">
        <v>216</v>
      </c>
      <c r="D246" s="118"/>
      <c r="E246" s="118"/>
      <c r="G246" s="154"/>
      <c r="H246" s="165">
        <f ca="1">H221</f>
        <v>0</v>
      </c>
      <c r="I246" s="165">
        <f ca="1">I221</f>
        <v>0</v>
      </c>
      <c r="J246" s="165">
        <f ca="1">J221</f>
        <v>-3.4135199999999991E-2</v>
      </c>
      <c r="K246" s="165">
        <f ca="1">K221</f>
        <v>0</v>
      </c>
      <c r="L246" s="165">
        <f ca="1">L221</f>
        <v>0</v>
      </c>
      <c r="M246" s="50" t="s">
        <v>278</v>
      </c>
    </row>
    <row r="247" spans="1:13" ht="13.5" customHeight="1" outlineLevel="1">
      <c r="A247" s="125"/>
      <c r="C247" s="65" t="s">
        <v>207</v>
      </c>
      <c r="D247" s="65"/>
      <c r="E247" s="65"/>
      <c r="F247" s="65"/>
      <c r="G247" s="257">
        <f>G80</f>
        <v>8.5337999999999997E-2</v>
      </c>
      <c r="H247" s="262">
        <f ca="1">SUM(H244:H246)</f>
        <v>6.8270399999999995E-2</v>
      </c>
      <c r="I247" s="262">
        <f ca="1">SUM(I244:I246)</f>
        <v>5.1202799999999993E-2</v>
      </c>
      <c r="J247" s="262">
        <f ca="1">SUM(J244:J246)</f>
        <v>0</v>
      </c>
      <c r="K247" s="262">
        <f ca="1">SUM(K244:K246)</f>
        <v>0</v>
      </c>
      <c r="L247" s="262">
        <f ca="1">SUM(L244:L246)</f>
        <v>0</v>
      </c>
      <c r="M247" s="50"/>
    </row>
    <row r="248" spans="1:13" ht="13.5" customHeight="1" outlineLevel="1">
      <c r="A248" s="125"/>
      <c r="C248" s="68"/>
      <c r="G248" s="68"/>
      <c r="H248" s="68"/>
      <c r="I248" s="68"/>
      <c r="J248" s="68"/>
      <c r="K248" s="68"/>
      <c r="L248" s="68"/>
    </row>
    <row r="249" spans="1:13" ht="13.5" customHeight="1" outlineLevel="1">
      <c r="A249" s="125"/>
      <c r="C249" s="216" t="str">
        <f>+C116</f>
        <v>Subordinated - Note 2</v>
      </c>
      <c r="D249" s="217"/>
      <c r="E249" s="217"/>
      <c r="F249" s="218"/>
      <c r="G249" s="219"/>
      <c r="H249" s="224"/>
      <c r="I249" s="224"/>
      <c r="J249" s="225"/>
      <c r="K249" s="225"/>
      <c r="L249" s="225"/>
    </row>
    <row r="250" spans="1:13" ht="13.5" customHeight="1" outlineLevel="1">
      <c r="A250" s="125"/>
      <c r="C250" s="98" t="s">
        <v>202</v>
      </c>
      <c r="D250" s="118"/>
      <c r="E250" s="118"/>
      <c r="G250" s="228"/>
      <c r="H250" s="228">
        <f>G253</f>
        <v>1.2666999999999999E-2</v>
      </c>
      <c r="I250" s="228">
        <f ca="1">H253</f>
        <v>1.203365E-2</v>
      </c>
      <c r="J250" s="228">
        <f ca="1">I253</f>
        <v>1.14003E-2</v>
      </c>
      <c r="K250" s="228">
        <f ca="1">J253</f>
        <v>4.4334500000000011E-3</v>
      </c>
      <c r="L250" s="228">
        <f ca="1">K253</f>
        <v>0</v>
      </c>
      <c r="M250" s="50"/>
    </row>
    <row r="251" spans="1:13" ht="13.5" customHeight="1" outlineLevel="1">
      <c r="A251" s="125"/>
      <c r="C251" s="91" t="s">
        <v>214</v>
      </c>
      <c r="D251" s="118"/>
      <c r="E251" s="118"/>
      <c r="G251" s="154"/>
      <c r="H251" s="177">
        <f>-MIN(H250,H260*$G253)</f>
        <v>-6.3334999999999997E-4</v>
      </c>
      <c r="I251" s="177">
        <f ca="1">-MIN(I250,I260*$G253)</f>
        <v>-6.3334999999999997E-4</v>
      </c>
      <c r="J251" s="177">
        <f ca="1">-MIN(J250,J260*$G253)</f>
        <v>-6.3334999999999997E-4</v>
      </c>
      <c r="K251" s="177">
        <f ca="1">-MIN(K250,K260*$G253)</f>
        <v>-6.3334999999999997E-4</v>
      </c>
      <c r="L251" s="177">
        <f ca="1">-MIN(L250,L260*$G253)</f>
        <v>0</v>
      </c>
      <c r="M251" s="50"/>
    </row>
    <row r="252" spans="1:13" ht="13.5" customHeight="1" outlineLevel="1">
      <c r="A252" s="125"/>
      <c r="C252" s="91" t="s">
        <v>216</v>
      </c>
      <c r="D252" s="118"/>
      <c r="E252" s="118"/>
      <c r="G252" s="154"/>
      <c r="H252" s="165">
        <f ca="1">H222</f>
        <v>0</v>
      </c>
      <c r="I252" s="165">
        <f t="shared" ref="I252:L252" ca="1" si="59">I222</f>
        <v>0</v>
      </c>
      <c r="J252" s="165">
        <f t="shared" ca="1" si="59"/>
        <v>-6.3334999999999997E-3</v>
      </c>
      <c r="K252" s="165">
        <f t="shared" ca="1" si="59"/>
        <v>-3.8001000000000011E-3</v>
      </c>
      <c r="L252" s="165">
        <f t="shared" ca="1" si="59"/>
        <v>0</v>
      </c>
      <c r="M252" s="50" t="s">
        <v>279</v>
      </c>
    </row>
    <row r="253" spans="1:13" ht="13.5" customHeight="1" outlineLevel="1">
      <c r="A253" s="125"/>
      <c r="C253" s="65" t="s">
        <v>207</v>
      </c>
      <c r="D253" s="65"/>
      <c r="E253" s="65"/>
      <c r="F253" s="65"/>
      <c r="G253" s="257">
        <f>G81</f>
        <v>1.2666999999999999E-2</v>
      </c>
      <c r="H253" s="262">
        <f ca="1">SUM(H250:H252)</f>
        <v>1.203365E-2</v>
      </c>
      <c r="I253" s="262">
        <f ca="1">SUM(I250:I252)</f>
        <v>1.14003E-2</v>
      </c>
      <c r="J253" s="262">
        <f ca="1">SUM(J250:J252)</f>
        <v>4.4334500000000011E-3</v>
      </c>
      <c r="K253" s="262">
        <f ca="1">SUM(K250:K252)</f>
        <v>0</v>
      </c>
      <c r="L253" s="262">
        <f ca="1">SUM(L250:L252)</f>
        <v>0</v>
      </c>
      <c r="M253" s="50"/>
    </row>
    <row r="254" spans="1:13" ht="13.5" customHeight="1" outlineLevel="1">
      <c r="A254" s="125"/>
      <c r="C254" s="68"/>
      <c r="G254" s="68"/>
      <c r="H254" s="68"/>
      <c r="I254" s="68"/>
      <c r="J254" s="68"/>
      <c r="K254" s="68"/>
      <c r="L254" s="68"/>
    </row>
    <row r="255" spans="1:13" ht="13.5" customHeight="1" outlineLevel="1">
      <c r="A255" s="125"/>
      <c r="C255" s="84" t="s">
        <v>221</v>
      </c>
      <c r="D255" s="85"/>
      <c r="E255" s="86"/>
      <c r="F255" s="86"/>
      <c r="G255" s="234" t="s">
        <v>222</v>
      </c>
      <c r="H255" s="86"/>
      <c r="I255" s="86"/>
      <c r="J255" s="86"/>
      <c r="K255" s="86"/>
      <c r="L255" s="87"/>
    </row>
    <row r="256" spans="1:13" ht="13.5" customHeight="1" outlineLevel="1">
      <c r="A256" s="125"/>
      <c r="C256" s="68"/>
    </row>
    <row r="257" spans="1:13" ht="13.5" customHeight="1" outlineLevel="1">
      <c r="A257" s="125"/>
      <c r="C257" s="68"/>
      <c r="G257" s="235" t="s">
        <v>222</v>
      </c>
      <c r="H257" s="236" t="s">
        <v>223</v>
      </c>
      <c r="I257" s="237"/>
      <c r="J257" s="237"/>
      <c r="K257" s="237"/>
      <c r="L257" s="237"/>
    </row>
    <row r="258" spans="1:13" ht="13.5" customHeight="1" outlineLevel="1">
      <c r="A258" s="125"/>
      <c r="C258" s="68" t="str">
        <f>+C237</f>
        <v>Term Loan A</v>
      </c>
      <c r="G258" s="152">
        <f>G241</f>
        <v>12.001450999999999</v>
      </c>
      <c r="H258" s="263">
        <v>0.2</v>
      </c>
      <c r="I258" s="263">
        <v>0.2</v>
      </c>
      <c r="J258" s="263">
        <v>0.2</v>
      </c>
      <c r="K258" s="263">
        <v>0.2</v>
      </c>
      <c r="L258" s="263">
        <v>0.2</v>
      </c>
      <c r="M258" s="50"/>
    </row>
    <row r="259" spans="1:13" ht="13.5" customHeight="1" outlineLevel="1">
      <c r="A259" s="125"/>
      <c r="C259" s="68" t="str">
        <f>+C243</f>
        <v>Subordinated - Note 1</v>
      </c>
      <c r="G259" s="152">
        <f>G247</f>
        <v>8.5337999999999997E-2</v>
      </c>
      <c r="H259" s="263">
        <v>0.2</v>
      </c>
      <c r="I259" s="263">
        <v>0.2</v>
      </c>
      <c r="J259" s="263">
        <v>0.2</v>
      </c>
      <c r="K259" s="263">
        <v>0.2</v>
      </c>
      <c r="L259" s="263">
        <v>0.2</v>
      </c>
      <c r="M259" s="50"/>
    </row>
    <row r="260" spans="1:13" ht="13.5" customHeight="1" outlineLevel="1">
      <c r="A260" s="125"/>
      <c r="C260" s="68" t="str">
        <f>+C249</f>
        <v>Subordinated - Note 2</v>
      </c>
      <c r="G260" s="152">
        <f>G253</f>
        <v>1.2666999999999999E-2</v>
      </c>
      <c r="H260" s="263">
        <v>0.05</v>
      </c>
      <c r="I260" s="263">
        <v>0.05</v>
      </c>
      <c r="J260" s="263">
        <v>0.05</v>
      </c>
      <c r="K260" s="263">
        <v>0.05</v>
      </c>
      <c r="L260" s="263">
        <v>0.8</v>
      </c>
      <c r="M260" s="50"/>
    </row>
    <row r="261" spans="1:13" ht="13.5" customHeight="1" outlineLevel="1">
      <c r="A261" s="125"/>
      <c r="C261" s="68"/>
    </row>
    <row r="262" spans="1:13" ht="13.5" customHeight="1" outlineLevel="1">
      <c r="A262" s="125"/>
      <c r="C262" s="84" t="s">
        <v>227</v>
      </c>
      <c r="D262" s="85"/>
      <c r="E262" s="86"/>
      <c r="F262" s="86"/>
      <c r="G262" s="86"/>
      <c r="H262" s="86"/>
      <c r="I262" s="86"/>
      <c r="J262" s="86"/>
      <c r="K262" s="86"/>
      <c r="L262" s="87"/>
    </row>
    <row r="263" spans="1:13" ht="13.5" customHeight="1" outlineLevel="1">
      <c r="A263" s="125"/>
      <c r="C263" s="68"/>
    </row>
    <row r="264" spans="1:13" ht="13.5" customHeight="1" outlineLevel="1">
      <c r="A264" s="125"/>
      <c r="C264" s="239"/>
      <c r="D264" s="240"/>
      <c r="E264" s="240"/>
      <c r="H264" s="54"/>
      <c r="I264" s="54" t="s">
        <v>228</v>
      </c>
      <c r="J264" s="54" t="s">
        <v>229</v>
      </c>
      <c r="K264" s="54" t="s">
        <v>230</v>
      </c>
      <c r="L264" s="54" t="s">
        <v>98</v>
      </c>
    </row>
    <row r="265" spans="1:13" ht="13.5" customHeight="1" outlineLevel="1" thickBot="1">
      <c r="A265" s="125"/>
      <c r="C265" s="241"/>
      <c r="D265" s="242"/>
      <c r="E265" s="242"/>
      <c r="F265" s="243"/>
      <c r="G265" s="244" t="s">
        <v>231</v>
      </c>
      <c r="H265" s="243" t="s">
        <v>232</v>
      </c>
      <c r="I265" s="243" t="s">
        <v>232</v>
      </c>
      <c r="J265" s="243" t="s">
        <v>232</v>
      </c>
      <c r="K265" s="243" t="s">
        <v>233</v>
      </c>
      <c r="L265" s="243" t="s">
        <v>234</v>
      </c>
      <c r="M265" s="50"/>
    </row>
    <row r="266" spans="1:13" ht="5.0999999999999996" customHeight="1" outlineLevel="1">
      <c r="A266" s="125"/>
      <c r="C266" s="98"/>
      <c r="D266" s="118"/>
      <c r="E266" s="118"/>
      <c r="F266" s="245"/>
      <c r="G266" s="245"/>
      <c r="H266" s="245"/>
      <c r="I266" s="245"/>
      <c r="J266" s="245"/>
      <c r="K266" s="118"/>
    </row>
    <row r="267" spans="1:13" ht="13.5" customHeight="1" outlineLevel="1">
      <c r="A267" s="125"/>
      <c r="C267" s="98" t="str">
        <f>+C228</f>
        <v>Revolver</v>
      </c>
      <c r="D267" s="118"/>
      <c r="E267" s="118"/>
      <c r="F267" s="264"/>
      <c r="G267" s="265" t="s">
        <v>240</v>
      </c>
      <c r="H267" s="265">
        <v>3.7100000000000001E-2</v>
      </c>
      <c r="I267" s="265">
        <v>4.2500000000000003E-2</v>
      </c>
      <c r="J267" s="266">
        <f>I267+H267</f>
        <v>7.9600000000000004E-2</v>
      </c>
      <c r="K267" s="265" t="s">
        <v>241</v>
      </c>
      <c r="L267" s="267">
        <v>1</v>
      </c>
      <c r="M267" s="50"/>
    </row>
    <row r="268" spans="1:13" ht="13.5" customHeight="1" outlineLevel="1">
      <c r="A268" s="125"/>
      <c r="C268" s="98" t="str">
        <f>+C237</f>
        <v>Term Loan A</v>
      </c>
      <c r="D268" s="118"/>
      <c r="E268" s="118"/>
      <c r="F268" s="264"/>
      <c r="G268" s="265" t="s">
        <v>240</v>
      </c>
      <c r="H268" s="265">
        <v>3.7100000000000001E-2</v>
      </c>
      <c r="I268" s="265">
        <v>4.7500000000000001E-2</v>
      </c>
      <c r="J268" s="266">
        <f>I268+H268</f>
        <v>8.4600000000000009E-2</v>
      </c>
      <c r="K268" s="265" t="s">
        <v>241</v>
      </c>
      <c r="L268" s="267">
        <v>1</v>
      </c>
      <c r="M268" s="50"/>
    </row>
    <row r="269" spans="1:13" ht="13.5" customHeight="1" outlineLevel="1">
      <c r="A269" s="125"/>
      <c r="C269" s="98" t="str">
        <f>+C243</f>
        <v>Subordinated - Note 1</v>
      </c>
      <c r="D269" s="118"/>
      <c r="E269" s="118"/>
      <c r="F269" s="264"/>
      <c r="G269" s="265" t="s">
        <v>242</v>
      </c>
      <c r="H269" s="265" t="s">
        <v>241</v>
      </c>
      <c r="I269" s="265" t="s">
        <v>241</v>
      </c>
      <c r="J269" s="265" t="s">
        <v>241</v>
      </c>
      <c r="K269" s="265">
        <v>0.12</v>
      </c>
      <c r="L269" s="267">
        <v>1</v>
      </c>
      <c r="M269" s="50"/>
    </row>
    <row r="270" spans="1:13" ht="13.5" customHeight="1" outlineLevel="1">
      <c r="A270" s="125"/>
      <c r="C270" s="98" t="str">
        <f>+C249</f>
        <v>Subordinated - Note 2</v>
      </c>
      <c r="D270" s="118"/>
      <c r="E270" s="118"/>
      <c r="F270" s="264"/>
      <c r="G270" s="265" t="s">
        <v>242</v>
      </c>
      <c r="H270" s="265" t="s">
        <v>241</v>
      </c>
      <c r="I270" s="265" t="s">
        <v>241</v>
      </c>
      <c r="J270" s="265" t="s">
        <v>241</v>
      </c>
      <c r="K270" s="265">
        <v>0.14499999999999999</v>
      </c>
      <c r="L270" s="267">
        <v>0.5</v>
      </c>
      <c r="M270" s="50"/>
    </row>
    <row r="271" spans="1:13" ht="5.0999999999999996" customHeight="1" outlineLevel="1" thickBot="1">
      <c r="C271" s="157"/>
      <c r="D271" s="157"/>
      <c r="E271" s="157"/>
      <c r="F271" s="83"/>
      <c r="G271" s="83"/>
      <c r="H271" s="83"/>
      <c r="I271" s="83"/>
      <c r="J271" s="83"/>
      <c r="K271" s="83"/>
      <c r="L271" s="83"/>
    </row>
    <row r="273" spans="1:19" ht="19.5" customHeight="1">
      <c r="A273" s="82"/>
      <c r="B273" s="82"/>
      <c r="C273" s="121"/>
      <c r="D273" s="82"/>
      <c r="E273" s="82"/>
      <c r="F273" s="82"/>
      <c r="G273" s="82"/>
      <c r="H273" s="82"/>
      <c r="I273" s="82"/>
      <c r="J273" s="82"/>
      <c r="K273" s="82"/>
      <c r="L273" s="82"/>
      <c r="M273" s="82"/>
      <c r="N273" s="82"/>
      <c r="O273" s="82"/>
      <c r="P273" s="82"/>
      <c r="Q273" s="82"/>
      <c r="R273" s="82"/>
      <c r="S273" s="82"/>
    </row>
    <row r="274" spans="1:19" ht="5.0999999999999996" customHeight="1">
      <c r="A274" s="82"/>
      <c r="B274" s="82"/>
      <c r="C274" s="82"/>
      <c r="D274" s="82"/>
      <c r="E274" s="82"/>
      <c r="F274" s="82"/>
      <c r="G274" s="82"/>
      <c r="H274" s="82"/>
      <c r="I274" s="82"/>
      <c r="J274" s="82"/>
      <c r="K274" s="82"/>
      <c r="L274" s="82"/>
      <c r="M274" s="82"/>
      <c r="N274" s="82"/>
      <c r="O274" s="82"/>
      <c r="P274" s="82"/>
      <c r="Q274" s="82"/>
      <c r="R274" s="82"/>
      <c r="S274" s="82"/>
    </row>
    <row r="275" spans="1:19" ht="13.5" customHeight="1">
      <c r="A275" s="82"/>
      <c r="B275" s="82"/>
      <c r="C275" s="123"/>
      <c r="D275" s="82"/>
      <c r="E275" s="82"/>
      <c r="F275" s="82"/>
      <c r="G275" s="82"/>
      <c r="H275" s="82"/>
      <c r="I275" s="82"/>
      <c r="J275" s="82"/>
      <c r="K275" s="82"/>
      <c r="L275" s="82"/>
      <c r="M275" s="82"/>
      <c r="N275" s="82"/>
      <c r="O275" s="82"/>
      <c r="P275" s="82"/>
      <c r="Q275" s="82"/>
      <c r="R275" s="82"/>
      <c r="S275" s="82"/>
    </row>
    <row r="276" spans="1:19" ht="13.5" customHeight="1">
      <c r="A276" s="82"/>
      <c r="B276" s="82"/>
      <c r="C276" s="82"/>
      <c r="D276" s="82"/>
      <c r="E276" s="82"/>
      <c r="F276" s="124"/>
      <c r="G276" s="124"/>
      <c r="H276" s="82"/>
      <c r="I276" s="82"/>
      <c r="J276" s="82"/>
      <c r="K276" s="82"/>
      <c r="L276" s="82"/>
      <c r="M276" s="82"/>
      <c r="N276" s="82"/>
      <c r="O276" s="82"/>
      <c r="P276" s="82"/>
      <c r="Q276" s="82"/>
      <c r="R276" s="82"/>
      <c r="S276" s="82"/>
    </row>
    <row r="277" spans="1:19" ht="13.5" customHeight="1">
      <c r="A277" s="82"/>
      <c r="B277" s="82"/>
      <c r="C277" s="82"/>
      <c r="D277" s="82"/>
      <c r="E277" s="82"/>
      <c r="F277" s="124"/>
      <c r="G277" s="124"/>
      <c r="H277" s="82"/>
      <c r="I277" s="82"/>
      <c r="J277" s="82"/>
      <c r="K277" s="82"/>
      <c r="L277" s="82"/>
      <c r="M277" s="82"/>
      <c r="N277" s="82"/>
      <c r="O277" s="82"/>
      <c r="P277" s="82"/>
      <c r="Q277" s="82"/>
      <c r="R277" s="82"/>
      <c r="S277" s="82"/>
    </row>
    <row r="278" spans="1:19" ht="13.5" customHeight="1">
      <c r="A278" s="82"/>
      <c r="B278" s="82"/>
      <c r="C278" s="82"/>
      <c r="D278" s="82"/>
      <c r="E278" s="82"/>
      <c r="F278" s="124"/>
      <c r="G278" s="124"/>
      <c r="H278" s="82"/>
      <c r="I278" s="82"/>
      <c r="J278" s="82"/>
      <c r="K278" s="82"/>
      <c r="L278" s="82"/>
      <c r="M278" s="82"/>
      <c r="N278" s="82"/>
      <c r="O278" s="82"/>
      <c r="P278" s="82"/>
      <c r="Q278" s="82"/>
      <c r="R278" s="82"/>
      <c r="S278" s="82"/>
    </row>
    <row r="279" spans="1:19" ht="13.5" customHeight="1">
      <c r="A279" s="82"/>
      <c r="B279" s="82"/>
      <c r="C279" s="82"/>
      <c r="D279" s="82"/>
      <c r="E279" s="82"/>
      <c r="F279" s="124"/>
      <c r="G279" s="124"/>
      <c r="H279" s="82"/>
      <c r="I279" s="82"/>
      <c r="J279" s="82"/>
      <c r="K279" s="82"/>
      <c r="L279" s="82"/>
      <c r="M279" s="82"/>
      <c r="N279" s="82"/>
      <c r="O279" s="82"/>
      <c r="P279" s="82"/>
      <c r="Q279" s="82"/>
      <c r="R279" s="82"/>
      <c r="S279" s="82"/>
    </row>
    <row r="280" spans="1:19" ht="13.5" customHeight="1">
      <c r="A280" s="82"/>
      <c r="B280" s="82"/>
      <c r="C280" s="82"/>
      <c r="D280" s="82"/>
      <c r="E280" s="82"/>
      <c r="F280" s="82"/>
      <c r="G280" s="82"/>
      <c r="H280" s="82"/>
      <c r="I280" s="82"/>
      <c r="J280" s="82"/>
      <c r="K280" s="82"/>
      <c r="L280" s="82"/>
      <c r="M280" s="82"/>
      <c r="N280" s="82"/>
      <c r="O280" s="82"/>
      <c r="P280" s="82"/>
      <c r="Q280" s="82"/>
      <c r="R280" s="82"/>
      <c r="S280" s="82"/>
    </row>
    <row r="281" spans="1:19" ht="13.5" customHeight="1">
      <c r="A281" s="82"/>
      <c r="B281" s="82"/>
      <c r="C281" s="123"/>
      <c r="D281" s="82"/>
      <c r="E281" s="82"/>
      <c r="F281" s="82"/>
      <c r="G281" s="82"/>
      <c r="H281" s="82"/>
      <c r="I281" s="82"/>
      <c r="J281" s="82"/>
      <c r="K281" s="82"/>
      <c r="L281" s="82"/>
      <c r="M281" s="82"/>
      <c r="N281" s="82"/>
      <c r="O281" s="82"/>
      <c r="P281" s="82"/>
      <c r="Q281" s="82"/>
      <c r="R281" s="82"/>
      <c r="S281" s="82"/>
    </row>
    <row r="282" spans="1:19" ht="13.5" customHeight="1">
      <c r="A282" s="82"/>
      <c r="B282" s="82"/>
      <c r="C282" s="82"/>
      <c r="D282" s="82"/>
      <c r="E282" s="82"/>
      <c r="F282" s="124"/>
      <c r="G282" s="124"/>
      <c r="H282" s="82"/>
      <c r="I282" s="82"/>
      <c r="J282" s="82"/>
      <c r="K282" s="82"/>
      <c r="L282" s="82"/>
      <c r="M282" s="82"/>
      <c r="N282" s="82"/>
      <c r="O282" s="82"/>
      <c r="P282" s="82"/>
      <c r="Q282" s="82"/>
      <c r="R282" s="82"/>
      <c r="S282" s="82"/>
    </row>
    <row r="283" spans="1:19" ht="13.5" customHeight="1">
      <c r="A283" s="82"/>
      <c r="B283" s="82"/>
      <c r="C283" s="82"/>
      <c r="D283" s="82"/>
      <c r="E283" s="82"/>
      <c r="F283" s="124"/>
      <c r="G283" s="124"/>
      <c r="H283" s="82"/>
      <c r="I283" s="82"/>
      <c r="J283" s="82"/>
      <c r="K283" s="82"/>
      <c r="L283" s="82"/>
      <c r="M283" s="82"/>
      <c r="N283" s="82"/>
      <c r="O283" s="82"/>
      <c r="P283" s="82"/>
      <c r="Q283" s="82"/>
      <c r="R283" s="82"/>
      <c r="S283" s="82"/>
    </row>
    <row r="284" spans="1:19" ht="13.5" customHeight="1">
      <c r="A284" s="82"/>
      <c r="B284" s="82"/>
      <c r="C284" s="82"/>
      <c r="D284" s="82"/>
      <c r="E284" s="82"/>
      <c r="F284" s="124"/>
      <c r="G284" s="124"/>
      <c r="H284" s="82"/>
      <c r="I284" s="82"/>
      <c r="J284" s="82"/>
      <c r="K284" s="82"/>
      <c r="L284" s="82"/>
      <c r="M284" s="82"/>
      <c r="N284" s="82"/>
      <c r="O284" s="82"/>
      <c r="P284" s="82"/>
      <c r="Q284" s="82"/>
      <c r="R284" s="82"/>
      <c r="S284" s="82"/>
    </row>
    <row r="285" spans="1:19" ht="13.5" customHeight="1">
      <c r="A285" s="82"/>
      <c r="B285" s="82"/>
      <c r="C285" s="82"/>
      <c r="D285" s="82"/>
      <c r="E285" s="82"/>
      <c r="F285" s="124"/>
      <c r="G285" s="124"/>
      <c r="H285" s="82"/>
      <c r="I285" s="82"/>
      <c r="J285" s="82"/>
      <c r="K285" s="82"/>
      <c r="L285" s="82"/>
      <c r="M285" s="82"/>
      <c r="N285" s="82"/>
      <c r="O285" s="82"/>
      <c r="P285" s="82"/>
      <c r="Q285" s="82"/>
      <c r="R285" s="82"/>
      <c r="S285" s="82"/>
    </row>
    <row r="286" spans="1:19" ht="5.0999999999999996" customHeight="1">
      <c r="A286" s="82"/>
      <c r="B286" s="82"/>
      <c r="C286" s="82"/>
      <c r="D286" s="82"/>
      <c r="E286" s="82"/>
      <c r="F286" s="82"/>
      <c r="G286" s="82"/>
      <c r="H286" s="82"/>
      <c r="I286" s="82"/>
      <c r="J286" s="82"/>
      <c r="K286" s="82"/>
      <c r="L286" s="82"/>
      <c r="M286" s="82"/>
      <c r="N286" s="82"/>
      <c r="O286" s="82"/>
      <c r="P286" s="82"/>
      <c r="Q286" s="82"/>
      <c r="R286" s="82"/>
      <c r="S286" s="82"/>
    </row>
    <row r="287" spans="1:19" ht="13.5" customHeight="1">
      <c r="A287" s="82"/>
      <c r="B287" s="82"/>
      <c r="C287" s="82"/>
      <c r="D287" s="82"/>
      <c r="E287" s="82"/>
      <c r="F287" s="124"/>
      <c r="G287" s="124"/>
      <c r="H287" s="82"/>
      <c r="I287" s="82"/>
      <c r="J287" s="82"/>
      <c r="K287" s="82"/>
      <c r="L287" s="82"/>
      <c r="M287" s="82"/>
      <c r="N287" s="82"/>
      <c r="O287" s="82"/>
      <c r="P287" s="82"/>
      <c r="Q287" s="82"/>
      <c r="R287" s="82"/>
      <c r="S287" s="82"/>
    </row>
    <row r="288" spans="1:19" ht="13.5" customHeight="1">
      <c r="A288" s="82"/>
      <c r="B288" s="82"/>
      <c r="C288" s="82"/>
      <c r="D288" s="82"/>
      <c r="E288" s="82"/>
      <c r="F288" s="124"/>
      <c r="G288" s="124"/>
      <c r="H288" s="82"/>
      <c r="I288" s="82"/>
      <c r="J288" s="82"/>
      <c r="K288" s="82"/>
      <c r="L288" s="82"/>
      <c r="M288" s="82"/>
      <c r="N288" s="82"/>
      <c r="O288" s="82"/>
      <c r="P288" s="82"/>
      <c r="Q288" s="82"/>
      <c r="R288" s="82"/>
      <c r="S288" s="82"/>
    </row>
    <row r="289" spans="1:19" ht="13.5" customHeight="1">
      <c r="A289" s="82"/>
      <c r="B289" s="82"/>
      <c r="C289" s="82"/>
      <c r="D289" s="82"/>
      <c r="E289" s="82"/>
      <c r="F289" s="82"/>
      <c r="G289" s="82"/>
      <c r="H289" s="82"/>
      <c r="I289" s="82"/>
      <c r="J289" s="82"/>
      <c r="K289" s="82"/>
      <c r="L289" s="82"/>
      <c r="M289" s="82"/>
      <c r="N289" s="82"/>
      <c r="O289" s="82"/>
      <c r="P289" s="82"/>
      <c r="Q289" s="82"/>
      <c r="R289" s="82"/>
      <c r="S289" s="82"/>
    </row>
    <row r="290" spans="1:19" ht="13.5" customHeight="1">
      <c r="F290" s="124"/>
      <c r="G290" s="124"/>
    </row>
  </sheetData>
  <dataValidations count="1">
    <dataValidation type="whole" showInputMessage="1" showErrorMessage="1" errorTitle="Validation Error" error="Enter either 0 or 1." sqref="F267:F270" xr:uid="{1D75DB84-6004-44D4-8363-C362E39470F4}">
      <formula1>0</formula1>
      <formula2>1</formula2>
    </dataValidation>
  </dataValidations>
  <pageMargins left="0.25" right="0.25" top="0.75" bottom="0.75" header="0.3" footer="0.3"/>
  <pageSetup scale="47" orientation="landscape" r:id="rId1"/>
  <headerFooter alignWithMargins="0">
    <oddHeader>&amp;A</oddHeader>
    <oddFooter>Page &amp;P of &amp;N</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DBD3C-BD32-47A9-B486-FD2338C2CE63}">
  <sheetPr>
    <outlinePr summaryBelow="0"/>
    <pageSetUpPr fitToPage="1"/>
  </sheetPr>
  <dimension ref="A1:S312"/>
  <sheetViews>
    <sheetView showGridLines="0" tabSelected="1"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280</v>
      </c>
      <c r="D3" s="34"/>
      <c r="E3" s="38"/>
      <c r="F3" s="38"/>
      <c r="G3" s="38"/>
      <c r="H3" s="34"/>
      <c r="I3" s="34"/>
      <c r="J3" s="34"/>
      <c r="K3" s="34"/>
      <c r="L3" s="34"/>
    </row>
    <row r="4" spans="2:14" ht="13.5" customHeight="1" outlineLevel="1">
      <c r="C4" s="37"/>
      <c r="D4" s="34"/>
      <c r="E4" s="38"/>
      <c r="F4" s="38"/>
      <c r="G4" s="38"/>
      <c r="H4" s="34"/>
      <c r="I4" s="34"/>
      <c r="J4" s="34"/>
      <c r="K4" s="34"/>
      <c r="L4" s="34"/>
      <c r="N4" s="195"/>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1: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1: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1: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1: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1: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1: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1:13" ht="13.5" customHeight="1" outlineLevel="1">
      <c r="A23" s="125"/>
      <c r="C23" s="72" t="s">
        <v>281</v>
      </c>
      <c r="D23" s="39"/>
      <c r="E23" s="39"/>
      <c r="F23" s="45"/>
      <c r="G23" s="73"/>
      <c r="H23" s="73"/>
      <c r="I23" s="73"/>
      <c r="J23" s="73"/>
      <c r="K23" s="73"/>
      <c r="L23" s="73"/>
      <c r="M23" s="60"/>
    </row>
    <row r="24" spans="1:13" ht="13.5" customHeight="1" outlineLevel="1">
      <c r="A24" s="125"/>
      <c r="C24" s="74" t="s">
        <v>74</v>
      </c>
      <c r="D24" s="39"/>
      <c r="E24" s="39"/>
      <c r="F24" s="45"/>
      <c r="G24" s="75"/>
      <c r="H24" s="129"/>
      <c r="I24" s="129"/>
      <c r="J24" s="129"/>
      <c r="K24" s="129"/>
      <c r="L24" s="129"/>
      <c r="M24" s="50" t="s">
        <v>282</v>
      </c>
    </row>
    <row r="25" spans="1:13" ht="13.5" customHeight="1" outlineLevel="1">
      <c r="A25" s="204"/>
      <c r="C25" s="74" t="s">
        <v>75</v>
      </c>
      <c r="D25" s="39"/>
      <c r="E25" s="39"/>
      <c r="F25" s="45"/>
      <c r="G25" s="75"/>
      <c r="H25" s="129"/>
      <c r="I25" s="129"/>
      <c r="J25" s="129"/>
      <c r="K25" s="129"/>
      <c r="L25" s="129"/>
      <c r="M25" s="50" t="s">
        <v>283</v>
      </c>
    </row>
    <row r="26" spans="1:13" ht="13.5" customHeight="1" outlineLevel="1">
      <c r="A26" s="204"/>
      <c r="C26" s="74" t="str">
        <f>+C79</f>
        <v>Term Loan A</v>
      </c>
      <c r="D26" s="39"/>
      <c r="E26" s="39"/>
      <c r="F26" s="45"/>
      <c r="G26" s="75"/>
      <c r="H26" s="129"/>
      <c r="I26" s="129"/>
      <c r="J26" s="129"/>
      <c r="K26" s="129"/>
      <c r="L26" s="129"/>
      <c r="M26" s="50" t="s">
        <v>283</v>
      </c>
    </row>
    <row r="27" spans="1:13" ht="13.5" customHeight="1" outlineLevel="1">
      <c r="A27" s="204"/>
      <c r="C27" s="74" t="str">
        <f t="shared" ref="C27:C28" si="9">+C80</f>
        <v>Subordinated - Note 1</v>
      </c>
      <c r="D27" s="39"/>
      <c r="E27" s="39"/>
      <c r="F27" s="45"/>
      <c r="G27" s="75"/>
      <c r="H27" s="129"/>
      <c r="I27" s="129"/>
      <c r="J27" s="129"/>
      <c r="K27" s="129"/>
      <c r="L27" s="129"/>
      <c r="M27" s="50" t="s">
        <v>283</v>
      </c>
    </row>
    <row r="28" spans="1:13" ht="13.5" customHeight="1" outlineLevel="1">
      <c r="A28" s="204"/>
      <c r="C28" s="74" t="str">
        <f t="shared" si="9"/>
        <v>Subordinated - Note 2</v>
      </c>
      <c r="D28" s="39"/>
      <c r="E28" s="39"/>
      <c r="F28" s="45"/>
      <c r="G28" s="75"/>
      <c r="H28" s="129"/>
      <c r="I28" s="129"/>
      <c r="J28" s="129"/>
      <c r="K28" s="129"/>
      <c r="L28" s="129"/>
      <c r="M28" s="50" t="s">
        <v>283</v>
      </c>
    </row>
    <row r="29" spans="1:13" ht="13.5" customHeight="1" outlineLevel="1">
      <c r="A29" s="204"/>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1: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1: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1: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5"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C60" s="88" t="s">
        <v>82</v>
      </c>
      <c r="F60" s="141">
        <f>'Financials from CIP'!D46/1000</f>
        <v>7.1056520000000001</v>
      </c>
      <c r="G60" s="141">
        <f>'Financials from CIP'!E46/1000</f>
        <v>2.9579920000000004</v>
      </c>
      <c r="H60" s="214">
        <f ca="1">G60+H119</f>
        <v>10</v>
      </c>
      <c r="I60" s="214">
        <f ca="1">H60+I119</f>
        <v>10</v>
      </c>
      <c r="J60" s="214">
        <f ca="1">I60+J119</f>
        <v>20.161229667020034</v>
      </c>
      <c r="K60" s="214">
        <f ca="1">J60+K119</f>
        <v>32.683172574382148</v>
      </c>
      <c r="L60" s="214">
        <f ca="1">K60+L119</f>
        <v>46.605048262544216</v>
      </c>
      <c r="M60" s="50"/>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7">I130</f>
        <v>27.695031965240773</v>
      </c>
      <c r="J61" s="149">
        <f t="shared" si="17"/>
        <v>31.111314829301037</v>
      </c>
      <c r="K61" s="149">
        <f t="shared" si="17"/>
        <v>34.015669157916122</v>
      </c>
      <c r="L61" s="149">
        <f t="shared" si="17"/>
        <v>36.170685445667161</v>
      </c>
      <c r="M61" s="50"/>
    </row>
    <row r="62" spans="1:13" ht="13.5" customHeight="1" outlineLevel="1">
      <c r="A62" s="82"/>
      <c r="C62" s="91" t="s">
        <v>31</v>
      </c>
      <c r="F62" s="96">
        <f>'Financials from CIP'!D49/1000</f>
        <v>0.80490099999999998</v>
      </c>
      <c r="G62" s="96">
        <f>'Financials from CIP'!E49/1000</f>
        <v>1.161057</v>
      </c>
      <c r="H62" s="149">
        <f t="shared" ref="H62:L63" si="18">H131</f>
        <v>1.2029011201180084</v>
      </c>
      <c r="I62" s="149">
        <f t="shared" si="18"/>
        <v>1.3873703794209342</v>
      </c>
      <c r="J62" s="149">
        <f t="shared" si="18"/>
        <v>1.558507558799139</v>
      </c>
      <c r="K62" s="149">
        <f t="shared" si="18"/>
        <v>1.7039999045715051</v>
      </c>
      <c r="L62" s="149">
        <f t="shared" si="18"/>
        <v>1.8119544925477122</v>
      </c>
      <c r="M62" s="50"/>
    </row>
    <row r="63" spans="1:13" ht="13.5" customHeight="1" outlineLevel="1">
      <c r="A63" s="82"/>
      <c r="C63" s="91" t="s">
        <v>84</v>
      </c>
      <c r="F63" s="96">
        <f>'Financials from CIP'!D50/1000</f>
        <v>0.26978399999999997</v>
      </c>
      <c r="G63" s="96">
        <f>'Financials from CIP'!E50/1000</f>
        <v>0.34491899999999998</v>
      </c>
      <c r="H63" s="149">
        <f t="shared" si="18"/>
        <v>0.3792215684283346</v>
      </c>
      <c r="I63" s="149">
        <f t="shared" si="18"/>
        <v>0.43737657441320382</v>
      </c>
      <c r="J63" s="149">
        <f t="shared" si="18"/>
        <v>0.49132856472628733</v>
      </c>
      <c r="K63" s="149">
        <f t="shared" si="18"/>
        <v>0.53719587221761422</v>
      </c>
      <c r="L63" s="149">
        <f t="shared" si="18"/>
        <v>0.57122918342390505</v>
      </c>
      <c r="M63" s="50"/>
    </row>
    <row r="64" spans="1:13" ht="13.5" customHeight="1" outlineLevel="1">
      <c r="A64" s="82"/>
      <c r="C64" s="76" t="s">
        <v>33</v>
      </c>
      <c r="D64" s="77"/>
      <c r="E64" s="77"/>
      <c r="F64" s="93">
        <f>SUM(F60:F63)</f>
        <v>24.961756000000005</v>
      </c>
      <c r="G64" s="93">
        <f>SUM(G60:G63)</f>
        <v>26.74869</v>
      </c>
      <c r="H64" s="93">
        <f t="shared" ref="H64:L64" ca="1" si="19">SUM(H60:H63)</f>
        <v>35.594733500229559</v>
      </c>
      <c r="I64" s="93">
        <f t="shared" ca="1" si="19"/>
        <v>39.519778919074916</v>
      </c>
      <c r="J64" s="93">
        <f t="shared" ca="1" si="19"/>
        <v>53.322380619846498</v>
      </c>
      <c r="K64" s="93">
        <f t="shared" ca="1" si="19"/>
        <v>68.940037509087375</v>
      </c>
      <c r="L64" s="93">
        <f t="shared" ca="1" si="19"/>
        <v>85.158917384182999</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ca="1" si="20">SUM(H64,H67:H69)</f>
        <v>92.32568454586314</v>
      </c>
      <c r="I70" s="102">
        <f t="shared" ca="1" si="20"/>
        <v>92.891514460631626</v>
      </c>
      <c r="J70" s="102">
        <f t="shared" ca="1" si="20"/>
        <v>103.36805499196664</v>
      </c>
      <c r="K70" s="102">
        <f t="shared" ca="1" si="20"/>
        <v>115.60562915551395</v>
      </c>
      <c r="L70" s="102">
        <f t="shared" ca="1" si="20"/>
        <v>128.28557606604585</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1">I135</f>
        <v>3.7340173042871405</v>
      </c>
      <c r="J74" s="149">
        <f t="shared" si="21"/>
        <v>4.1946219118843056</v>
      </c>
      <c r="K74" s="149">
        <f t="shared" si="21"/>
        <v>4.5862051147649199</v>
      </c>
      <c r="L74" s="149">
        <f t="shared" si="21"/>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2">H136</f>
        <v>3.1966854452582232</v>
      </c>
      <c r="I75" s="149">
        <f t="shared" si="22"/>
        <v>3.6869087782063024</v>
      </c>
      <c r="J75" s="149">
        <f t="shared" si="22"/>
        <v>4.1417023778724023</v>
      </c>
      <c r="K75" s="149">
        <f t="shared" si="22"/>
        <v>4.5283453498910609</v>
      </c>
      <c r="L75" s="149">
        <f t="shared" si="22"/>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2"/>
        <v>3.2317636858846019</v>
      </c>
      <c r="I76" s="149">
        <f t="shared" si="22"/>
        <v>3.727366394541769</v>
      </c>
      <c r="J76" s="149">
        <f t="shared" si="22"/>
        <v>4.1871505882458564</v>
      </c>
      <c r="K76" s="149">
        <f t="shared" si="22"/>
        <v>4.5780363159066395</v>
      </c>
      <c r="L76" s="149">
        <f t="shared" si="22"/>
        <v>4.8680715576328382</v>
      </c>
      <c r="M76" s="50"/>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C78" s="91" t="s">
        <v>41</v>
      </c>
      <c r="D78" s="95"/>
      <c r="E78" s="95"/>
      <c r="F78" s="96">
        <f>'Financials from CIP'!D63/1000</f>
        <v>0.64588299999999998</v>
      </c>
      <c r="G78" s="96">
        <f>'Financials from CIP'!E63/1000</f>
        <v>1.2892999999999999</v>
      </c>
      <c r="H78" s="149">
        <f ca="1">H232</f>
        <v>0.70135880776240755</v>
      </c>
      <c r="I78" s="149">
        <f ca="1">I232</f>
        <v>0</v>
      </c>
      <c r="J78" s="149">
        <f ca="1">J232</f>
        <v>0</v>
      </c>
      <c r="K78" s="149">
        <f ca="1">K232</f>
        <v>0</v>
      </c>
      <c r="L78" s="149">
        <f ca="1">L232</f>
        <v>0</v>
      </c>
      <c r="M78" s="50"/>
    </row>
    <row r="79" spans="1:13" ht="13.5" customHeight="1" outlineLevel="1">
      <c r="C79" s="91" t="s">
        <v>42</v>
      </c>
      <c r="D79" s="95"/>
      <c r="E79" s="95"/>
      <c r="F79" s="96">
        <f>'Financials from CIP'!D64/1000</f>
        <v>18.943222000000002</v>
      </c>
      <c r="G79" s="96">
        <f>'Financials from CIP'!E64/1000</f>
        <v>12.001450999999999</v>
      </c>
      <c r="H79" s="149">
        <f ca="1">H241</f>
        <v>9.6011607999999988</v>
      </c>
      <c r="I79" s="149">
        <f ca="1">I241</f>
        <v>0.80642258805885092</v>
      </c>
      <c r="J79" s="149">
        <f ca="1">J241</f>
        <v>0</v>
      </c>
      <c r="K79" s="149">
        <f ca="1">K241</f>
        <v>0</v>
      </c>
      <c r="L79" s="149">
        <f ca="1">L241</f>
        <v>0</v>
      </c>
      <c r="M79" s="50"/>
    </row>
    <row r="80" spans="1:13" ht="13.5" customHeight="1" outlineLevel="1">
      <c r="C80" s="91" t="s">
        <v>90</v>
      </c>
      <c r="D80" s="95"/>
      <c r="E80" s="95"/>
      <c r="F80" s="96">
        <f>'Financials from CIP'!D65/1000</f>
        <v>0.54533299999999996</v>
      </c>
      <c r="G80" s="96">
        <f>'Financials from CIP'!E65/1000</f>
        <v>8.5337999999999997E-2</v>
      </c>
      <c r="H80" s="149">
        <f ca="1">H247</f>
        <v>6.8270399999999995E-2</v>
      </c>
      <c r="I80" s="149">
        <f ca="1">I247</f>
        <v>5.1202799999999993E-2</v>
      </c>
      <c r="J80" s="149">
        <f ca="1">J247</f>
        <v>0</v>
      </c>
      <c r="K80" s="149">
        <f ca="1">K247</f>
        <v>0</v>
      </c>
      <c r="L80" s="149">
        <f ca="1">L247</f>
        <v>0</v>
      </c>
      <c r="M80" s="50"/>
    </row>
    <row r="81" spans="1:13" ht="13.5" customHeight="1" outlineLevel="1">
      <c r="C81" s="91" t="s">
        <v>91</v>
      </c>
      <c r="D81" s="95"/>
      <c r="E81" s="95"/>
      <c r="F81" s="96">
        <f>'Financials from CIP'!D66/1000</f>
        <v>9.2447999999999989E-2</v>
      </c>
      <c r="G81" s="96">
        <f>'Financials from CIP'!E66/1000</f>
        <v>1.2666999999999999E-2</v>
      </c>
      <c r="H81" s="149">
        <f ca="1">H253</f>
        <v>1.203365E-2</v>
      </c>
      <c r="I81" s="149">
        <f ca="1">I253</f>
        <v>1.14003E-2</v>
      </c>
      <c r="J81" s="149">
        <f ca="1">J253</f>
        <v>4.4334500000000011E-3</v>
      </c>
      <c r="K81" s="149">
        <f ca="1">K253</f>
        <v>0</v>
      </c>
      <c r="L81" s="149">
        <f ca="1">L253</f>
        <v>0</v>
      </c>
      <c r="M81" s="50"/>
    </row>
    <row r="82" spans="1:13" ht="13.5" customHeight="1" outlineLevel="1">
      <c r="A82" s="82"/>
      <c r="C82" s="76" t="s">
        <v>92</v>
      </c>
      <c r="D82" s="77"/>
      <c r="E82" s="77"/>
      <c r="F82" s="93">
        <f>SUM(F78:F81)</f>
        <v>20.226886000000004</v>
      </c>
      <c r="G82" s="93">
        <f>SUM(G78:G81)</f>
        <v>13.388756000000001</v>
      </c>
      <c r="H82" s="93">
        <f t="shared" ref="H82:L82" ca="1" si="24">SUM(H78:H81)</f>
        <v>10.382823657762405</v>
      </c>
      <c r="I82" s="93">
        <f t="shared" ca="1" si="24"/>
        <v>0.86902568805885094</v>
      </c>
      <c r="J82" s="93">
        <f t="shared" ca="1" si="24"/>
        <v>4.4334500000000011E-3</v>
      </c>
      <c r="K82" s="93">
        <f t="shared" ca="1" si="24"/>
        <v>0</v>
      </c>
      <c r="L82" s="93">
        <f t="shared" ca="1" si="24"/>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ca="1" si="25">SUM(H77,H82:H83)</f>
        <v>20.478691058033341</v>
      </c>
      <c r="I84" s="93">
        <f t="shared" ca="1" si="25"/>
        <v>12.447206165094064</v>
      </c>
      <c r="J84" s="93">
        <f t="shared" ca="1" si="25"/>
        <v>12.957796328002564</v>
      </c>
      <c r="K84" s="93">
        <f t="shared" ca="1" si="25"/>
        <v>14.122474780562621</v>
      </c>
      <c r="L84" s="93">
        <f t="shared" ca="1" si="25"/>
        <v>14.989949925519163</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ca="1" si="26">SUM(H84:H86)</f>
        <v>92.325684041671323</v>
      </c>
      <c r="I87" s="105">
        <f t="shared" ca="1" si="26"/>
        <v>92.891513956439809</v>
      </c>
      <c r="J87" s="105">
        <f t="shared" ca="1" si="26"/>
        <v>103.36805448777483</v>
      </c>
      <c r="K87" s="105">
        <f t="shared" ca="1" si="26"/>
        <v>115.60562865132215</v>
      </c>
      <c r="L87" s="105">
        <f t="shared" ca="1" si="26"/>
        <v>128.28557556185402</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ca="1" si="27"/>
        <v>-5.0419181718552863E-7</v>
      </c>
      <c r="I89" s="178">
        <f t="shared" ca="1" si="27"/>
        <v>-5.0419181718552863E-7</v>
      </c>
      <c r="J89" s="178">
        <f t="shared" ca="1" si="27"/>
        <v>-5.0419181718552863E-7</v>
      </c>
      <c r="K89" s="178">
        <f t="shared" ca="1" si="27"/>
        <v>-5.0419180297467392E-7</v>
      </c>
      <c r="L89" s="178">
        <f t="shared" ca="1" si="27"/>
        <v>-5.0419183139638335E-7</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B93" s="46" t="s">
        <v>61</v>
      </c>
      <c r="C93" s="47" t="s">
        <v>178</v>
      </c>
      <c r="D93" s="48"/>
      <c r="E93" s="49"/>
      <c r="F93" s="49"/>
      <c r="G93" s="49"/>
      <c r="H93" s="49"/>
      <c r="I93" s="49"/>
      <c r="J93" s="49"/>
      <c r="K93" s="49"/>
      <c r="L93" s="49"/>
    </row>
    <row r="94" spans="1:13" ht="5.0999999999999996" customHeight="1" outlineLevel="1">
      <c r="C94" s="51"/>
      <c r="D94" s="52"/>
    </row>
    <row r="95" spans="1:13" ht="13.5" customHeight="1" outlineLevel="1">
      <c r="C95" s="53"/>
      <c r="D95" s="53"/>
      <c r="E95" s="53"/>
      <c r="F95" s="54" t="s">
        <v>63</v>
      </c>
      <c r="G95" s="54" t="s">
        <v>63</v>
      </c>
      <c r="H95" s="55" t="s">
        <v>64</v>
      </c>
      <c r="I95" s="55"/>
      <c r="J95" s="55"/>
      <c r="K95" s="55"/>
      <c r="L95" s="55"/>
    </row>
    <row r="96" spans="1:13" ht="13.5" customHeight="1" outlineLevel="1" thickBot="1">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3:13" ht="5.0999999999999996" customHeight="1" outlineLevel="1">
      <c r="C97" s="59"/>
      <c r="D97" s="59"/>
      <c r="E97" s="59"/>
      <c r="F97" s="60"/>
      <c r="G97" s="60"/>
      <c r="H97" s="60"/>
      <c r="I97" s="60"/>
      <c r="J97" s="60"/>
      <c r="K97" s="60"/>
    </row>
    <row r="98" spans="3:13" ht="13.5" customHeight="1" outlineLevel="1">
      <c r="C98" s="84" t="s">
        <v>179</v>
      </c>
      <c r="D98" s="85"/>
      <c r="E98" s="86"/>
      <c r="F98" s="86"/>
      <c r="G98" s="86"/>
      <c r="H98" s="86"/>
      <c r="I98" s="86"/>
      <c r="J98" s="86"/>
      <c r="K98" s="86"/>
      <c r="L98" s="87"/>
      <c r="M98" s="50"/>
    </row>
    <row r="99" spans="3:13" ht="13.5" customHeight="1" outlineLevel="1">
      <c r="C99" s="118"/>
      <c r="D99" s="118"/>
      <c r="E99" s="118"/>
    </row>
    <row r="100" spans="3:13" ht="13.5" customHeight="1" outlineLevel="1">
      <c r="C100" s="68" t="s">
        <v>22</v>
      </c>
      <c r="D100" s="68"/>
      <c r="E100" s="68"/>
      <c r="F100" s="68"/>
      <c r="G100" s="147"/>
      <c r="H100" s="149">
        <f>H33</f>
        <v>7.078372487829796</v>
      </c>
      <c r="I100" s="149">
        <f>I33</f>
        <v>8.5973148077077592</v>
      </c>
      <c r="J100" s="149">
        <f ca="1">J33</f>
        <v>9.965950368426526</v>
      </c>
      <c r="K100" s="149">
        <f ca="1">K33</f>
        <v>11.072895710987275</v>
      </c>
      <c r="L100" s="149">
        <f ca="1">L33</f>
        <v>11.812471765575342</v>
      </c>
      <c r="M100" s="50"/>
    </row>
    <row r="101" spans="3:13" ht="13.5" customHeight="1" outlineLevel="1">
      <c r="C101" s="91" t="s">
        <v>15</v>
      </c>
      <c r="D101" s="68"/>
      <c r="E101" s="68"/>
      <c r="F101" s="68"/>
      <c r="G101" s="154"/>
      <c r="H101" s="149">
        <f>H20</f>
        <v>5.829392560625954</v>
      </c>
      <c r="I101" s="149">
        <f>I20</f>
        <v>6.1302957891314076</v>
      </c>
      <c r="J101" s="149">
        <f ca="1">J20</f>
        <v>6.4683165246530567</v>
      </c>
      <c r="K101" s="149">
        <f ca="1">K20</f>
        <v>6.8378927245374452</v>
      </c>
      <c r="L101" s="149">
        <f ca="1">L20</f>
        <v>7.2308829200900817</v>
      </c>
      <c r="M101" s="50"/>
    </row>
    <row r="102" spans="3:13" ht="13.5" customHeight="1" outlineLevel="1">
      <c r="C102" s="91" t="s">
        <v>183</v>
      </c>
      <c r="D102" s="68"/>
      <c r="E102" s="68"/>
      <c r="F102" s="68"/>
      <c r="G102" s="154"/>
      <c r="H102" s="149">
        <f>H21</f>
        <v>0.237952</v>
      </c>
      <c r="I102" s="149">
        <f t="shared" ref="I102:L102" si="29">I21</f>
        <v>0.237952</v>
      </c>
      <c r="J102" s="149">
        <f t="shared" si="29"/>
        <v>0.237952</v>
      </c>
      <c r="K102" s="149">
        <f t="shared" si="29"/>
        <v>0.237952</v>
      </c>
      <c r="L102" s="149">
        <f t="shared" si="29"/>
        <v>0.237952</v>
      </c>
      <c r="M102" s="50"/>
    </row>
    <row r="103" spans="3:13" ht="13.5" customHeight="1" outlineLevel="1">
      <c r="C103" s="65" t="s">
        <v>185</v>
      </c>
      <c r="D103" s="65"/>
      <c r="E103" s="65"/>
      <c r="F103" s="65"/>
      <c r="G103" s="197"/>
      <c r="H103" s="198">
        <f>SUM(H100:H102)</f>
        <v>13.145717048455751</v>
      </c>
      <c r="I103" s="198">
        <f t="shared" ref="I103:L103" si="30">SUM(I100:I102)</f>
        <v>14.965562596839167</v>
      </c>
      <c r="J103" s="198">
        <f t="shared" ca="1" si="30"/>
        <v>16.672218893079581</v>
      </c>
      <c r="K103" s="198">
        <f t="shared" ca="1" si="30"/>
        <v>18.148740435524722</v>
      </c>
      <c r="L103" s="198">
        <f t="shared" ca="1" si="30"/>
        <v>19.281306685665424</v>
      </c>
      <c r="M103" s="50"/>
    </row>
    <row r="104" spans="3:13" ht="13.5" customHeight="1" outlineLevel="1">
      <c r="C104" s="91" t="s">
        <v>187</v>
      </c>
      <c r="D104" s="68"/>
      <c r="E104" s="68"/>
      <c r="F104" s="68"/>
      <c r="G104" s="154"/>
      <c r="H104" s="149">
        <f>-(H141)</f>
        <v>-0.48883509995862262</v>
      </c>
      <c r="I104" s="149">
        <f>-(I141)</f>
        <v>-2.442732342081074</v>
      </c>
      <c r="J104" s="149">
        <f>-(J141)</f>
        <v>-2.2661896327842008</v>
      </c>
      <c r="K104" s="149">
        <f>-(K141)</f>
        <v>-1.9266020793187231</v>
      </c>
      <c r="L104" s="149">
        <f>-(L141)</f>
        <v>-1.4295290419769913</v>
      </c>
      <c r="M104" s="50"/>
    </row>
    <row r="105" spans="3:13" ht="13.5" customHeight="1" outlineLevel="1">
      <c r="C105" s="180" t="s">
        <v>189</v>
      </c>
      <c r="D105" s="180"/>
      <c r="E105" s="180"/>
      <c r="F105" s="180"/>
      <c r="G105" s="199"/>
      <c r="H105" s="200">
        <f>+SUM(H103:H104)</f>
        <v>12.656881948497128</v>
      </c>
      <c r="I105" s="200">
        <f t="shared" ref="I105:L105" si="31">+SUM(I103:I104)</f>
        <v>12.522830254758093</v>
      </c>
      <c r="J105" s="200">
        <f t="shared" ca="1" si="31"/>
        <v>14.40602926029538</v>
      </c>
      <c r="K105" s="200">
        <f t="shared" ca="1" si="31"/>
        <v>16.222138356205999</v>
      </c>
      <c r="L105" s="200">
        <f t="shared" ca="1" si="31"/>
        <v>17.851777643688433</v>
      </c>
      <c r="M105" s="50"/>
    </row>
    <row r="106" spans="3:13" ht="13.5" customHeight="1" outlineLevel="1">
      <c r="C106" s="68"/>
      <c r="D106" s="68"/>
      <c r="E106" s="68"/>
      <c r="F106" s="68"/>
      <c r="G106" s="154"/>
      <c r="H106" s="154"/>
      <c r="I106" s="154"/>
      <c r="J106" s="154"/>
      <c r="K106" s="154"/>
      <c r="L106" s="154"/>
    </row>
    <row r="107" spans="3:13" ht="13.5" customHeight="1" outlineLevel="1">
      <c r="C107" s="84" t="s">
        <v>190</v>
      </c>
      <c r="D107" s="85"/>
      <c r="E107" s="86"/>
      <c r="F107" s="86"/>
      <c r="G107" s="86"/>
      <c r="H107" s="201"/>
      <c r="I107" s="201"/>
      <c r="J107" s="201"/>
      <c r="K107" s="201"/>
      <c r="L107" s="202"/>
    </row>
    <row r="108" spans="3:13" ht="13.5" customHeight="1" outlineLevel="1">
      <c r="C108" s="118"/>
      <c r="D108" s="118"/>
      <c r="E108" s="118"/>
      <c r="H108" s="68"/>
      <c r="I108" s="68"/>
      <c r="J108" s="68"/>
      <c r="K108" s="68"/>
      <c r="L108" s="68"/>
    </row>
    <row r="109" spans="3:13" ht="13.5" customHeight="1" outlineLevel="1">
      <c r="C109" s="39" t="s">
        <v>191</v>
      </c>
      <c r="D109" s="68"/>
      <c r="E109" s="68"/>
      <c r="F109" s="68"/>
      <c r="G109" s="147"/>
      <c r="H109" s="215">
        <f>-H36</f>
        <v>-2.6089416062595356</v>
      </c>
      <c r="I109" s="215">
        <f>-I36</f>
        <v>-3.0090322850545372</v>
      </c>
      <c r="J109" s="215">
        <f>-J36</f>
        <v>-3.3802073552164953</v>
      </c>
      <c r="K109" s="215">
        <f>-K36</f>
        <v>-3.6957619988438841</v>
      </c>
      <c r="L109" s="215">
        <f>-L36</f>
        <v>-3.9299019555263603</v>
      </c>
      <c r="M109" s="50"/>
    </row>
    <row r="110" spans="3:13" ht="13.5" customHeight="1" outlineLevel="1">
      <c r="C110" s="68"/>
      <c r="D110" s="68"/>
      <c r="E110" s="68"/>
      <c r="F110" s="68"/>
      <c r="G110" s="154"/>
      <c r="H110" s="154"/>
      <c r="I110" s="154"/>
      <c r="J110" s="154"/>
      <c r="K110" s="154"/>
      <c r="L110" s="154"/>
    </row>
    <row r="111" spans="3:13" ht="13.5" customHeight="1" outlineLevel="1">
      <c r="C111" s="84" t="s">
        <v>193</v>
      </c>
      <c r="D111" s="85"/>
      <c r="E111" s="86"/>
      <c r="F111" s="86"/>
      <c r="G111" s="86"/>
      <c r="H111" s="201"/>
      <c r="I111" s="201"/>
      <c r="J111" s="201"/>
      <c r="K111" s="201"/>
      <c r="L111" s="202"/>
    </row>
    <row r="112" spans="3:13" ht="13.5" customHeight="1" outlineLevel="1">
      <c r="C112" s="118"/>
      <c r="D112" s="118"/>
      <c r="E112" s="118"/>
      <c r="H112" s="68"/>
      <c r="I112" s="68"/>
      <c r="J112" s="68"/>
      <c r="K112" s="68"/>
      <c r="L112" s="68"/>
    </row>
    <row r="113" spans="2:13" s="205" customFormat="1" ht="13.5" customHeight="1" outlineLevel="1">
      <c r="C113" s="68" t="s">
        <v>41</v>
      </c>
      <c r="D113" s="118"/>
      <c r="E113" s="118"/>
      <c r="F113" s="29"/>
      <c r="G113" s="132"/>
      <c r="H113" s="149">
        <f ca="1">H78-G78</f>
        <v>-0.58794119223759234</v>
      </c>
      <c r="I113" s="149">
        <f t="shared" ref="I113:L116" ca="1" si="32">I78-H78</f>
        <v>-0.70135880776240755</v>
      </c>
      <c r="J113" s="149">
        <f t="shared" ca="1" si="32"/>
        <v>0</v>
      </c>
      <c r="K113" s="149">
        <f t="shared" ca="1" si="32"/>
        <v>0</v>
      </c>
      <c r="L113" s="149">
        <f t="shared" ca="1" si="32"/>
        <v>0</v>
      </c>
      <c r="M113" s="50"/>
    </row>
    <row r="114" spans="2:13" s="205" customFormat="1" ht="13.5" customHeight="1" outlineLevel="1">
      <c r="C114" s="68" t="str">
        <f>+C79</f>
        <v>Term Loan A</v>
      </c>
      <c r="D114" s="118"/>
      <c r="E114" s="118"/>
      <c r="F114" s="29"/>
      <c r="G114" s="207"/>
      <c r="H114" s="149">
        <f ca="1">H79-G79</f>
        <v>-2.4002902000000006</v>
      </c>
      <c r="I114" s="149">
        <f t="shared" ca="1" si="32"/>
        <v>-8.7947382119411479</v>
      </c>
      <c r="J114" s="149">
        <f t="shared" ca="1" si="32"/>
        <v>-0.80642258805885092</v>
      </c>
      <c r="K114" s="149">
        <f t="shared" ca="1" si="32"/>
        <v>0</v>
      </c>
      <c r="L114" s="149">
        <f t="shared" ca="1" si="32"/>
        <v>0</v>
      </c>
      <c r="M114" s="50"/>
    </row>
    <row r="115" spans="2:13" s="205" customFormat="1" ht="13.5" customHeight="1" outlineLevel="1">
      <c r="C115" s="68" t="str">
        <f>+C80</f>
        <v>Subordinated - Note 1</v>
      </c>
      <c r="D115" s="118"/>
      <c r="E115" s="118"/>
      <c r="F115" s="29"/>
      <c r="G115" s="207"/>
      <c r="H115" s="149">
        <f ca="1">H80-G80</f>
        <v>-1.7067600000000002E-2</v>
      </c>
      <c r="I115" s="149">
        <f t="shared" ca="1" si="32"/>
        <v>-1.7067600000000002E-2</v>
      </c>
      <c r="J115" s="149">
        <f t="shared" ca="1" si="32"/>
        <v>-5.1202799999999993E-2</v>
      </c>
      <c r="K115" s="149">
        <f t="shared" ca="1" si="32"/>
        <v>0</v>
      </c>
      <c r="L115" s="149">
        <f t="shared" ca="1" si="32"/>
        <v>0</v>
      </c>
      <c r="M115" s="50"/>
    </row>
    <row r="116" spans="2:13" s="205" customFormat="1" ht="13.5" customHeight="1" outlineLevel="1">
      <c r="C116" s="68" t="str">
        <f t="shared" ref="C116" si="33">+C81</f>
        <v>Subordinated - Note 2</v>
      </c>
      <c r="D116" s="118"/>
      <c r="E116" s="118"/>
      <c r="F116" s="29"/>
      <c r="G116" s="207"/>
      <c r="H116" s="149">
        <f ca="1">H81-G81</f>
        <v>-6.3334999999999954E-4</v>
      </c>
      <c r="I116" s="149">
        <f t="shared" ca="1" si="32"/>
        <v>-6.3334999999999954E-4</v>
      </c>
      <c r="J116" s="149">
        <f t="shared" ca="1" si="32"/>
        <v>-6.9668499999999993E-3</v>
      </c>
      <c r="K116" s="149">
        <f t="shared" ca="1" si="32"/>
        <v>-4.4334500000000011E-3</v>
      </c>
      <c r="L116" s="149">
        <f t="shared" ca="1" si="32"/>
        <v>0</v>
      </c>
      <c r="M116" s="50"/>
    </row>
    <row r="117" spans="2:13" s="205" customFormat="1" ht="13.5" customHeight="1" outlineLevel="1">
      <c r="C117" s="180" t="s">
        <v>194</v>
      </c>
      <c r="D117" s="180"/>
      <c r="E117" s="180"/>
      <c r="F117" s="180"/>
      <c r="G117" s="199"/>
      <c r="H117" s="200">
        <f ca="1">SUM(H113:H116)</f>
        <v>-3.005932342237593</v>
      </c>
      <c r="I117" s="200">
        <f t="shared" ref="I117:L117" ca="1" si="34">SUM(I113:I116)</f>
        <v>-9.5137979697035551</v>
      </c>
      <c r="J117" s="200">
        <f t="shared" ca="1" si="34"/>
        <v>-0.86459223805885088</v>
      </c>
      <c r="K117" s="200">
        <f t="shared" ca="1" si="34"/>
        <v>-4.4334500000000011E-3</v>
      </c>
      <c r="L117" s="200">
        <f t="shared" ca="1" si="34"/>
        <v>0</v>
      </c>
    </row>
    <row r="118" spans="2:13" s="205" customFormat="1" ht="13.5" customHeight="1" outlineLevel="1">
      <c r="C118" s="118"/>
      <c r="D118" s="118"/>
      <c r="E118" s="118"/>
      <c r="F118" s="29"/>
      <c r="G118" s="29"/>
      <c r="H118" s="68"/>
      <c r="I118" s="68"/>
      <c r="J118" s="68"/>
      <c r="K118" s="68"/>
      <c r="L118" s="68"/>
    </row>
    <row r="119" spans="2:13" s="205" customFormat="1" ht="13.5" customHeight="1" outlineLevel="1">
      <c r="C119" s="39" t="s">
        <v>195</v>
      </c>
      <c r="D119" s="118"/>
      <c r="E119" s="118"/>
      <c r="F119" s="30"/>
      <c r="G119" s="208"/>
      <c r="H119" s="215">
        <f ca="1">H117+H109+H105</f>
        <v>7.0420079999999992</v>
      </c>
      <c r="I119" s="215">
        <f ca="1">I117+I109+I105</f>
        <v>0</v>
      </c>
      <c r="J119" s="215">
        <f ca="1">J117+J109+J105</f>
        <v>10.161229667020034</v>
      </c>
      <c r="K119" s="215">
        <f ca="1">K117+K109+K105</f>
        <v>12.521942907362115</v>
      </c>
      <c r="L119" s="215">
        <f ca="1">L117+L109+L105</f>
        <v>13.921875688162071</v>
      </c>
      <c r="M119" s="50"/>
    </row>
    <row r="120" spans="2:13" s="205" customFormat="1" ht="5.0999999999999996" customHeight="1" outlineLevel="1" thickBot="1">
      <c r="C120" s="157"/>
      <c r="D120" s="157"/>
      <c r="E120" s="157"/>
      <c r="F120" s="83"/>
      <c r="G120" s="83"/>
      <c r="H120" s="83"/>
      <c r="I120" s="83"/>
      <c r="J120" s="83"/>
      <c r="K120" s="83"/>
      <c r="L120" s="83"/>
    </row>
    <row r="121" spans="2:13" s="205" customFormat="1" ht="13.5" customHeight="1" outlineLevel="1">
      <c r="C121" s="29"/>
      <c r="D121" s="29"/>
      <c r="E121" s="29"/>
      <c r="F121" s="29"/>
      <c r="G121" s="29"/>
      <c r="H121" s="29"/>
      <c r="I121" s="29"/>
      <c r="J121" s="29"/>
      <c r="K121" s="29"/>
      <c r="L121" s="29"/>
    </row>
    <row r="122" spans="2:13" ht="13.5" customHeight="1" outlineLevel="1" thickBot="1"/>
    <row r="123" spans="2:13" ht="21.75" thickTop="1">
      <c r="B123" s="46" t="s">
        <v>61</v>
      </c>
      <c r="C123" s="47" t="s">
        <v>148</v>
      </c>
      <c r="D123" s="48"/>
      <c r="E123" s="49"/>
      <c r="F123" s="49"/>
      <c r="G123" s="49"/>
      <c r="H123" s="49"/>
      <c r="I123" s="49"/>
      <c r="J123" s="49"/>
      <c r="K123" s="49"/>
      <c r="L123" s="49"/>
    </row>
    <row r="124" spans="2:13" ht="5.0999999999999996" customHeight="1" outlineLevel="1">
      <c r="C124" s="51"/>
      <c r="D124" s="52"/>
    </row>
    <row r="125" spans="2:13" ht="13.5" customHeight="1" outlineLevel="1">
      <c r="C125" s="53"/>
      <c r="D125" s="53"/>
      <c r="E125" s="53"/>
      <c r="F125" s="54" t="s">
        <v>63</v>
      </c>
      <c r="G125" s="54" t="s">
        <v>63</v>
      </c>
      <c r="H125" s="55" t="s">
        <v>64</v>
      </c>
      <c r="I125" s="55"/>
      <c r="J125" s="55"/>
      <c r="K125" s="55"/>
      <c r="L125" s="55"/>
    </row>
    <row r="126" spans="2:13" ht="13.5" customHeight="1" outlineLevel="1" thickBot="1">
      <c r="C126" s="56" t="s">
        <v>65</v>
      </c>
      <c r="D126" s="57"/>
      <c r="E126" s="57"/>
      <c r="F126" s="58">
        <f>F$11</f>
        <v>45291</v>
      </c>
      <c r="G126" s="58">
        <f>G$11</f>
        <v>45657</v>
      </c>
      <c r="H126" s="58">
        <f t="shared" ref="H126:L126" si="35">H$11</f>
        <v>46022</v>
      </c>
      <c r="I126" s="58">
        <f t="shared" si="35"/>
        <v>46387</v>
      </c>
      <c r="J126" s="58">
        <f t="shared" si="35"/>
        <v>46752</v>
      </c>
      <c r="K126" s="58">
        <f t="shared" si="35"/>
        <v>47118</v>
      </c>
      <c r="L126" s="58">
        <f t="shared" si="35"/>
        <v>47483</v>
      </c>
    </row>
    <row r="127" spans="2:13" ht="5.0999999999999996" customHeight="1" outlineLevel="1">
      <c r="C127" s="59"/>
      <c r="D127" s="59"/>
      <c r="E127" s="59"/>
      <c r="F127" s="60"/>
      <c r="G127" s="60"/>
      <c r="H127" s="60"/>
      <c r="I127" s="60"/>
      <c r="J127" s="60"/>
      <c r="K127" s="60"/>
    </row>
    <row r="128" spans="2: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6">F61</f>
        <v>16.781419000000003</v>
      </c>
      <c r="G130" s="177">
        <f t="shared" si="36"/>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6"/>
        <v>0.80490099999999998</v>
      </c>
      <c r="G131" s="177">
        <f t="shared" si="36"/>
        <v>1.161057</v>
      </c>
      <c r="H131" s="177">
        <f>(H146/365)*H150</f>
        <v>1.2029011201180084</v>
      </c>
      <c r="I131" s="177">
        <f t="shared" ref="I131:L131" si="37">(I146/365)*I150</f>
        <v>1.3873703794209342</v>
      </c>
      <c r="J131" s="177">
        <f t="shared" si="37"/>
        <v>1.558507558799139</v>
      </c>
      <c r="K131" s="177">
        <f t="shared" si="37"/>
        <v>1.7039999045715051</v>
      </c>
      <c r="L131" s="177">
        <f t="shared" si="37"/>
        <v>1.8119544925477122</v>
      </c>
      <c r="M131" s="50"/>
    </row>
    <row r="132" spans="3:13" ht="13.5" customHeight="1" outlineLevel="1">
      <c r="C132" s="91" t="str">
        <f>C63</f>
        <v>Prepaids and Other Current Assets</v>
      </c>
      <c r="D132" s="68"/>
      <c r="E132" s="68"/>
      <c r="F132" s="177">
        <f t="shared" si="36"/>
        <v>0.26978399999999997</v>
      </c>
      <c r="G132" s="177">
        <f t="shared" si="36"/>
        <v>0.34491899999999998</v>
      </c>
      <c r="H132" s="177">
        <f>H151*H147</f>
        <v>0.3792215684283346</v>
      </c>
      <c r="I132" s="177">
        <f t="shared" ref="I132:L132" si="38">I151*I147</f>
        <v>0.43737657441320382</v>
      </c>
      <c r="J132" s="177">
        <f t="shared" si="38"/>
        <v>0.49132856472628733</v>
      </c>
      <c r="K132" s="177">
        <f t="shared" si="38"/>
        <v>0.53719587221761422</v>
      </c>
      <c r="L132" s="177">
        <f t="shared" si="38"/>
        <v>0.57122918342390505</v>
      </c>
      <c r="M132" s="50"/>
    </row>
    <row r="133" spans="3:13" ht="13.5" customHeight="1" outlineLevel="1">
      <c r="C133" s="65" t="s">
        <v>152</v>
      </c>
      <c r="D133" s="65"/>
      <c r="E133" s="65"/>
      <c r="F133" s="179">
        <f t="shared" ref="F133:L133" si="39">SUM(F130:F132)</f>
        <v>17.856104000000006</v>
      </c>
      <c r="G133" s="179">
        <f t="shared" si="39"/>
        <v>23.790697999999999</v>
      </c>
      <c r="H133" s="179">
        <f t="shared" si="39"/>
        <v>25.594733500229559</v>
      </c>
      <c r="I133" s="179">
        <f t="shared" si="39"/>
        <v>29.519778919074909</v>
      </c>
      <c r="J133" s="179">
        <f t="shared" si="39"/>
        <v>33.161150952826461</v>
      </c>
      <c r="K133" s="179">
        <f t="shared" si="39"/>
        <v>36.256864934705241</v>
      </c>
      <c r="L133" s="179">
        <f t="shared" si="39"/>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40">F74</f>
        <v>2.8058170000000002</v>
      </c>
      <c r="G135" s="177">
        <f t="shared" si="40"/>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40"/>
        <v>2.3839329999999999</v>
      </c>
      <c r="G136" s="177">
        <f t="shared" si="40"/>
        <v>2.7880379999999998</v>
      </c>
      <c r="H136" s="177">
        <f>H154*H147</f>
        <v>3.1966854452582232</v>
      </c>
      <c r="I136" s="177">
        <f t="shared" ref="I136:L136" si="41">I154*I147</f>
        <v>3.6869087782063024</v>
      </c>
      <c r="J136" s="177">
        <f t="shared" si="41"/>
        <v>4.1417023778724023</v>
      </c>
      <c r="K136" s="177">
        <f t="shared" si="41"/>
        <v>4.5283453498910609</v>
      </c>
      <c r="L136" s="177">
        <f t="shared" si="41"/>
        <v>4.8152324882940372</v>
      </c>
      <c r="M136" s="50"/>
    </row>
    <row r="137" spans="3:13" ht="13.5" customHeight="1" outlineLevel="1">
      <c r="C137" s="91" t="str">
        <f>C76</f>
        <v>Accrued Expenses &amp; Other</v>
      </c>
      <c r="D137" s="68"/>
      <c r="E137" s="68"/>
      <c r="F137" s="177">
        <f t="shared" si="40"/>
        <v>2.0579079999999998</v>
      </c>
      <c r="G137" s="177">
        <f t="shared" si="40"/>
        <v>3.2020309999999998</v>
      </c>
      <c r="H137" s="177">
        <f>H155*H147</f>
        <v>3.2317636858846019</v>
      </c>
      <c r="I137" s="177">
        <f t="shared" ref="I137:L137" si="42">I155*I147</f>
        <v>3.727366394541769</v>
      </c>
      <c r="J137" s="177">
        <f t="shared" si="42"/>
        <v>4.1871505882458564</v>
      </c>
      <c r="K137" s="177">
        <f t="shared" si="42"/>
        <v>4.5780363159066395</v>
      </c>
      <c r="L137" s="177">
        <f t="shared" si="42"/>
        <v>4.8680715576328382</v>
      </c>
      <c r="M137" s="50"/>
    </row>
    <row r="138" spans="3:13" ht="13.5" customHeight="1" outlineLevel="1">
      <c r="C138" s="65" t="s">
        <v>156</v>
      </c>
      <c r="D138" s="65"/>
      <c r="E138" s="65"/>
      <c r="F138" s="179">
        <f t="shared" ref="F138:L138" si="43">SUM(F135:F137)</f>
        <v>7.2476579999999995</v>
      </c>
      <c r="G138" s="179">
        <f t="shared" si="43"/>
        <v>8.3507789999999993</v>
      </c>
      <c r="H138" s="179">
        <f t="shared" si="43"/>
        <v>9.6659794002709365</v>
      </c>
      <c r="I138" s="179">
        <f t="shared" si="43"/>
        <v>11.148292477035213</v>
      </c>
      <c r="J138" s="179">
        <f t="shared" si="43"/>
        <v>12.523474878002563</v>
      </c>
      <c r="K138" s="179">
        <f t="shared" si="43"/>
        <v>13.692586780562621</v>
      </c>
      <c r="L138" s="179">
        <f t="shared" si="43"/>
        <v>14.560061925519163</v>
      </c>
    </row>
    <row r="139" spans="3:13" ht="13.5" customHeight="1" outlineLevel="1">
      <c r="C139" s="180" t="s">
        <v>157</v>
      </c>
      <c r="D139" s="180"/>
      <c r="E139" s="180"/>
      <c r="F139" s="181">
        <f t="shared" ref="F139:L139" si="44">F133-F138</f>
        <v>10.608446000000006</v>
      </c>
      <c r="G139" s="181">
        <f t="shared" si="44"/>
        <v>15.439919</v>
      </c>
      <c r="H139" s="181">
        <f t="shared" si="44"/>
        <v>15.928754099958622</v>
      </c>
      <c r="I139" s="181">
        <f t="shared" si="44"/>
        <v>18.371486442039696</v>
      </c>
      <c r="J139" s="181">
        <f t="shared" si="44"/>
        <v>20.637676074823897</v>
      </c>
      <c r="K139" s="181">
        <f t="shared" si="44"/>
        <v>22.56427815414262</v>
      </c>
      <c r="L139" s="181">
        <f t="shared" si="44"/>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5">G139-F139</f>
        <v>4.8314729999999937</v>
      </c>
      <c r="H141" s="182">
        <f t="shared" si="45"/>
        <v>0.48883509995862262</v>
      </c>
      <c r="I141" s="182">
        <f t="shared" si="45"/>
        <v>2.442732342081074</v>
      </c>
      <c r="J141" s="182">
        <f t="shared" si="45"/>
        <v>2.2661896327842008</v>
      </c>
      <c r="K141" s="182">
        <f t="shared" si="45"/>
        <v>1.9266020793187231</v>
      </c>
      <c r="L141" s="182">
        <f t="shared" si="45"/>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6">F13</f>
        <v>78.565675999999996</v>
      </c>
      <c r="G145" s="209">
        <f t="shared" si="46"/>
        <v>90.614007999999998</v>
      </c>
      <c r="H145" s="209">
        <f t="shared" si="46"/>
        <v>104.5099955077592</v>
      </c>
      <c r="I145" s="209">
        <f t="shared" si="46"/>
        <v>120.53698321160066</v>
      </c>
      <c r="J145" s="209">
        <f t="shared" si="46"/>
        <v>135.4056582414087</v>
      </c>
      <c r="K145" s="209">
        <f t="shared" si="46"/>
        <v>148.04626863637753</v>
      </c>
      <c r="L145" s="209">
        <f t="shared" si="46"/>
        <v>157.42553790111026</v>
      </c>
      <c r="M145" s="50"/>
    </row>
    <row r="146" spans="1:19" ht="13.5" customHeight="1" outlineLevel="1">
      <c r="C146" s="68" t="s">
        <v>66</v>
      </c>
      <c r="D146" s="68"/>
      <c r="E146" s="68"/>
      <c r="F146" s="177">
        <f t="shared" si="46"/>
        <v>51.562188999999996</v>
      </c>
      <c r="G146" s="177">
        <f t="shared" si="46"/>
        <v>61.618676000000001</v>
      </c>
      <c r="H146" s="177">
        <f t="shared" si="46"/>
        <v>69.828708282059708</v>
      </c>
      <c r="I146" s="177">
        <f t="shared" si="46"/>
        <v>80.537194523728473</v>
      </c>
      <c r="J146" s="177">
        <f t="shared" si="46"/>
        <v>90.471750220079329</v>
      </c>
      <c r="K146" s="177">
        <f t="shared" si="46"/>
        <v>98.917616966977391</v>
      </c>
      <c r="L146" s="177">
        <f t="shared" si="46"/>
        <v>105.18440756632523</v>
      </c>
      <c r="M146" s="50"/>
    </row>
    <row r="147" spans="1:19" ht="13.5" customHeight="1" outlineLevel="1">
      <c r="C147" s="68" t="s">
        <v>69</v>
      </c>
      <c r="D147" s="68"/>
      <c r="E147" s="68"/>
      <c r="F147" s="177">
        <f t="shared" ref="F147:L147" si="47">F17</f>
        <v>14.179914999999999</v>
      </c>
      <c r="G147" s="177">
        <f t="shared" si="47"/>
        <v>15.4366889395</v>
      </c>
      <c r="H147" s="177">
        <f t="shared" si="47"/>
        <v>18.333216581804578</v>
      </c>
      <c r="I147" s="177">
        <f t="shared" si="47"/>
        <v>21.144681985672378</v>
      </c>
      <c r="J147" s="177">
        <f t="shared" si="47"/>
        <v>23.752955369300096</v>
      </c>
      <c r="K147" s="177">
        <f t="shared" si="47"/>
        <v>25.970380094765407</v>
      </c>
      <c r="L147" s="177">
        <f t="shared" si="47"/>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48">I149</f>
        <v>83.863776892169696</v>
      </c>
      <c r="K149" s="211">
        <f t="shared" si="48"/>
        <v>83.863776892169696</v>
      </c>
      <c r="L149" s="211">
        <f t="shared" si="48"/>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49">I151</f>
        <v>2.0684944550576352E-2</v>
      </c>
      <c r="K151" s="139">
        <f t="shared" si="49"/>
        <v>2.0684944550576352E-2</v>
      </c>
      <c r="L151" s="139">
        <f t="shared" si="49"/>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50">H153</f>
        <v>16.922818383787302</v>
      </c>
      <c r="J153" s="211">
        <f t="shared" si="50"/>
        <v>16.922818383787302</v>
      </c>
      <c r="K153" s="211">
        <f t="shared" si="50"/>
        <v>16.922818383787302</v>
      </c>
      <c r="L153" s="211">
        <f t="shared" si="50"/>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50"/>
        <v>0.17436577105792128</v>
      </c>
      <c r="K154" s="139">
        <f t="shared" si="50"/>
        <v>0.17436577105792128</v>
      </c>
      <c r="L154" s="139">
        <f t="shared" si="50"/>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50"/>
        <v>0.1762791418223944</v>
      </c>
      <c r="K155" s="139">
        <f t="shared" si="50"/>
        <v>0.1762791418223944</v>
      </c>
      <c r="L155" s="139">
        <f t="shared" si="50"/>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8'!F13</f>
        <v>0</v>
      </c>
      <c r="G162" s="122">
        <f>'Financials from CIP'!E13/1000-'Step 8'!G13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8'!F15</f>
        <v>0</v>
      </c>
      <c r="G163" s="122">
        <f>'Financials from CIP'!E19/1000-'Step 8'!G15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8'!F18</f>
        <v>0</v>
      </c>
      <c r="G164" s="122">
        <f>'Financials from CIP'!E36/1000-'Step 8'!G18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8'!F33</f>
        <v>0</v>
      </c>
      <c r="G165" s="122">
        <f>'Financials from CIP'!E34/1000-'Step 8'!G33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8'!F60</f>
        <v>0</v>
      </c>
      <c r="G168" s="122">
        <f>'Financials from CIP'!E46/1000-'Step 8'!G60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8'!F64</f>
        <v>0</v>
      </c>
      <c r="G169" s="122">
        <f>'Financials from CIP'!E51/1000-'Step 8'!G64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8'!F70</f>
        <v>0</v>
      </c>
      <c r="G170" s="122">
        <f>'Financials from CIP'!E56/1000-'Step 8'!G70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8'!F77</f>
        <v>0</v>
      </c>
      <c r="G171" s="122">
        <f>'Financials from CIP'!E61/1000-'Step 8'!G77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8'!F84</f>
        <v>0</v>
      </c>
      <c r="G172" s="122">
        <f>'Financials from CIP'!E69/1000-'Step 8'!G84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8'!F85:F86)</f>
        <v>0</v>
      </c>
      <c r="G173" s="122">
        <f>'Financials from CIP'!E73/1000-SUM('Step 8'!G85:G86)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51">H$11</f>
        <v>46022</v>
      </c>
      <c r="I185" s="58">
        <f t="shared" si="51"/>
        <v>46387</v>
      </c>
      <c r="J185" s="58">
        <f t="shared" si="51"/>
        <v>46752</v>
      </c>
      <c r="K185" s="58">
        <f t="shared" si="51"/>
        <v>47118</v>
      </c>
      <c r="L185" s="58">
        <f t="shared" si="51"/>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2">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2"/>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2"/>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2"/>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2"/>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2"/>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3">-SUM(I187:I193)</f>
        <v>6.1302957891314076</v>
      </c>
      <c r="J194" s="156">
        <f t="shared" ca="1" si="53"/>
        <v>6.4683165246530567</v>
      </c>
      <c r="K194" s="156">
        <f t="shared" ca="1" si="53"/>
        <v>6.8378927245374452</v>
      </c>
      <c r="L194" s="156">
        <f t="shared" ca="1" si="53"/>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thickBot="1">
      <c r="A197" s="82"/>
      <c r="B197" s="82"/>
      <c r="C197" s="121"/>
      <c r="D197" s="82"/>
      <c r="E197" s="82"/>
      <c r="F197" s="82"/>
      <c r="G197" s="82"/>
      <c r="H197" s="82"/>
      <c r="I197" s="82"/>
      <c r="J197" s="82"/>
      <c r="K197" s="82"/>
      <c r="L197" s="82"/>
      <c r="M197" s="82"/>
      <c r="N197" s="82"/>
      <c r="O197" s="82"/>
      <c r="P197" s="82"/>
      <c r="Q197" s="82"/>
      <c r="R197" s="82"/>
      <c r="S197" s="82"/>
    </row>
    <row r="198" spans="1:19" ht="19.5" customHeight="1" outlineLevel="1" thickTop="1">
      <c r="B198" s="46" t="s">
        <v>61</v>
      </c>
      <c r="C198" s="47" t="s">
        <v>199</v>
      </c>
      <c r="D198" s="48"/>
      <c r="E198" s="49"/>
      <c r="F198" s="49"/>
      <c r="G198" s="49"/>
      <c r="H198" s="49"/>
      <c r="I198" s="49"/>
      <c r="J198" s="49"/>
      <c r="K198" s="49"/>
      <c r="L198" s="49"/>
      <c r="M198" s="50"/>
    </row>
    <row r="199" spans="1:19" ht="5.0999999999999996" customHeight="1" outlineLevel="1">
      <c r="M199" s="50"/>
    </row>
    <row r="200" spans="1:19" ht="13.5" customHeight="1" outlineLevel="1">
      <c r="C200" s="53"/>
      <c r="D200" s="53"/>
      <c r="E200" s="53"/>
      <c r="F200" s="54" t="s">
        <v>63</v>
      </c>
      <c r="G200" s="54" t="s">
        <v>63</v>
      </c>
      <c r="H200" s="55" t="s">
        <v>64</v>
      </c>
      <c r="I200" s="55"/>
      <c r="J200" s="55"/>
      <c r="K200" s="55"/>
      <c r="L200" s="55"/>
    </row>
    <row r="201" spans="1:19" ht="13.5" customHeight="1" outlineLevel="1" thickBot="1">
      <c r="C201" s="56" t="s">
        <v>65</v>
      </c>
      <c r="D201" s="57"/>
      <c r="E201" s="57"/>
      <c r="F201" s="58">
        <f>F$11</f>
        <v>45291</v>
      </c>
      <c r="G201" s="58">
        <f>G$11</f>
        <v>45657</v>
      </c>
      <c r="H201" s="58">
        <f t="shared" ref="H201:L201" si="54">H$11</f>
        <v>46022</v>
      </c>
      <c r="I201" s="58">
        <f t="shared" si="54"/>
        <v>46387</v>
      </c>
      <c r="J201" s="58">
        <f t="shared" si="54"/>
        <v>46752</v>
      </c>
      <c r="K201" s="58">
        <f t="shared" si="54"/>
        <v>47118</v>
      </c>
      <c r="L201" s="58">
        <f t="shared" si="54"/>
        <v>47483</v>
      </c>
    </row>
    <row r="202" spans="1:19" ht="5.0999999999999996" customHeight="1" outlineLevel="1">
      <c r="M202" s="50"/>
    </row>
    <row r="203" spans="1:19" ht="13.5" customHeight="1" outlineLevel="1">
      <c r="C203" s="68" t="s">
        <v>247</v>
      </c>
      <c r="D203" s="68"/>
      <c r="E203" s="68"/>
      <c r="F203" s="68"/>
      <c r="G203" s="132"/>
      <c r="H203" s="152">
        <f>G60</f>
        <v>2.9579920000000004</v>
      </c>
      <c r="I203" s="152">
        <f ca="1">H60</f>
        <v>10</v>
      </c>
      <c r="J203" s="152">
        <f ca="1">I60</f>
        <v>10</v>
      </c>
      <c r="K203" s="152">
        <f ca="1">J60</f>
        <v>20.161229667020034</v>
      </c>
      <c r="L203" s="152">
        <f ca="1">K60</f>
        <v>32.683172574382148</v>
      </c>
      <c r="M203" s="50"/>
    </row>
    <row r="204" spans="1:19" ht="13.5" customHeight="1" outlineLevel="1">
      <c r="C204" s="68" t="s">
        <v>249</v>
      </c>
      <c r="D204" s="68"/>
      <c r="E204" s="68"/>
      <c r="F204" s="68"/>
      <c r="G204" s="250"/>
      <c r="H204" s="159">
        <v>-10</v>
      </c>
      <c r="I204" s="159">
        <v>-10</v>
      </c>
      <c r="J204" s="159">
        <v>-10</v>
      </c>
      <c r="K204" s="159">
        <v>-10</v>
      </c>
      <c r="L204" s="159">
        <v>-10</v>
      </c>
      <c r="M204" s="50"/>
    </row>
    <row r="205" spans="1:19" ht="13.5" customHeight="1" outlineLevel="1">
      <c r="C205" s="65" t="s">
        <v>251</v>
      </c>
      <c r="D205" s="65"/>
      <c r="E205" s="65"/>
      <c r="F205" s="65"/>
      <c r="G205" s="197"/>
      <c r="H205" s="179">
        <f>SUM(H203:H204)</f>
        <v>-7.0420079999999992</v>
      </c>
      <c r="I205" s="179">
        <f ca="1">SUM(I203:I204)</f>
        <v>0</v>
      </c>
      <c r="J205" s="179">
        <f ca="1">SUM(J203:J204)</f>
        <v>0</v>
      </c>
      <c r="K205" s="179">
        <f ca="1">SUM(K203:K204)</f>
        <v>10.161229667020034</v>
      </c>
      <c r="L205" s="179">
        <f ca="1">SUM(L203:L204)</f>
        <v>22.683172574382148</v>
      </c>
      <c r="M205" s="50"/>
    </row>
    <row r="206" spans="1:19" ht="13.5" customHeight="1" outlineLevel="1">
      <c r="C206" s="68" t="s">
        <v>253</v>
      </c>
      <c r="D206" s="68"/>
      <c r="E206" s="68"/>
      <c r="F206" s="68"/>
      <c r="G206" s="250"/>
      <c r="H206" s="149">
        <f>H105+H109</f>
        <v>10.047940342237592</v>
      </c>
      <c r="I206" s="149">
        <f t="shared" ref="I206:L206" si="55">I105+I109</f>
        <v>9.5137979697035551</v>
      </c>
      <c r="J206" s="149">
        <f t="shared" ca="1" si="55"/>
        <v>11.025821905078885</v>
      </c>
      <c r="K206" s="149">
        <f t="shared" ca="1" si="55"/>
        <v>12.526376357362114</v>
      </c>
      <c r="L206" s="149">
        <f t="shared" ca="1" si="55"/>
        <v>13.921875688162071</v>
      </c>
      <c r="M206" s="50"/>
    </row>
    <row r="207" spans="1:19" ht="13.5" customHeight="1" outlineLevel="1">
      <c r="C207" s="70" t="s">
        <v>255</v>
      </c>
      <c r="D207" s="70"/>
      <c r="E207" s="70"/>
      <c r="F207" s="70"/>
      <c r="G207" s="252"/>
      <c r="H207" s="198">
        <f>SUM(H205:H206)</f>
        <v>3.0059323422375925</v>
      </c>
      <c r="I207" s="198">
        <f ca="1">SUM(I205:I206)</f>
        <v>9.5137979697035551</v>
      </c>
      <c r="J207" s="198">
        <f ca="1">SUM(J205:J206)</f>
        <v>11.025821905078885</v>
      </c>
      <c r="K207" s="198">
        <f ca="1">SUM(K205:K206)</f>
        <v>22.687606024382148</v>
      </c>
      <c r="L207" s="198">
        <f ca="1">SUM(L205:L206)</f>
        <v>36.605048262544216</v>
      </c>
      <c r="M207" s="50"/>
    </row>
    <row r="208" spans="1:19" ht="5.0999999999999996" customHeight="1" outlineLevel="1">
      <c r="C208" s="68"/>
      <c r="D208" s="68"/>
      <c r="E208" s="68"/>
      <c r="F208" s="68"/>
      <c r="G208" s="154"/>
      <c r="H208" s="154"/>
      <c r="I208" s="154"/>
      <c r="J208" s="154"/>
      <c r="K208" s="154"/>
      <c r="L208" s="154"/>
    </row>
    <row r="209" spans="3:13" ht="13.5" customHeight="1" outlineLevel="1">
      <c r="C209" s="72" t="s">
        <v>257</v>
      </c>
      <c r="D209" s="68"/>
      <c r="E209" s="68"/>
      <c r="F209" s="68"/>
      <c r="G209" s="154"/>
      <c r="H209" s="154"/>
      <c r="I209" s="154"/>
      <c r="J209" s="154"/>
      <c r="K209" s="154"/>
      <c r="L209" s="154"/>
    </row>
    <row r="210" spans="3:13" ht="13.5" customHeight="1" outlineLevel="1">
      <c r="C210" s="91" t="str">
        <f>+C237</f>
        <v>Term Loan A</v>
      </c>
      <c r="D210" s="118"/>
      <c r="E210" s="118"/>
      <c r="G210" s="250"/>
      <c r="H210" s="149">
        <f>H239</f>
        <v>-2.4002902000000002</v>
      </c>
      <c r="I210" s="149">
        <f ca="1">I239</f>
        <v>-2.4002902000000002</v>
      </c>
      <c r="J210" s="149">
        <f ca="1">J239</f>
        <v>-0.80642258805885092</v>
      </c>
      <c r="K210" s="149">
        <f ca="1">K239</f>
        <v>0</v>
      </c>
      <c r="L210" s="149">
        <f ca="1">L239</f>
        <v>0</v>
      </c>
      <c r="M210" s="50"/>
    </row>
    <row r="211" spans="3:13" ht="13.5" customHeight="1" outlineLevel="1">
      <c r="C211" s="91" t="str">
        <f>+C243</f>
        <v>Subordinated - Note 1</v>
      </c>
      <c r="D211" s="118"/>
      <c r="E211" s="118"/>
      <c r="G211" s="250"/>
      <c r="H211" s="149">
        <f>H245</f>
        <v>-1.7067599999999999E-2</v>
      </c>
      <c r="I211" s="149">
        <f ca="1">I245</f>
        <v>-1.7067599999999999E-2</v>
      </c>
      <c r="J211" s="149">
        <f ca="1">J245</f>
        <v>-1.7067599999999999E-2</v>
      </c>
      <c r="K211" s="149">
        <f ca="1">K245</f>
        <v>0</v>
      </c>
      <c r="L211" s="149">
        <f ca="1">L245</f>
        <v>0</v>
      </c>
      <c r="M211" s="50"/>
    </row>
    <row r="212" spans="3:13" ht="13.5" customHeight="1" outlineLevel="1">
      <c r="C212" s="91" t="str">
        <f>+C249</f>
        <v>Subordinated - Note 2</v>
      </c>
      <c r="D212" s="118"/>
      <c r="E212" s="118"/>
      <c r="G212" s="250"/>
      <c r="H212" s="149">
        <f>H251</f>
        <v>-6.3334999999999997E-4</v>
      </c>
      <c r="I212" s="149">
        <f ca="1">I251</f>
        <v>-6.3334999999999997E-4</v>
      </c>
      <c r="J212" s="149">
        <f ca="1">J251</f>
        <v>-6.3334999999999997E-4</v>
      </c>
      <c r="K212" s="149">
        <f ca="1">K251</f>
        <v>-6.3334999999999997E-4</v>
      </c>
      <c r="L212" s="149">
        <f ca="1">L251</f>
        <v>0</v>
      </c>
      <c r="M212" s="50"/>
    </row>
    <row r="213" spans="3:13" ht="13.5" customHeight="1" outlineLevel="1">
      <c r="C213" s="65" t="s">
        <v>261</v>
      </c>
      <c r="D213" s="65"/>
      <c r="E213" s="65"/>
      <c r="F213" s="65"/>
      <c r="G213" s="197"/>
      <c r="H213" s="179">
        <f>SUM(H210:H212)</f>
        <v>-2.4179911500000002</v>
      </c>
      <c r="I213" s="179">
        <f ca="1">SUM(I210:I212)</f>
        <v>-2.4179911500000002</v>
      </c>
      <c r="J213" s="179">
        <f ca="1">SUM(J210:J212)</f>
        <v>-0.82412353805885086</v>
      </c>
      <c r="K213" s="179">
        <f ca="1">SUM(K210:K212)</f>
        <v>-6.3334999999999997E-4</v>
      </c>
      <c r="L213" s="179">
        <f ca="1">SUM(L210:L212)</f>
        <v>0</v>
      </c>
      <c r="M213" s="50"/>
    </row>
    <row r="214" spans="3:13" ht="13.5" customHeight="1" outlineLevel="1">
      <c r="C214" s="180" t="s">
        <v>263</v>
      </c>
      <c r="D214" s="180"/>
      <c r="E214" s="180"/>
      <c r="F214" s="180"/>
      <c r="G214" s="199"/>
      <c r="H214" s="200">
        <f>SUM(H213,H207)</f>
        <v>0.58794119223759234</v>
      </c>
      <c r="I214" s="200">
        <f ca="1">SUM(I213,I207)</f>
        <v>7.0958068197035544</v>
      </c>
      <c r="J214" s="200">
        <f ca="1">SUM(J213,J207)</f>
        <v>10.201698367020034</v>
      </c>
      <c r="K214" s="200">
        <f ca="1">SUM(K213,K207)</f>
        <v>22.686972674382147</v>
      </c>
      <c r="L214" s="200">
        <f ca="1">SUM(L213,L207)</f>
        <v>36.605048262544216</v>
      </c>
      <c r="M214" s="50"/>
    </row>
    <row r="215" spans="3:13" ht="13.5" customHeight="1" outlineLevel="1">
      <c r="C215" s="59"/>
      <c r="D215" s="59"/>
      <c r="E215" s="59"/>
      <c r="F215" s="60"/>
      <c r="G215" s="60"/>
      <c r="H215" s="268"/>
      <c r="I215" s="268"/>
      <c r="J215" s="268"/>
      <c r="K215" s="268"/>
      <c r="L215" s="68"/>
    </row>
    <row r="216" spans="3:13" ht="13.5" customHeight="1" outlineLevel="1">
      <c r="C216" s="68" t="s">
        <v>265</v>
      </c>
      <c r="D216" s="59"/>
      <c r="E216" s="59"/>
      <c r="F216" s="60"/>
      <c r="G216" s="60"/>
      <c r="H216" s="149">
        <f ca="1">MIN(MAX(0,-H214),H235-H229)</f>
        <v>0</v>
      </c>
      <c r="I216" s="149">
        <f ca="1">MIN(MAX(0,-I214),I235-I229)</f>
        <v>0</v>
      </c>
      <c r="J216" s="149">
        <f ca="1">MIN(MAX(0,-J214),J235-J229)</f>
        <v>0</v>
      </c>
      <c r="K216" s="149">
        <f ca="1">MIN(MAX(0,-K214),K235-K229)</f>
        <v>0</v>
      </c>
      <c r="L216" s="149">
        <f ca="1">MIN(MAX(0,-L214),L235-L229)</f>
        <v>0</v>
      </c>
      <c r="M216" s="50"/>
    </row>
    <row r="217" spans="3:13" ht="13.5" customHeight="1" outlineLevel="1">
      <c r="C217" s="59"/>
      <c r="D217" s="59"/>
      <c r="E217" s="59"/>
      <c r="F217" s="60"/>
      <c r="G217" s="60"/>
      <c r="H217" s="149"/>
      <c r="I217" s="149"/>
      <c r="J217" s="149"/>
      <c r="K217" s="149"/>
      <c r="L217" s="149"/>
    </row>
    <row r="218" spans="3:13" ht="13.5" customHeight="1" outlineLevel="1">
      <c r="C218" s="72" t="s">
        <v>267</v>
      </c>
      <c r="D218" s="68"/>
      <c r="E218" s="68"/>
      <c r="F218" s="68"/>
      <c r="G218" s="147"/>
      <c r="H218" s="149"/>
      <c r="I218" s="149"/>
      <c r="J218" s="149"/>
      <c r="K218" s="149"/>
      <c r="L218" s="149"/>
    </row>
    <row r="219" spans="3:13" ht="13.5" customHeight="1" outlineLevel="1">
      <c r="C219" s="68" t="s">
        <v>268</v>
      </c>
      <c r="D219" s="68"/>
      <c r="E219" s="68"/>
      <c r="F219" s="68"/>
      <c r="G219" s="132"/>
      <c r="H219" s="149">
        <f ca="1">-MAX(0,MIN(H229,SUM(H$214:H218),H229*$L267))</f>
        <v>-0.58794119223759234</v>
      </c>
      <c r="I219" s="149">
        <f ca="1">-MAX(0,MIN(I229,SUM(I$214:I218),I229*$L267))</f>
        <v>-0.70135880776240755</v>
      </c>
      <c r="J219" s="149">
        <f ca="1">-MAX(0,MIN(J229,SUM(J$214:J218),J229*$L267))</f>
        <v>0</v>
      </c>
      <c r="K219" s="149">
        <f ca="1">-MAX(0,MIN(K229,SUM(K$214:K218),K229*$L267))</f>
        <v>0</v>
      </c>
      <c r="L219" s="149">
        <f ca="1">-MAX(0,MIN(L229,SUM(L$214:L218),L229*$L267))</f>
        <v>0</v>
      </c>
      <c r="M219" s="50"/>
    </row>
    <row r="220" spans="3:13" ht="13.5" customHeight="1" outlineLevel="1">
      <c r="C220" s="68" t="str">
        <f>+C210</f>
        <v>Term Loan A</v>
      </c>
      <c r="D220" s="68"/>
      <c r="E220" s="68"/>
      <c r="F220" s="68"/>
      <c r="G220" s="154"/>
      <c r="H220" s="149">
        <f ca="1">-MAX(0,MIN(SUM(H238:H239),SUM(H$214:H219),$G241*$L268))</f>
        <v>0</v>
      </c>
      <c r="I220" s="149">
        <f ca="1">-MAX(0,MIN(SUM(I238:I239),SUM(I$214:I219),$G241*$L268))</f>
        <v>-6.3944480119411473</v>
      </c>
      <c r="J220" s="149">
        <f ca="1">-MAX(0,MIN(SUM(J238:J239),SUM(J$214:J219),$G241*$L268))</f>
        <v>0</v>
      </c>
      <c r="K220" s="149">
        <f ca="1">-MAX(0,MIN(SUM(K238:K239),SUM(K$214:K219),$G241*$L268))</f>
        <v>0</v>
      </c>
      <c r="L220" s="149">
        <f ca="1">-MAX(0,MIN(SUM(L238:L239),SUM(L$214:L219),$G241*$L268))</f>
        <v>0</v>
      </c>
      <c r="M220" s="50"/>
    </row>
    <row r="221" spans="3:13" ht="13.5" customHeight="1" outlineLevel="1">
      <c r="C221" s="68" t="str">
        <f>+C211</f>
        <v>Subordinated - Note 1</v>
      </c>
      <c r="D221" s="68"/>
      <c r="E221" s="68"/>
      <c r="F221" s="68"/>
      <c r="G221" s="154"/>
      <c r="H221" s="149">
        <f ca="1">-MAX(0,MIN(SUM(H244:H245),SUM(H$214:H220),$G247*$L269))</f>
        <v>0</v>
      </c>
      <c r="I221" s="149">
        <f ca="1">-MAX(0,MIN(SUM(I244:I245),SUM(I$214:I220),$G247*$L269))</f>
        <v>0</v>
      </c>
      <c r="J221" s="149">
        <f ca="1">-MAX(0,MIN(SUM(J244:J245),SUM(J$214:J220),$G247*$L269))</f>
        <v>-3.4135199999999991E-2</v>
      </c>
      <c r="K221" s="149">
        <f ca="1">-MAX(0,MIN(SUM(K244:K245),SUM(K$214:K220),$G247*$L269))</f>
        <v>0</v>
      </c>
      <c r="L221" s="149">
        <f ca="1">-MAX(0,MIN(SUM(L244:L245),SUM(L$214:L220),$G247*$L269))</f>
        <v>0</v>
      </c>
      <c r="M221" s="50"/>
    </row>
    <row r="222" spans="3:13" ht="13.5" customHeight="1" outlineLevel="1">
      <c r="C222" s="68" t="str">
        <f>+C212</f>
        <v>Subordinated - Note 2</v>
      </c>
      <c r="D222" s="68"/>
      <c r="E222" s="68"/>
      <c r="F222" s="68"/>
      <c r="G222" s="154"/>
      <c r="H222" s="149">
        <f ca="1">-MAX(0,MIN(SUM(H250:H251),SUM(H$214:H221),$G253*$L270))</f>
        <v>0</v>
      </c>
      <c r="I222" s="149">
        <f ca="1">-MAX(0,MIN(SUM(I250:I251),SUM(I$214:I221),$G253*$L270))</f>
        <v>0</v>
      </c>
      <c r="J222" s="149">
        <f ca="1">-MAX(0,MIN(SUM(J250:J251),SUM(J$214:J221),$G253*$L270))</f>
        <v>-6.3334999999999997E-3</v>
      </c>
      <c r="K222" s="149">
        <f ca="1">-MAX(0,MIN(SUM(K250:K251),SUM(K$214:K221),$G253*$L270))</f>
        <v>-3.8001000000000011E-3</v>
      </c>
      <c r="L222" s="149">
        <f ca="1">-MAX(0,MIN(SUM(L250:L251),SUM(L$214:L221),$G253*$L270))</f>
        <v>0</v>
      </c>
      <c r="M222" s="50"/>
    </row>
    <row r="223" spans="3:13" ht="13.5" customHeight="1" outlineLevel="1">
      <c r="C223" s="65" t="s">
        <v>273</v>
      </c>
      <c r="D223" s="65"/>
      <c r="E223" s="65"/>
      <c r="F223" s="65"/>
      <c r="G223" s="257"/>
      <c r="H223" s="179">
        <f ca="1">+SUM(H219:H222)</f>
        <v>-0.58794119223759234</v>
      </c>
      <c r="I223" s="179">
        <f t="shared" ref="I223:L223" ca="1" si="56">+SUM(I219:I222)</f>
        <v>-7.0958068197035544</v>
      </c>
      <c r="J223" s="179">
        <f t="shared" ca="1" si="56"/>
        <v>-4.0468699999999989E-2</v>
      </c>
      <c r="K223" s="179">
        <f t="shared" ca="1" si="56"/>
        <v>-3.8001000000000011E-3</v>
      </c>
      <c r="L223" s="179">
        <f t="shared" ca="1" si="56"/>
        <v>0</v>
      </c>
      <c r="M223" s="50"/>
    </row>
    <row r="224" spans="3:13" ht="13.5" customHeight="1" outlineLevel="1">
      <c r="C224" s="258"/>
      <c r="D224" s="53"/>
      <c r="E224" s="53"/>
      <c r="F224" s="259"/>
      <c r="G224" s="259"/>
      <c r="H224" s="259"/>
      <c r="I224" s="259"/>
      <c r="J224" s="259"/>
      <c r="K224" s="259"/>
      <c r="L224" s="259"/>
    </row>
    <row r="225" spans="3:13" ht="5.0999999999999996" customHeight="1" outlineLevel="1">
      <c r="C225" s="59"/>
      <c r="D225" s="59"/>
      <c r="E225" s="59"/>
      <c r="F225" s="60"/>
      <c r="G225" s="60"/>
      <c r="H225" s="60"/>
      <c r="I225" s="60"/>
      <c r="J225" s="60"/>
      <c r="K225" s="60"/>
    </row>
    <row r="226" spans="3:13" ht="13.5" customHeight="1" outlineLevel="1">
      <c r="C226" s="84" t="s">
        <v>201</v>
      </c>
      <c r="D226" s="85"/>
      <c r="E226" s="86"/>
      <c r="F226" s="86"/>
      <c r="G226" s="86"/>
      <c r="H226" s="86"/>
      <c r="I226" s="86"/>
      <c r="J226" s="86"/>
      <c r="K226" s="86"/>
      <c r="L226" s="87"/>
    </row>
    <row r="227" spans="3:13" ht="13.5" customHeight="1" outlineLevel="1">
      <c r="M227" s="30"/>
    </row>
    <row r="228" spans="3:13" ht="13.5" customHeight="1" outlineLevel="1">
      <c r="C228" s="216" t="str">
        <f>+C113</f>
        <v>Revolver</v>
      </c>
      <c r="D228" s="217"/>
      <c r="E228" s="217"/>
      <c r="F228" s="218"/>
      <c r="G228" s="219"/>
      <c r="H228" s="220"/>
      <c r="I228" s="220"/>
      <c r="J228" s="220"/>
      <c r="K228" s="220"/>
      <c r="L228" s="220"/>
    </row>
    <row r="229" spans="3:13" ht="13.5" customHeight="1" outlineLevel="1">
      <c r="C229" s="98" t="s">
        <v>202</v>
      </c>
      <c r="D229" s="118"/>
      <c r="E229" s="118"/>
      <c r="G229" s="149"/>
      <c r="H229" s="152">
        <f>G232</f>
        <v>1.2892999999999999</v>
      </c>
      <c r="I229" s="152">
        <f ca="1">H232</f>
        <v>0.70135880776240755</v>
      </c>
      <c r="J229" s="152">
        <f ca="1">I232</f>
        <v>0</v>
      </c>
      <c r="K229" s="152">
        <f ca="1">J232</f>
        <v>0</v>
      </c>
      <c r="L229" s="152">
        <f ca="1">K232</f>
        <v>0</v>
      </c>
      <c r="M229" s="50"/>
    </row>
    <row r="230" spans="3:13" ht="13.5" customHeight="1" outlineLevel="1">
      <c r="C230" s="91" t="s">
        <v>204</v>
      </c>
      <c r="D230" s="118"/>
      <c r="E230" s="118"/>
      <c r="G230" s="149"/>
      <c r="H230" s="149">
        <f ca="1">H216</f>
        <v>0</v>
      </c>
      <c r="I230" s="149">
        <f ca="1">I216</f>
        <v>0</v>
      </c>
      <c r="J230" s="149">
        <f ca="1">J216</f>
        <v>0</v>
      </c>
      <c r="K230" s="149">
        <f ca="1">K216</f>
        <v>0</v>
      </c>
      <c r="L230" s="149">
        <f ca="1">L216</f>
        <v>0</v>
      </c>
      <c r="M230" s="50"/>
    </row>
    <row r="231" spans="3:13" ht="13.5" customHeight="1" outlineLevel="1">
      <c r="C231" s="91" t="s">
        <v>206</v>
      </c>
      <c r="D231" s="118"/>
      <c r="E231" s="118"/>
      <c r="G231" s="149"/>
      <c r="H231" s="149">
        <f ca="1">H219</f>
        <v>-0.58794119223759234</v>
      </c>
      <c r="I231" s="149">
        <f ca="1">I219</f>
        <v>-0.70135880776240755</v>
      </c>
      <c r="J231" s="149">
        <f ca="1">J219</f>
        <v>0</v>
      </c>
      <c r="K231" s="149">
        <f ca="1">K219</f>
        <v>0</v>
      </c>
      <c r="L231" s="149">
        <f ca="1">L219</f>
        <v>0</v>
      </c>
      <c r="M231" s="50"/>
    </row>
    <row r="232" spans="3:13" ht="13.5" customHeight="1" outlineLevel="1">
      <c r="C232" s="65" t="s">
        <v>207</v>
      </c>
      <c r="D232" s="65"/>
      <c r="E232" s="65"/>
      <c r="F232" s="65"/>
      <c r="G232" s="260">
        <f>G78</f>
        <v>1.2892999999999999</v>
      </c>
      <c r="H232" s="260">
        <f ca="1">SUM(H229:H231)</f>
        <v>0.70135880776240755</v>
      </c>
      <c r="I232" s="260">
        <f ca="1">SUM(I229:I231)</f>
        <v>0</v>
      </c>
      <c r="J232" s="260">
        <f ca="1">SUM(J229:J231)</f>
        <v>0</v>
      </c>
      <c r="K232" s="260">
        <f ca="1">SUM(K229:K231)</f>
        <v>0</v>
      </c>
      <c r="L232" s="260">
        <f ca="1">SUM(L229:L231)</f>
        <v>0</v>
      </c>
      <c r="M232" s="50"/>
    </row>
    <row r="233" spans="3:13" ht="13.5" customHeight="1" outlineLevel="1">
      <c r="C233" s="68"/>
      <c r="D233" s="68"/>
      <c r="E233" s="68"/>
      <c r="F233" s="68"/>
      <c r="G233" s="147"/>
      <c r="H233" s="154"/>
      <c r="I233" s="68"/>
      <c r="J233" s="68"/>
      <c r="K233" s="68"/>
      <c r="L233" s="68"/>
    </row>
    <row r="234" spans="3:13" ht="13.5" customHeight="1" outlineLevel="1">
      <c r="C234" s="68" t="s">
        <v>209</v>
      </c>
      <c r="D234" s="68"/>
      <c r="E234" s="68"/>
      <c r="F234" s="68"/>
      <c r="G234" s="159">
        <v>30</v>
      </c>
      <c r="H234" s="159">
        <v>30</v>
      </c>
      <c r="I234" s="159">
        <v>30</v>
      </c>
      <c r="J234" s="159">
        <v>30</v>
      </c>
      <c r="K234" s="159">
        <v>30</v>
      </c>
      <c r="L234" s="159">
        <v>30</v>
      </c>
      <c r="M234" s="50"/>
    </row>
    <row r="235" spans="3:13" ht="13.5" customHeight="1" outlineLevel="1">
      <c r="C235" s="98" t="s">
        <v>211</v>
      </c>
      <c r="D235" s="223"/>
      <c r="E235" s="223"/>
      <c r="F235" s="223"/>
      <c r="G235" s="177">
        <f t="shared" ref="G235:L235" si="57">G234-G232</f>
        <v>28.710699999999999</v>
      </c>
      <c r="H235" s="177">
        <f t="shared" ca="1" si="57"/>
        <v>29.298641192237593</v>
      </c>
      <c r="I235" s="177">
        <f t="shared" ca="1" si="57"/>
        <v>30</v>
      </c>
      <c r="J235" s="177">
        <f t="shared" ca="1" si="57"/>
        <v>30</v>
      </c>
      <c r="K235" s="177">
        <f t="shared" ca="1" si="57"/>
        <v>30</v>
      </c>
      <c r="L235" s="177">
        <f t="shared" ca="1" si="57"/>
        <v>30</v>
      </c>
      <c r="M235" s="50"/>
    </row>
    <row r="236" spans="3:13" ht="13.5" customHeight="1" outlineLevel="1">
      <c r="C236" s="68"/>
      <c r="G236" s="68"/>
      <c r="H236" s="68"/>
      <c r="I236" s="68"/>
      <c r="J236" s="68"/>
      <c r="K236" s="68"/>
      <c r="L236" s="68"/>
    </row>
    <row r="237" spans="3:13" ht="13.5" customHeight="1" outlineLevel="1">
      <c r="C237" s="216" t="str">
        <f>+C114</f>
        <v>Term Loan A</v>
      </c>
      <c r="D237" s="217"/>
      <c r="E237" s="217"/>
      <c r="F237" s="218"/>
      <c r="G237" s="219"/>
      <c r="H237" s="224"/>
      <c r="I237" s="224"/>
      <c r="J237" s="225"/>
      <c r="K237" s="225"/>
      <c r="L237" s="225"/>
    </row>
    <row r="238" spans="3:13" ht="13.5" customHeight="1" outlineLevel="1">
      <c r="C238" s="98" t="s">
        <v>202</v>
      </c>
      <c r="D238" s="118"/>
      <c r="E238" s="118"/>
      <c r="G238" s="149"/>
      <c r="H238" s="152">
        <f>G241</f>
        <v>12.001450999999999</v>
      </c>
      <c r="I238" s="152">
        <f ca="1">H241</f>
        <v>9.6011607999999988</v>
      </c>
      <c r="J238" s="152">
        <f ca="1">I241</f>
        <v>0.80642258805885092</v>
      </c>
      <c r="K238" s="152">
        <f ca="1">J241</f>
        <v>0</v>
      </c>
      <c r="L238" s="152">
        <f ca="1">K241</f>
        <v>0</v>
      </c>
      <c r="M238" s="50"/>
    </row>
    <row r="239" spans="3:13" ht="13.5" customHeight="1" outlineLevel="1">
      <c r="C239" s="91" t="s">
        <v>214</v>
      </c>
      <c r="D239" s="118"/>
      <c r="E239" s="118"/>
      <c r="G239" s="149"/>
      <c r="H239" s="177">
        <f>-MIN(($G241*H258),H238)</f>
        <v>-2.4002902000000002</v>
      </c>
      <c r="I239" s="177">
        <f ca="1">-MIN(($G241*I258),I238)</f>
        <v>-2.4002902000000002</v>
      </c>
      <c r="J239" s="177">
        <f ca="1">-MIN(($G241*J258),J238)</f>
        <v>-0.80642258805885092</v>
      </c>
      <c r="K239" s="177">
        <f ca="1">-MIN(($G241*K258),K238)</f>
        <v>0</v>
      </c>
      <c r="L239" s="177">
        <f ca="1">-MIN(($G241*L258),L238)</f>
        <v>0</v>
      </c>
      <c r="M239" s="50"/>
    </row>
    <row r="240" spans="3:13" ht="13.5" customHeight="1" outlineLevel="1">
      <c r="C240" s="91" t="s">
        <v>216</v>
      </c>
      <c r="D240" s="118"/>
      <c r="E240" s="118"/>
      <c r="G240" s="149"/>
      <c r="H240" s="177">
        <f ca="1">H220</f>
        <v>0</v>
      </c>
      <c r="I240" s="177">
        <f t="shared" ref="I240:L240" ca="1" si="58">I220</f>
        <v>-6.3944480119411473</v>
      </c>
      <c r="J240" s="177">
        <f t="shared" ca="1" si="58"/>
        <v>0</v>
      </c>
      <c r="K240" s="177">
        <f t="shared" ca="1" si="58"/>
        <v>0</v>
      </c>
      <c r="L240" s="177">
        <f t="shared" ca="1" si="58"/>
        <v>0</v>
      </c>
      <c r="M240" s="50"/>
    </row>
    <row r="241" spans="3:13" ht="13.5" customHeight="1" outlineLevel="1">
      <c r="C241" s="65" t="s">
        <v>207</v>
      </c>
      <c r="D241" s="65"/>
      <c r="E241" s="65"/>
      <c r="F241" s="65"/>
      <c r="G241" s="260">
        <f>G79</f>
        <v>12.001450999999999</v>
      </c>
      <c r="H241" s="261">
        <f ca="1">SUM(H238:H240)</f>
        <v>9.6011607999999988</v>
      </c>
      <c r="I241" s="261">
        <f ca="1">SUM(I238:I240)</f>
        <v>0.80642258805885092</v>
      </c>
      <c r="J241" s="261">
        <f ca="1">SUM(J238:J240)</f>
        <v>0</v>
      </c>
      <c r="K241" s="261">
        <f ca="1">SUM(K238:K240)</f>
        <v>0</v>
      </c>
      <c r="L241" s="261">
        <f ca="1">SUM(L238:L240)</f>
        <v>0</v>
      </c>
      <c r="M241" s="50"/>
    </row>
    <row r="242" spans="3:13" ht="13.5" customHeight="1" outlineLevel="1">
      <c r="C242" s="68"/>
      <c r="G242" s="68"/>
      <c r="H242" s="68"/>
      <c r="I242" s="68"/>
      <c r="J242" s="68"/>
      <c r="K242" s="68"/>
      <c r="L242" s="68"/>
    </row>
    <row r="243" spans="3:13" ht="13.5" customHeight="1" outlineLevel="1">
      <c r="C243" s="216" t="str">
        <f>+C115</f>
        <v>Subordinated - Note 1</v>
      </c>
      <c r="D243" s="217"/>
      <c r="E243" s="217"/>
      <c r="F243" s="218"/>
      <c r="G243" s="219"/>
      <c r="H243" s="224"/>
      <c r="I243" s="224"/>
      <c r="J243" s="225"/>
      <c r="K243" s="225"/>
      <c r="L243" s="225"/>
    </row>
    <row r="244" spans="3:13" ht="13.5" customHeight="1" outlineLevel="1">
      <c r="C244" s="98" t="s">
        <v>202</v>
      </c>
      <c r="D244" s="118"/>
      <c r="E244" s="118"/>
      <c r="G244" s="228"/>
      <c r="H244" s="228">
        <f>G247</f>
        <v>8.5337999999999997E-2</v>
      </c>
      <c r="I244" s="228">
        <f ca="1">H247</f>
        <v>6.8270399999999995E-2</v>
      </c>
      <c r="J244" s="228">
        <f ca="1">I247</f>
        <v>5.1202799999999993E-2</v>
      </c>
      <c r="K244" s="228">
        <f ca="1">J247</f>
        <v>0</v>
      </c>
      <c r="L244" s="228">
        <f ca="1">K247</f>
        <v>0</v>
      </c>
      <c r="M244" s="50"/>
    </row>
    <row r="245" spans="3:13" ht="13.5" customHeight="1" outlineLevel="1">
      <c r="C245" s="91" t="s">
        <v>214</v>
      </c>
      <c r="D245" s="118"/>
      <c r="E245" s="118"/>
      <c r="G245" s="154"/>
      <c r="H245" s="177">
        <f>-MIN(H244,(H259*$G247))</f>
        <v>-1.7067599999999999E-2</v>
      </c>
      <c r="I245" s="177">
        <f ca="1">-MIN(I244,(I259*$G247))</f>
        <v>-1.7067599999999999E-2</v>
      </c>
      <c r="J245" s="177">
        <f ca="1">-MIN(J244,(J259*$G247))</f>
        <v>-1.7067599999999999E-2</v>
      </c>
      <c r="K245" s="177">
        <f ca="1">-MIN(K244,(K259*$G247))</f>
        <v>0</v>
      </c>
      <c r="L245" s="177">
        <f ca="1">-MIN(L244,(L259*$G247))</f>
        <v>0</v>
      </c>
      <c r="M245" s="50"/>
    </row>
    <row r="246" spans="3:13" ht="13.5" customHeight="1" outlineLevel="1">
      <c r="C246" s="91" t="s">
        <v>216</v>
      </c>
      <c r="D246" s="118"/>
      <c r="E246" s="118"/>
      <c r="G246" s="154"/>
      <c r="H246" s="177">
        <f ca="1">H221</f>
        <v>0</v>
      </c>
      <c r="I246" s="177">
        <f ca="1">I221</f>
        <v>0</v>
      </c>
      <c r="J246" s="177">
        <f ca="1">J221</f>
        <v>-3.4135199999999991E-2</v>
      </c>
      <c r="K246" s="177">
        <f ca="1">K221</f>
        <v>0</v>
      </c>
      <c r="L246" s="177">
        <f ca="1">L221</f>
        <v>0</v>
      </c>
      <c r="M246" s="50"/>
    </row>
    <row r="247" spans="3:13" ht="13.5" customHeight="1" outlineLevel="1">
      <c r="C247" s="65" t="s">
        <v>207</v>
      </c>
      <c r="D247" s="65"/>
      <c r="E247" s="65"/>
      <c r="F247" s="65"/>
      <c r="G247" s="257">
        <f>G80</f>
        <v>8.5337999999999997E-2</v>
      </c>
      <c r="H247" s="262">
        <f ca="1">SUM(H244:H246)</f>
        <v>6.8270399999999995E-2</v>
      </c>
      <c r="I247" s="262">
        <f ca="1">SUM(I244:I246)</f>
        <v>5.1202799999999993E-2</v>
      </c>
      <c r="J247" s="262">
        <f ca="1">SUM(J244:J246)</f>
        <v>0</v>
      </c>
      <c r="K247" s="262">
        <f ca="1">SUM(K244:K246)</f>
        <v>0</v>
      </c>
      <c r="L247" s="262">
        <f ca="1">SUM(L244:L246)</f>
        <v>0</v>
      </c>
      <c r="M247" s="50"/>
    </row>
    <row r="248" spans="3:13" ht="13.5" customHeight="1" outlineLevel="1">
      <c r="C248" s="68"/>
      <c r="G248" s="68"/>
      <c r="H248" s="68"/>
      <c r="I248" s="68"/>
      <c r="J248" s="68"/>
      <c r="K248" s="68"/>
      <c r="L248" s="68"/>
    </row>
    <row r="249" spans="3:13" ht="13.5" customHeight="1" outlineLevel="1">
      <c r="C249" s="216" t="str">
        <f>+C116</f>
        <v>Subordinated - Note 2</v>
      </c>
      <c r="D249" s="217"/>
      <c r="E249" s="217"/>
      <c r="F249" s="218"/>
      <c r="G249" s="219"/>
      <c r="H249" s="224"/>
      <c r="I249" s="224"/>
      <c r="J249" s="225"/>
      <c r="K249" s="225"/>
      <c r="L249" s="225"/>
    </row>
    <row r="250" spans="3:13" ht="13.5" customHeight="1" outlineLevel="1">
      <c r="C250" s="98" t="s">
        <v>202</v>
      </c>
      <c r="D250" s="118"/>
      <c r="E250" s="118"/>
      <c r="G250" s="228"/>
      <c r="H250" s="228">
        <f>G253</f>
        <v>1.2666999999999999E-2</v>
      </c>
      <c r="I250" s="228">
        <f ca="1">H253</f>
        <v>1.203365E-2</v>
      </c>
      <c r="J250" s="228">
        <f ca="1">I253</f>
        <v>1.14003E-2</v>
      </c>
      <c r="K250" s="228">
        <f ca="1">J253</f>
        <v>4.4334500000000011E-3</v>
      </c>
      <c r="L250" s="228">
        <f ca="1">K253</f>
        <v>0</v>
      </c>
      <c r="M250" s="50"/>
    </row>
    <row r="251" spans="3:13" ht="13.5" customHeight="1" outlineLevel="1">
      <c r="C251" s="91" t="s">
        <v>214</v>
      </c>
      <c r="D251" s="118"/>
      <c r="E251" s="118"/>
      <c r="G251" s="154"/>
      <c r="H251" s="177">
        <f>-MIN(H250,H260*$G253)</f>
        <v>-6.3334999999999997E-4</v>
      </c>
      <c r="I251" s="177">
        <f ca="1">-MIN(I250,I260*$G253)</f>
        <v>-6.3334999999999997E-4</v>
      </c>
      <c r="J251" s="177">
        <f ca="1">-MIN(J250,J260*$G253)</f>
        <v>-6.3334999999999997E-4</v>
      </c>
      <c r="K251" s="177">
        <f ca="1">-MIN(K250,K260*$G253)</f>
        <v>-6.3334999999999997E-4</v>
      </c>
      <c r="L251" s="177">
        <f ca="1">-MIN(L250,L260*$G253)</f>
        <v>0</v>
      </c>
      <c r="M251" s="50"/>
    </row>
    <row r="252" spans="3:13" ht="13.5" customHeight="1" outlineLevel="1">
      <c r="C252" s="91" t="s">
        <v>216</v>
      </c>
      <c r="D252" s="118"/>
      <c r="E252" s="118"/>
      <c r="G252" s="154"/>
      <c r="H252" s="177">
        <f ca="1">H222</f>
        <v>0</v>
      </c>
      <c r="I252" s="177">
        <f t="shared" ref="I252:L252" ca="1" si="59">I222</f>
        <v>0</v>
      </c>
      <c r="J252" s="177">
        <f t="shared" ca="1" si="59"/>
        <v>-6.3334999999999997E-3</v>
      </c>
      <c r="K252" s="177">
        <f t="shared" ca="1" si="59"/>
        <v>-3.8001000000000011E-3</v>
      </c>
      <c r="L252" s="177">
        <f t="shared" ca="1" si="59"/>
        <v>0</v>
      </c>
      <c r="M252" s="50"/>
    </row>
    <row r="253" spans="3:13" ht="13.5" customHeight="1" outlineLevel="1">
      <c r="C253" s="65" t="s">
        <v>207</v>
      </c>
      <c r="D253" s="65"/>
      <c r="E253" s="65"/>
      <c r="F253" s="65"/>
      <c r="G253" s="257">
        <f>G81</f>
        <v>1.2666999999999999E-2</v>
      </c>
      <c r="H253" s="262">
        <f ca="1">SUM(H250:H252)</f>
        <v>1.203365E-2</v>
      </c>
      <c r="I253" s="262">
        <f ca="1">SUM(I250:I252)</f>
        <v>1.14003E-2</v>
      </c>
      <c r="J253" s="262">
        <f ca="1">SUM(J250:J252)</f>
        <v>4.4334500000000011E-3</v>
      </c>
      <c r="K253" s="262">
        <f ca="1">SUM(K250:K252)</f>
        <v>0</v>
      </c>
      <c r="L253" s="262">
        <f ca="1">SUM(L250:L252)</f>
        <v>0</v>
      </c>
      <c r="M253" s="50"/>
    </row>
    <row r="254" spans="3:13" ht="13.5" customHeight="1" outlineLevel="1">
      <c r="C254" s="68"/>
      <c r="G254" s="68"/>
      <c r="H254" s="68"/>
      <c r="I254" s="68"/>
      <c r="J254" s="68"/>
      <c r="K254" s="68"/>
      <c r="L254" s="68"/>
    </row>
    <row r="255" spans="3:13" ht="13.5" customHeight="1" outlineLevel="1">
      <c r="C255" s="84" t="s">
        <v>221</v>
      </c>
      <c r="D255" s="85"/>
      <c r="E255" s="86"/>
      <c r="F255" s="86"/>
      <c r="G255" s="234" t="s">
        <v>222</v>
      </c>
      <c r="H255" s="86"/>
      <c r="I255" s="86"/>
      <c r="J255" s="86"/>
      <c r="K255" s="86"/>
      <c r="L255" s="87"/>
    </row>
    <row r="256" spans="3:13" ht="13.5" customHeight="1" outlineLevel="1">
      <c r="C256" s="68"/>
    </row>
    <row r="257" spans="3:13" ht="13.5" customHeight="1" outlineLevel="1">
      <c r="C257" s="68"/>
      <c r="G257" s="235" t="s">
        <v>222</v>
      </c>
      <c r="H257" s="236" t="s">
        <v>223</v>
      </c>
      <c r="I257" s="237"/>
      <c r="J257" s="237"/>
      <c r="K257" s="237"/>
      <c r="L257" s="237"/>
    </row>
    <row r="258" spans="3:13" ht="13.5" customHeight="1" outlineLevel="1">
      <c r="C258" s="68" t="str">
        <f>+C237</f>
        <v>Term Loan A</v>
      </c>
      <c r="G258" s="152">
        <f>G241</f>
        <v>12.001450999999999</v>
      </c>
      <c r="H258" s="263">
        <v>0.2</v>
      </c>
      <c r="I258" s="263">
        <v>0.2</v>
      </c>
      <c r="J258" s="263">
        <v>0.2</v>
      </c>
      <c r="K258" s="263">
        <v>0.2</v>
      </c>
      <c r="L258" s="263">
        <v>0.2</v>
      </c>
      <c r="M258" s="50"/>
    </row>
    <row r="259" spans="3:13" ht="13.5" customHeight="1" outlineLevel="1">
      <c r="C259" s="68" t="str">
        <f>+C243</f>
        <v>Subordinated - Note 1</v>
      </c>
      <c r="G259" s="152">
        <f>G247</f>
        <v>8.5337999999999997E-2</v>
      </c>
      <c r="H259" s="263">
        <v>0.2</v>
      </c>
      <c r="I259" s="263">
        <v>0.2</v>
      </c>
      <c r="J259" s="263">
        <v>0.2</v>
      </c>
      <c r="K259" s="263">
        <v>0.2</v>
      </c>
      <c r="L259" s="263">
        <v>0.2</v>
      </c>
      <c r="M259" s="50"/>
    </row>
    <row r="260" spans="3:13" ht="13.5" customHeight="1" outlineLevel="1">
      <c r="C260" s="68" t="str">
        <f>+C249</f>
        <v>Subordinated - Note 2</v>
      </c>
      <c r="G260" s="152">
        <f>G253</f>
        <v>1.2666999999999999E-2</v>
      </c>
      <c r="H260" s="263">
        <v>0.05</v>
      </c>
      <c r="I260" s="263">
        <v>0.05</v>
      </c>
      <c r="J260" s="263">
        <v>0.05</v>
      </c>
      <c r="K260" s="263">
        <v>0.05</v>
      </c>
      <c r="L260" s="263">
        <v>0.8</v>
      </c>
      <c r="M260" s="50"/>
    </row>
    <row r="261" spans="3:13" ht="13.5" customHeight="1" outlineLevel="1">
      <c r="C261" s="68"/>
    </row>
    <row r="262" spans="3:13" ht="13.5" customHeight="1" outlineLevel="1">
      <c r="C262" s="84" t="s">
        <v>227</v>
      </c>
      <c r="D262" s="85"/>
      <c r="E262" s="86"/>
      <c r="F262" s="86"/>
      <c r="G262" s="86"/>
      <c r="H262" s="86"/>
      <c r="I262" s="86"/>
      <c r="J262" s="86"/>
      <c r="K262" s="86"/>
      <c r="L262" s="87"/>
    </row>
    <row r="263" spans="3:13" ht="13.5" customHeight="1" outlineLevel="1">
      <c r="C263" s="68"/>
    </row>
    <row r="264" spans="3:13" ht="13.5" customHeight="1" outlineLevel="1">
      <c r="C264" s="239"/>
      <c r="D264" s="240"/>
      <c r="E264" s="240"/>
      <c r="H264" s="54"/>
      <c r="I264" s="54" t="s">
        <v>228</v>
      </c>
      <c r="J264" s="54" t="s">
        <v>229</v>
      </c>
      <c r="K264" s="54" t="s">
        <v>230</v>
      </c>
      <c r="L264" s="54" t="s">
        <v>98</v>
      </c>
    </row>
    <row r="265" spans="3:13" ht="13.5" customHeight="1" outlineLevel="1" thickBot="1">
      <c r="C265" s="241"/>
      <c r="D265" s="242"/>
      <c r="E265" s="242"/>
      <c r="F265" s="243"/>
      <c r="G265" s="244" t="s">
        <v>231</v>
      </c>
      <c r="H265" s="243" t="s">
        <v>232</v>
      </c>
      <c r="I265" s="243" t="s">
        <v>232</v>
      </c>
      <c r="J265" s="243" t="s">
        <v>232</v>
      </c>
      <c r="K265" s="243" t="s">
        <v>233</v>
      </c>
      <c r="L265" s="243" t="s">
        <v>234</v>
      </c>
      <c r="M265" s="50"/>
    </row>
    <row r="266" spans="3:13" ht="5.0999999999999996" customHeight="1" outlineLevel="1">
      <c r="C266" s="98"/>
      <c r="D266" s="118"/>
      <c r="E266" s="118"/>
      <c r="F266" s="245"/>
      <c r="G266" s="245"/>
      <c r="H266" s="245"/>
      <c r="I266" s="245"/>
      <c r="J266" s="245"/>
      <c r="K266" s="118"/>
    </row>
    <row r="267" spans="3:13" ht="13.5" customHeight="1" outlineLevel="1">
      <c r="C267" s="98" t="str">
        <f>+C228</f>
        <v>Revolver</v>
      </c>
      <c r="D267" s="118"/>
      <c r="E267" s="118"/>
      <c r="F267" s="264"/>
      <c r="G267" s="265" t="s">
        <v>240</v>
      </c>
      <c r="H267" s="265">
        <v>3.7100000000000001E-2</v>
      </c>
      <c r="I267" s="265">
        <v>4.2500000000000003E-2</v>
      </c>
      <c r="J267" s="266">
        <f>I267+H267</f>
        <v>7.9600000000000004E-2</v>
      </c>
      <c r="K267" s="265" t="s">
        <v>241</v>
      </c>
      <c r="L267" s="267">
        <v>1</v>
      </c>
      <c r="M267" s="50"/>
    </row>
    <row r="268" spans="3:13" ht="13.5" customHeight="1" outlineLevel="1">
      <c r="C268" s="98" t="str">
        <f>+C237</f>
        <v>Term Loan A</v>
      </c>
      <c r="D268" s="118"/>
      <c r="E268" s="118"/>
      <c r="F268" s="264"/>
      <c r="G268" s="265" t="s">
        <v>240</v>
      </c>
      <c r="H268" s="265">
        <v>3.7100000000000001E-2</v>
      </c>
      <c r="I268" s="265">
        <v>4.7500000000000001E-2</v>
      </c>
      <c r="J268" s="266">
        <f>I268+H268</f>
        <v>8.4600000000000009E-2</v>
      </c>
      <c r="K268" s="265" t="s">
        <v>241</v>
      </c>
      <c r="L268" s="267">
        <v>1</v>
      </c>
      <c r="M268" s="50"/>
    </row>
    <row r="269" spans="3:13" ht="13.5" customHeight="1" outlineLevel="1">
      <c r="C269" s="98" t="str">
        <f>+C243</f>
        <v>Subordinated - Note 1</v>
      </c>
      <c r="D269" s="118"/>
      <c r="E269" s="118"/>
      <c r="F269" s="264"/>
      <c r="G269" s="265" t="s">
        <v>242</v>
      </c>
      <c r="H269" s="265" t="s">
        <v>241</v>
      </c>
      <c r="I269" s="265" t="s">
        <v>241</v>
      </c>
      <c r="J269" s="265" t="s">
        <v>241</v>
      </c>
      <c r="K269" s="265">
        <v>0.12</v>
      </c>
      <c r="L269" s="267">
        <v>1</v>
      </c>
      <c r="M269" s="50"/>
    </row>
    <row r="270" spans="3:13" ht="13.5" customHeight="1" outlineLevel="1">
      <c r="C270" s="98" t="str">
        <f>+C249</f>
        <v>Subordinated - Note 2</v>
      </c>
      <c r="D270" s="118"/>
      <c r="E270" s="118"/>
      <c r="F270" s="264"/>
      <c r="G270" s="265" t="s">
        <v>242</v>
      </c>
      <c r="H270" s="265" t="s">
        <v>241</v>
      </c>
      <c r="I270" s="265" t="s">
        <v>241</v>
      </c>
      <c r="J270" s="265" t="s">
        <v>241</v>
      </c>
      <c r="K270" s="265">
        <v>0.14499999999999999</v>
      </c>
      <c r="L270" s="267">
        <v>0.5</v>
      </c>
      <c r="M270" s="50"/>
    </row>
    <row r="271" spans="3:13" ht="5.0999999999999996" customHeight="1" outlineLevel="1" thickBot="1">
      <c r="C271" s="157"/>
      <c r="D271" s="157"/>
      <c r="E271" s="157"/>
      <c r="F271" s="83"/>
      <c r="G271" s="83"/>
      <c r="H271" s="83"/>
      <c r="I271" s="83"/>
      <c r="J271" s="83"/>
      <c r="K271" s="83"/>
      <c r="L271" s="83"/>
    </row>
    <row r="272" spans="3:13" ht="13.5" customHeight="1" outlineLevel="1"/>
    <row r="273" spans="1:13" ht="13.5" customHeight="1" outlineLevel="1">
      <c r="A273" s="125"/>
      <c r="C273" s="84" t="s">
        <v>284</v>
      </c>
      <c r="D273" s="85"/>
      <c r="E273" s="86"/>
      <c r="F273" s="86"/>
      <c r="G273" s="86"/>
      <c r="H273" s="86"/>
      <c r="I273" s="86"/>
      <c r="J273" s="86"/>
      <c r="K273" s="86"/>
      <c r="L273" s="87"/>
      <c r="M273" s="50" t="s">
        <v>285</v>
      </c>
    </row>
    <row r="274" spans="1:13" ht="13.5" customHeight="1" outlineLevel="1">
      <c r="A274" s="125"/>
      <c r="M274" s="30"/>
    </row>
    <row r="275" spans="1:13" ht="13.5" customHeight="1" outlineLevel="1">
      <c r="A275" s="125"/>
      <c r="C275" s="98" t="s">
        <v>232</v>
      </c>
      <c r="H275" s="269"/>
      <c r="I275" s="269"/>
      <c r="J275" s="269"/>
      <c r="K275" s="269"/>
      <c r="L275" s="269"/>
      <c r="M275" s="50" t="s">
        <v>286</v>
      </c>
    </row>
    <row r="276" spans="1:13" ht="13.5" customHeight="1" outlineLevel="1">
      <c r="A276" s="125"/>
      <c r="C276" s="98" t="s">
        <v>287</v>
      </c>
      <c r="H276" s="270"/>
      <c r="I276" s="270"/>
      <c r="J276" s="270"/>
      <c r="K276" s="270"/>
      <c r="L276" s="270"/>
      <c r="M276" s="50" t="s">
        <v>288</v>
      </c>
    </row>
    <row r="277" spans="1:13" ht="13.5" customHeight="1" outlineLevel="1">
      <c r="A277" s="125"/>
      <c r="C277" s="68"/>
      <c r="H277" s="270"/>
      <c r="I277" s="270"/>
      <c r="J277" s="270"/>
      <c r="K277" s="270"/>
      <c r="L277" s="270"/>
      <c r="M277" s="30"/>
    </row>
    <row r="278" spans="1:13" ht="13.5" customHeight="1" outlineLevel="1">
      <c r="A278" s="125"/>
      <c r="C278" s="68" t="str">
        <f>+C267</f>
        <v>Revolver</v>
      </c>
      <c r="H278" s="269"/>
      <c r="I278" s="269"/>
      <c r="J278" s="269"/>
      <c r="K278" s="269"/>
      <c r="L278" s="269"/>
      <c r="M278" s="50" t="s">
        <v>289</v>
      </c>
    </row>
    <row r="279" spans="1:13" ht="13.5" customHeight="1" outlineLevel="1">
      <c r="A279" s="125"/>
      <c r="C279" s="68" t="str">
        <f>+C268</f>
        <v>Term Loan A</v>
      </c>
      <c r="H279" s="269"/>
      <c r="I279" s="269"/>
      <c r="J279" s="269"/>
      <c r="K279" s="269"/>
      <c r="L279" s="269"/>
      <c r="M279" s="50" t="s">
        <v>290</v>
      </c>
    </row>
    <row r="280" spans="1:13" ht="13.5" customHeight="1" outlineLevel="1">
      <c r="A280" s="125"/>
      <c r="C280" s="68" t="str">
        <f t="shared" ref="C280:C281" si="60">+C269</f>
        <v>Subordinated - Note 1</v>
      </c>
      <c r="H280" s="269"/>
      <c r="I280" s="269"/>
      <c r="J280" s="269"/>
      <c r="K280" s="269"/>
      <c r="L280" s="269"/>
      <c r="M280" s="50" t="s">
        <v>290</v>
      </c>
    </row>
    <row r="281" spans="1:13" ht="13.5" customHeight="1" outlineLevel="1">
      <c r="A281" s="125"/>
      <c r="C281" s="68" t="str">
        <f t="shared" si="60"/>
        <v>Subordinated - Note 2</v>
      </c>
      <c r="H281" s="269"/>
      <c r="I281" s="269"/>
      <c r="J281" s="269"/>
      <c r="K281" s="269"/>
      <c r="L281" s="269"/>
      <c r="M281" s="50" t="s">
        <v>290</v>
      </c>
    </row>
    <row r="282" spans="1:13" ht="13.5" customHeight="1" outlineLevel="1">
      <c r="A282" s="125"/>
      <c r="C282" s="68"/>
      <c r="M282" s="30"/>
    </row>
    <row r="283" spans="1:13" ht="13.5" customHeight="1" outlineLevel="1">
      <c r="A283" s="125"/>
      <c r="C283" s="84" t="s">
        <v>291</v>
      </c>
      <c r="D283" s="85"/>
      <c r="E283" s="86"/>
      <c r="F283" s="86"/>
      <c r="G283" s="86"/>
      <c r="H283" s="86"/>
      <c r="I283" s="86"/>
      <c r="J283" s="86"/>
      <c r="K283" s="86"/>
      <c r="L283" s="87"/>
      <c r="M283" s="30"/>
    </row>
    <row r="284" spans="1:13" ht="13.5" customHeight="1" outlineLevel="1">
      <c r="A284" s="125"/>
      <c r="C284" s="68"/>
      <c r="M284" s="30"/>
    </row>
    <row r="285" spans="1:13" ht="13.5" customHeight="1" outlineLevel="1">
      <c r="A285" s="125"/>
      <c r="C285" s="98" t="s">
        <v>287</v>
      </c>
      <c r="H285" s="165"/>
      <c r="I285" s="165"/>
      <c r="J285" s="165"/>
      <c r="K285" s="165"/>
      <c r="L285" s="165"/>
      <c r="M285" s="50" t="s">
        <v>292</v>
      </c>
    </row>
    <row r="286" spans="1:13" ht="13.5" customHeight="1" outlineLevel="1">
      <c r="A286" s="125"/>
      <c r="C286" s="68"/>
      <c r="H286" s="129"/>
      <c r="I286" s="129"/>
      <c r="J286" s="129"/>
      <c r="K286" s="129"/>
      <c r="L286" s="129"/>
      <c r="M286" s="30"/>
    </row>
    <row r="287" spans="1:13" ht="13.5" customHeight="1" outlineLevel="1">
      <c r="A287" s="125"/>
      <c r="C287" s="68" t="str">
        <f>+C278</f>
        <v>Revolver</v>
      </c>
      <c r="H287" s="165"/>
      <c r="I287" s="165"/>
      <c r="J287" s="165"/>
      <c r="K287" s="165"/>
      <c r="L287" s="165"/>
      <c r="M287" s="50" t="s">
        <v>293</v>
      </c>
    </row>
    <row r="288" spans="1:13" ht="13.5" customHeight="1" outlineLevel="1">
      <c r="A288" s="125"/>
      <c r="C288" s="68" t="str">
        <f t="shared" ref="C288:C290" si="61">+C279</f>
        <v>Term Loan A</v>
      </c>
      <c r="H288" s="165"/>
      <c r="I288" s="165"/>
      <c r="J288" s="165"/>
      <c r="K288" s="165"/>
      <c r="L288" s="165"/>
      <c r="M288" s="50" t="s">
        <v>294</v>
      </c>
    </row>
    <row r="289" spans="1:19" ht="13.5" customHeight="1" outlineLevel="1">
      <c r="A289" s="125"/>
      <c r="C289" s="68" t="str">
        <f t="shared" si="61"/>
        <v>Subordinated - Note 1</v>
      </c>
      <c r="H289" s="165"/>
      <c r="I289" s="165"/>
      <c r="J289" s="165"/>
      <c r="K289" s="165"/>
      <c r="L289" s="165"/>
      <c r="M289" s="50" t="s">
        <v>295</v>
      </c>
    </row>
    <row r="290" spans="1:19" ht="13.5" customHeight="1" outlineLevel="1">
      <c r="A290" s="125"/>
      <c r="C290" s="68" t="str">
        <f t="shared" si="61"/>
        <v>Subordinated - Note 2</v>
      </c>
      <c r="H290" s="165"/>
      <c r="I290" s="165"/>
      <c r="J290" s="165"/>
      <c r="K290" s="165"/>
      <c r="L290" s="165"/>
      <c r="M290" s="50" t="s">
        <v>296</v>
      </c>
    </row>
    <row r="291" spans="1:19" ht="13.5" customHeight="1" outlineLevel="1">
      <c r="A291" s="125"/>
      <c r="C291" s="68"/>
      <c r="H291" s="129"/>
      <c r="I291" s="129"/>
      <c r="J291" s="129"/>
      <c r="K291" s="129"/>
      <c r="L291" s="129"/>
      <c r="M291" s="30"/>
    </row>
    <row r="292" spans="1:19" ht="13.5" customHeight="1" outlineLevel="1">
      <c r="A292" s="125"/>
      <c r="C292" s="98" t="s">
        <v>297</v>
      </c>
      <c r="H292" s="165"/>
      <c r="I292" s="165"/>
      <c r="J292" s="165"/>
      <c r="K292" s="165"/>
      <c r="L292" s="165"/>
      <c r="M292" s="50" t="s">
        <v>298</v>
      </c>
    </row>
    <row r="293" spans="1:19" ht="13.5" customHeight="1">
      <c r="M293" s="30"/>
    </row>
    <row r="295" spans="1:19" ht="19.5" customHeight="1">
      <c r="A295" s="82"/>
      <c r="B295" s="82"/>
      <c r="C295" s="121"/>
      <c r="D295" s="82"/>
      <c r="E295" s="82"/>
      <c r="F295" s="82"/>
      <c r="G295" s="82"/>
      <c r="H295" s="82"/>
      <c r="I295" s="82"/>
      <c r="J295" s="82"/>
      <c r="K295" s="82"/>
      <c r="L295" s="82"/>
      <c r="M295" s="82"/>
      <c r="N295" s="82"/>
      <c r="O295" s="82"/>
      <c r="P295" s="82"/>
      <c r="Q295" s="82"/>
      <c r="R295" s="82"/>
      <c r="S295" s="82"/>
    </row>
    <row r="296" spans="1:19" ht="5.0999999999999996" customHeight="1">
      <c r="A296" s="82"/>
      <c r="B296" s="82"/>
      <c r="C296" s="82"/>
      <c r="D296" s="82"/>
      <c r="E296" s="82"/>
      <c r="F296" s="82"/>
      <c r="G296" s="82"/>
      <c r="H296" s="82"/>
      <c r="I296" s="82"/>
      <c r="J296" s="82"/>
      <c r="K296" s="82"/>
      <c r="L296" s="82"/>
      <c r="M296" s="82"/>
      <c r="N296" s="82"/>
      <c r="O296" s="82"/>
      <c r="P296" s="82"/>
      <c r="Q296" s="82"/>
      <c r="R296" s="82"/>
      <c r="S296" s="82"/>
    </row>
    <row r="297" spans="1:19" ht="13.5" customHeight="1">
      <c r="A297" s="82"/>
      <c r="B297" s="82"/>
      <c r="C297" s="123"/>
      <c r="D297" s="82"/>
      <c r="E297" s="82"/>
      <c r="F297" s="82"/>
      <c r="G297" s="82"/>
      <c r="H297" s="82"/>
      <c r="I297" s="82"/>
      <c r="J297" s="82"/>
      <c r="K297" s="82"/>
      <c r="L297" s="82"/>
      <c r="M297" s="82"/>
      <c r="N297" s="82"/>
      <c r="O297" s="82"/>
      <c r="P297" s="82"/>
      <c r="Q297" s="82"/>
      <c r="R297" s="82"/>
      <c r="S297" s="82"/>
    </row>
    <row r="298" spans="1:19" ht="13.5" customHeight="1">
      <c r="A298" s="82"/>
      <c r="B298" s="82"/>
      <c r="C298" s="82"/>
      <c r="D298" s="82"/>
      <c r="E298" s="82"/>
      <c r="F298" s="124"/>
      <c r="G298" s="124"/>
      <c r="H298" s="82"/>
      <c r="I298" s="82"/>
      <c r="J298" s="82"/>
      <c r="K298" s="82"/>
      <c r="L298" s="82"/>
      <c r="M298" s="82"/>
      <c r="N298" s="82"/>
      <c r="O298" s="82"/>
      <c r="P298" s="82"/>
      <c r="Q298" s="82"/>
      <c r="R298" s="82"/>
      <c r="S298" s="82"/>
    </row>
    <row r="299" spans="1:19" ht="13.5" customHeight="1">
      <c r="A299" s="82"/>
      <c r="B299" s="82"/>
      <c r="C299" s="82"/>
      <c r="D299" s="82"/>
      <c r="E299" s="82"/>
      <c r="F299" s="124"/>
      <c r="G299" s="124"/>
      <c r="H299" s="82"/>
      <c r="I299" s="82"/>
      <c r="J299" s="82"/>
      <c r="K299" s="82"/>
      <c r="L299" s="82"/>
      <c r="M299" s="82"/>
      <c r="N299" s="82"/>
      <c r="O299" s="82"/>
      <c r="P299" s="82"/>
      <c r="Q299" s="82"/>
      <c r="R299" s="82"/>
      <c r="S299" s="82"/>
    </row>
    <row r="300" spans="1:19" ht="13.5" customHeight="1">
      <c r="A300" s="82"/>
      <c r="B300" s="82"/>
      <c r="C300" s="82"/>
      <c r="D300" s="82"/>
      <c r="E300" s="82"/>
      <c r="F300" s="124"/>
      <c r="G300" s="124"/>
      <c r="H300" s="82"/>
      <c r="I300" s="82"/>
      <c r="J300" s="82"/>
      <c r="K300" s="82"/>
      <c r="L300" s="82"/>
      <c r="M300" s="82"/>
      <c r="N300" s="82"/>
      <c r="O300" s="82"/>
      <c r="P300" s="82"/>
      <c r="Q300" s="82"/>
      <c r="R300" s="82"/>
      <c r="S300" s="82"/>
    </row>
    <row r="301" spans="1:19" ht="13.5" customHeight="1">
      <c r="A301" s="82"/>
      <c r="B301" s="82"/>
      <c r="C301" s="82"/>
      <c r="D301" s="82"/>
      <c r="E301" s="82"/>
      <c r="F301" s="124"/>
      <c r="G301" s="124"/>
      <c r="H301" s="82"/>
      <c r="I301" s="82"/>
      <c r="J301" s="82"/>
      <c r="K301" s="82"/>
      <c r="L301" s="82"/>
      <c r="M301" s="82"/>
      <c r="N301" s="82"/>
      <c r="O301" s="82"/>
      <c r="P301" s="82"/>
      <c r="Q301" s="82"/>
      <c r="R301" s="82"/>
      <c r="S301" s="82"/>
    </row>
    <row r="302" spans="1:19" ht="13.5" customHeight="1">
      <c r="A302" s="82"/>
      <c r="B302" s="82"/>
      <c r="C302" s="82"/>
      <c r="D302" s="82"/>
      <c r="E302" s="82"/>
      <c r="F302" s="82"/>
      <c r="G302" s="82"/>
      <c r="H302" s="82"/>
      <c r="I302" s="82"/>
      <c r="J302" s="82"/>
      <c r="K302" s="82"/>
      <c r="L302" s="82"/>
      <c r="M302" s="82"/>
      <c r="N302" s="82"/>
      <c r="O302" s="82"/>
      <c r="P302" s="82"/>
      <c r="Q302" s="82"/>
      <c r="R302" s="82"/>
      <c r="S302" s="82"/>
    </row>
    <row r="303" spans="1:19" ht="13.5" customHeight="1">
      <c r="A303" s="82"/>
      <c r="B303" s="82"/>
      <c r="C303" s="123"/>
      <c r="D303" s="82"/>
      <c r="E303" s="82"/>
      <c r="F303" s="82"/>
      <c r="G303" s="82"/>
      <c r="H303" s="82"/>
      <c r="I303" s="82"/>
      <c r="J303" s="82"/>
      <c r="K303" s="82"/>
      <c r="L303" s="82"/>
      <c r="M303" s="82"/>
      <c r="N303" s="82"/>
      <c r="O303" s="82"/>
      <c r="P303" s="82"/>
      <c r="Q303" s="82"/>
      <c r="R303" s="82"/>
      <c r="S303" s="82"/>
    </row>
    <row r="304" spans="1:19" ht="13.5" customHeight="1">
      <c r="A304" s="82"/>
      <c r="B304" s="82"/>
      <c r="C304" s="82"/>
      <c r="D304" s="82"/>
      <c r="E304" s="82"/>
      <c r="F304" s="124"/>
      <c r="G304" s="124"/>
      <c r="H304" s="82"/>
      <c r="I304" s="82"/>
      <c r="J304" s="82"/>
      <c r="K304" s="82"/>
      <c r="L304" s="82"/>
      <c r="M304" s="82"/>
      <c r="N304" s="82"/>
      <c r="O304" s="82"/>
      <c r="P304" s="82"/>
      <c r="Q304" s="82"/>
      <c r="R304" s="82"/>
      <c r="S304" s="82"/>
    </row>
    <row r="305" spans="1:19" ht="13.5" customHeight="1">
      <c r="A305" s="82"/>
      <c r="B305" s="82"/>
      <c r="C305" s="82"/>
      <c r="D305" s="82"/>
      <c r="E305" s="82"/>
      <c r="F305" s="124"/>
      <c r="G305" s="124"/>
      <c r="H305" s="82"/>
      <c r="I305" s="82"/>
      <c r="J305" s="82"/>
      <c r="K305" s="82"/>
      <c r="L305" s="82"/>
      <c r="M305" s="82"/>
      <c r="N305" s="82"/>
      <c r="O305" s="82"/>
      <c r="P305" s="82"/>
      <c r="Q305" s="82"/>
      <c r="R305" s="82"/>
      <c r="S305" s="82"/>
    </row>
    <row r="306" spans="1:19" ht="13.5" customHeight="1">
      <c r="A306" s="82"/>
      <c r="B306" s="82"/>
      <c r="C306" s="82"/>
      <c r="D306" s="82"/>
      <c r="E306" s="82"/>
      <c r="F306" s="124"/>
      <c r="G306" s="124"/>
      <c r="H306" s="82"/>
      <c r="I306" s="82"/>
      <c r="J306" s="82"/>
      <c r="K306" s="82"/>
      <c r="L306" s="82"/>
      <c r="M306" s="82"/>
      <c r="N306" s="82"/>
      <c r="O306" s="82"/>
      <c r="P306" s="82"/>
      <c r="Q306" s="82"/>
      <c r="R306" s="82"/>
      <c r="S306" s="82"/>
    </row>
    <row r="307" spans="1:19" ht="13.5" customHeight="1">
      <c r="A307" s="82"/>
      <c r="B307" s="82"/>
      <c r="C307" s="82"/>
      <c r="D307" s="82"/>
      <c r="E307" s="82"/>
      <c r="F307" s="124"/>
      <c r="G307" s="124"/>
      <c r="H307" s="82"/>
      <c r="I307" s="82"/>
      <c r="J307" s="82"/>
      <c r="K307" s="82"/>
      <c r="L307" s="82"/>
      <c r="M307" s="82"/>
      <c r="N307" s="82"/>
      <c r="O307" s="82"/>
      <c r="P307" s="82"/>
      <c r="Q307" s="82"/>
      <c r="R307" s="82"/>
      <c r="S307" s="82"/>
    </row>
    <row r="308" spans="1:19" ht="5.0999999999999996" customHeight="1">
      <c r="A308" s="82"/>
      <c r="B308" s="82"/>
      <c r="C308" s="82"/>
      <c r="D308" s="82"/>
      <c r="E308" s="82"/>
      <c r="F308" s="82"/>
      <c r="G308" s="82"/>
      <c r="H308" s="82"/>
      <c r="I308" s="82"/>
      <c r="J308" s="82"/>
      <c r="K308" s="82"/>
      <c r="L308" s="82"/>
      <c r="M308" s="82"/>
      <c r="N308" s="82"/>
      <c r="O308" s="82"/>
      <c r="P308" s="82"/>
      <c r="Q308" s="82"/>
      <c r="R308" s="82"/>
      <c r="S308" s="82"/>
    </row>
    <row r="309" spans="1:19" ht="13.5" customHeight="1">
      <c r="A309" s="82"/>
      <c r="B309" s="82"/>
      <c r="C309" s="82"/>
      <c r="D309" s="82"/>
      <c r="E309" s="82"/>
      <c r="F309" s="124"/>
      <c r="G309" s="124"/>
      <c r="H309" s="82"/>
      <c r="I309" s="82"/>
      <c r="J309" s="82"/>
      <c r="K309" s="82"/>
      <c r="L309" s="82"/>
      <c r="M309" s="82"/>
      <c r="N309" s="82"/>
      <c r="O309" s="82"/>
      <c r="P309" s="82"/>
      <c r="Q309" s="82"/>
      <c r="R309" s="82"/>
      <c r="S309" s="82"/>
    </row>
    <row r="310" spans="1:19" ht="13.5" customHeight="1">
      <c r="A310" s="82"/>
      <c r="B310" s="82"/>
      <c r="C310" s="82"/>
      <c r="D310" s="82"/>
      <c r="E310" s="82"/>
      <c r="F310" s="124"/>
      <c r="G310" s="124"/>
      <c r="H310" s="82"/>
      <c r="I310" s="82"/>
      <c r="J310" s="82"/>
      <c r="K310" s="82"/>
      <c r="L310" s="82"/>
      <c r="M310" s="82"/>
      <c r="N310" s="82"/>
      <c r="O310" s="82"/>
      <c r="P310" s="82"/>
      <c r="Q310" s="82"/>
      <c r="R310" s="82"/>
      <c r="S310" s="82"/>
    </row>
    <row r="311" spans="1:19" ht="13.5" customHeight="1">
      <c r="A311" s="82"/>
      <c r="B311" s="82"/>
      <c r="C311" s="82"/>
      <c r="D311" s="82"/>
      <c r="E311" s="82"/>
      <c r="F311" s="82"/>
      <c r="G311" s="82"/>
      <c r="H311" s="82"/>
      <c r="I311" s="82"/>
      <c r="J311" s="82"/>
      <c r="K311" s="82"/>
      <c r="L311" s="82"/>
      <c r="M311" s="82"/>
      <c r="N311" s="82"/>
      <c r="O311" s="82"/>
      <c r="P311" s="82"/>
      <c r="Q311" s="82"/>
      <c r="R311" s="82"/>
      <c r="S311" s="82"/>
    </row>
    <row r="312" spans="1:19" ht="13.5" customHeight="1">
      <c r="F312" s="124"/>
      <c r="G312" s="124"/>
    </row>
  </sheetData>
  <dataValidations count="1">
    <dataValidation type="whole" showInputMessage="1" showErrorMessage="1" errorTitle="Validation Error" error="Enter either 0 or 1." sqref="F267:F270" xr:uid="{F9ACBBF3-3EDF-4970-A248-C10023E88B1D}">
      <formula1>0</formula1>
      <formula2>1</formula2>
    </dataValidation>
  </dataValidations>
  <pageMargins left="0.25" right="0.25" top="0.75" bottom="0.75" header="0.3" footer="0.3"/>
  <pageSetup scale="47" orientation="landscape" r:id="rId1"/>
  <headerFooter alignWithMargins="0">
    <oddHeader>&amp;A</oddHeader>
    <oddFooter>Page &amp;P of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C4E61526377E47AF828979A7A771F0" ma:contentTypeVersion="12" ma:contentTypeDescription="Create a new document." ma:contentTypeScope="" ma:versionID="0b4d727f8e0090d90ec79830cdf4dda3">
  <xsd:schema xmlns:xsd="http://www.w3.org/2001/XMLSchema" xmlns:xs="http://www.w3.org/2001/XMLSchema" xmlns:p="http://schemas.microsoft.com/office/2006/metadata/properties" xmlns:ns2="2e8f0d28-a7bd-4ba5-af77-49452aacead3" xmlns:ns3="0943dc99-765d-4763-a2da-dd5dd934c3aa" targetNamespace="http://schemas.microsoft.com/office/2006/metadata/properties" ma:root="true" ma:fieldsID="7380d60c0617d7f8fa5f6d960c1f6aa1" ns2:_="" ns3:_="">
    <xsd:import namespace="2e8f0d28-a7bd-4ba5-af77-49452aacead3"/>
    <xsd:import namespace="0943dc99-765d-4763-a2da-dd5dd934c3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8f0d28-a7bd-4ba5-af77-49452aacea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aa049ea-3849-4ddd-aa67-d6de9634ed4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43dc99-765d-4763-a2da-dd5dd934c3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0fe633-aac5-4ebd-8e4d-5a85816953f9}" ma:internalName="TaxCatchAll" ma:showField="CatchAllData" ma:web="0943dc99-765d-4763-a2da-dd5dd934c3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e8f0d28-a7bd-4ba5-af77-49452aacead3">
      <Terms xmlns="http://schemas.microsoft.com/office/infopath/2007/PartnerControls"/>
    </lcf76f155ced4ddcb4097134ff3c332f>
    <TaxCatchAll xmlns="0943dc99-765d-4763-a2da-dd5dd934c3aa" xsi:nil="true"/>
  </documentManagement>
</p:properties>
</file>

<file path=customXml/itemProps1.xml><?xml version="1.0" encoding="utf-8"?>
<ds:datastoreItem xmlns:ds="http://schemas.openxmlformats.org/officeDocument/2006/customXml" ds:itemID="{56707DE7-2464-4D0B-9A34-9EC023EB2DBE}"/>
</file>

<file path=customXml/itemProps2.xml><?xml version="1.0" encoding="utf-8"?>
<ds:datastoreItem xmlns:ds="http://schemas.openxmlformats.org/officeDocument/2006/customXml" ds:itemID="{43715F0D-F27D-434E-8023-B2F7C403EABE}"/>
</file>

<file path=customXml/itemProps3.xml><?xml version="1.0" encoding="utf-8"?>
<ds:datastoreItem xmlns:ds="http://schemas.openxmlformats.org/officeDocument/2006/customXml" ds:itemID="{BDAE607D-A981-401F-9B4F-FD03A081713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16</vt:i4>
      </vt:variant>
    </vt:vector>
  </HeadingPairs>
  <TitlesOfParts>
    <vt:vector size="33" baseType="lpstr">
      <vt:lpstr>PART I - MODEL BUILD &gt;&gt;&gt;</vt:lpstr>
      <vt:lpstr>Financials from CIP</vt:lpstr>
      <vt:lpstr>Step 1</vt:lpstr>
      <vt:lpstr>Step 1 Answer Key</vt:lpstr>
      <vt:lpstr>Step 2</vt:lpstr>
      <vt:lpstr>Step 2 Answer Key</vt:lpstr>
      <vt:lpstr>Step 3</vt:lpstr>
      <vt:lpstr>Step 3 Answer Key</vt:lpstr>
      <vt:lpstr>Step 4</vt:lpstr>
      <vt:lpstr>Step 4 Answer Key</vt:lpstr>
      <vt:lpstr>Step 5</vt:lpstr>
      <vt:lpstr>Step 5 Answer Key</vt:lpstr>
      <vt:lpstr>Step 6</vt:lpstr>
      <vt:lpstr>Step 6 Answer Key</vt:lpstr>
      <vt:lpstr>Step 7</vt:lpstr>
      <vt:lpstr>Step 7 Answer Key</vt:lpstr>
      <vt:lpstr>Step 8</vt:lpstr>
      <vt:lpstr>'Financials from CIP'!Print_Area</vt:lpstr>
      <vt:lpstr>'Step 1'!Print_Area</vt:lpstr>
      <vt:lpstr>'Step 1 Answer Key'!Print_Area</vt:lpstr>
      <vt:lpstr>'Step 2'!Print_Area</vt:lpstr>
      <vt:lpstr>'Step 2 Answer Key'!Print_Area</vt:lpstr>
      <vt:lpstr>'Step 3'!Print_Area</vt:lpstr>
      <vt:lpstr>'Step 3 Answer Key'!Print_Area</vt:lpstr>
      <vt:lpstr>'Step 4'!Print_Area</vt:lpstr>
      <vt:lpstr>'Step 4 Answer Key'!Print_Area</vt:lpstr>
      <vt:lpstr>'Step 5'!Print_Area</vt:lpstr>
      <vt:lpstr>'Step 5 Answer Key'!Print_Area</vt:lpstr>
      <vt:lpstr>'Step 6'!Print_Area</vt:lpstr>
      <vt:lpstr>'Step 6 Answer Key'!Print_Area</vt:lpstr>
      <vt:lpstr>'Step 7'!Print_Area</vt:lpstr>
      <vt:lpstr>'Step 7 Answer Key'!Print_Area</vt:lpstr>
      <vt:lpstr>'Step 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Wolinsky</dc:creator>
  <cp:lastModifiedBy>David Wolinsky</cp:lastModifiedBy>
  <dcterms:created xsi:type="dcterms:W3CDTF">2026-02-19T01:46:31Z</dcterms:created>
  <dcterms:modified xsi:type="dcterms:W3CDTF">2026-02-19T01:47:56Z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0x010100FFC4E61526377E47AF828979A7A771F0</vt:lpwstr>
  </property>
</Properties>
</file>