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https://athenape.sharepoint.com/sites/AthenaDocuments/Shared Documents/_DOCS/_Teaching Content/_WIP/Module 4 - Model Building Steps/"/>
    </mc:Choice>
  </mc:AlternateContent>
  <xr:revisionPtr revIDLastSave="1" documentId="8_{CCFC9BB3-7321-4794-AD4E-B47AAD872B10}" xr6:coauthVersionLast="47" xr6:coauthVersionMax="47" xr10:uidLastSave="{49DE8A3B-7170-4861-98B0-DB8FA29BFC77}"/>
  <bookViews>
    <workbookView xWindow="-120" yWindow="-120" windowWidth="29040" windowHeight="17520" firstSheet="2" activeTab="6" xr2:uid="{A1503B94-E01D-4922-9F16-563AB0DE8626}"/>
  </bookViews>
  <sheets>
    <sheet name="PART I - MODEL BUILD &gt;&gt;&gt;" sheetId="1" r:id="rId1"/>
    <sheet name="Financials from CIP" sheetId="2" r:id="rId2"/>
    <sheet name="Step 1" sheetId="3" r:id="rId3"/>
    <sheet name="Step 1 Answer Key" sheetId="4" r:id="rId4"/>
    <sheet name="Step 2" sheetId="5" r:id="rId5"/>
    <sheet name="Step 2 Answer Key" sheetId="6" r:id="rId6"/>
    <sheet name="Step 3" sheetId="7" r:id="rId7"/>
  </sheets>
  <externalReferences>
    <externalReference r:id="rId8"/>
  </externalReferences>
  <definedNames>
    <definedName name="__123Graph_A" hidden="1">#REF!</definedName>
    <definedName name="__123Graph_AChart1" hidden="1">#REF!</definedName>
    <definedName name="__123Graph_ACurrent" hidden="1">#REF!</definedName>
    <definedName name="__123Graph_B" hidden="1">#REF!</definedName>
    <definedName name="__123Graph_X" hidden="1">#REF!</definedName>
    <definedName name="__Actual_Total_208_209_210_Act_v_Budget_01" hidden="1">#REF!</definedName>
    <definedName name="__FDS_HYPERLINK_TOGGLE_STATE__" hidden="1">"ON"</definedName>
    <definedName name="__Total_208_209_210_Level6member_Name_by_Fiscal_00_00" hidden="1">#REF!</definedName>
    <definedName name="__Total_208_209_210_Level6member_Name_by_Fiscal_00_01" hidden="1">#REF!</definedName>
    <definedName name="__Total_208_209_210_Level6member_Name_by_Fiscal_01" hidden="1">#REF!</definedName>
    <definedName name="_1__FDSAUDITLINK__" localSheetId="1" hidden="1">{"fdsup://IBCentral/FAT Viewer?action=UPDATE&amp;creator=factset&amp;DOC_NAME=fat:reuters_qtrly_source_window.fat&amp;display_string=Audit&amp;DYN_ARGS=TRUE&amp;VAR:ID1=95082P10&amp;VAR:RCODE=STLD&amp;VAR:SDATE=20080999&amp;VAR:FREQ=Quarterly&amp;VAR:RELITEM=&amp;VAR:CURRENCY=&amp;VAR:CURRSOURCE=EXSH","ARE&amp;VAR:NATFREQ=QUARTERLY&amp;VAR:RFIELD=FINALIZED&amp;VAR:DB_TYPE=&amp;VAR:UNITS=M&amp;window=popup&amp;width=450&amp;height=300&amp;START_MAXIMIZED=FALSE"}</definedName>
    <definedName name="_1__FDSAUDITLINK__" hidden="1">{"fdsup://IBCentral/FAT Viewer?action=UPDATE&amp;creator=factset&amp;DOC_NAME=fat:reuters_qtrly_source_window.fat&amp;display_string=Audit&amp;DYN_ARGS=TRUE&amp;VAR:ID1=95082P10&amp;VAR:RCODE=STLD&amp;VAR:SDATE=20080999&amp;VAR:FREQ=Quarterly&amp;VAR:RELITEM=&amp;VAR:CURRENCY=&amp;VAR:CURRSOURCE=EXSH","ARE&amp;VAR:NATFREQ=QUARTERLY&amp;VAR:RFIELD=FINALIZED&amp;VAR:DB_TYPE=&amp;VAR:UNITS=M&amp;window=popup&amp;width=450&amp;height=300&amp;START_MAXIMIZED=FALSE"}</definedName>
    <definedName name="_10__FDSAUDITLINK__" localSheetId="1" hidden="1">{"fdsup://IBCentral/FAT Viewer?action=UPDATE&amp;creator=factset&amp;DOC_NAME=fat:reuters_qtrly_source_window.fat&amp;display_string=Audit&amp;DYN_ARGS=TRUE&amp;VAR:ID1=00936310&amp;VAR:RCODE=STLD&amp;VAR:SDATE=20080999&amp;VAR:FREQ=Quarterly&amp;VAR:RELITEM=&amp;VAR:CURRENCY=&amp;VAR:CURRSOURCE=EXSH","ARE&amp;VAR:NATFREQ=QUARTERLY&amp;VAR:RFIELD=FINALIZED&amp;VAR:DB_TYPE=&amp;VAR:UNITS=M&amp;window=popup&amp;width=450&amp;height=300&amp;START_MAXIMIZED=FALSE"}</definedName>
    <definedName name="_10__FDSAUDITLINK__" hidden="1">{"fdsup://IBCentral/FAT Viewer?action=UPDATE&amp;creator=factset&amp;DOC_NAME=fat:reuters_qtrly_source_window.fat&amp;display_string=Audit&amp;DYN_ARGS=TRUE&amp;VAR:ID1=00936310&amp;VAR:RCODE=STLD&amp;VAR:SDATE=20080999&amp;VAR:FREQ=Quarterly&amp;VAR:RELITEM=&amp;VAR:CURRENCY=&amp;VAR:CURRSOURCE=EXSH","ARE&amp;VAR:NATFREQ=QUARTERLY&amp;VAR:RFIELD=FINALIZED&amp;VAR:DB_TYPE=&amp;VAR:UNITS=M&amp;window=popup&amp;width=450&amp;height=300&amp;START_MAXIMIZED=FALSE"}</definedName>
    <definedName name="_11__FDSAUDITLINK__" localSheetId="1" hidden="1">{"fdsup://IBCentral/FAT Viewer?action=UPDATE&amp;creator=factset&amp;DOC_NAME=fat:reuters_qtrly_source_window.fat&amp;display_string=Audit&amp;DYN_ARGS=TRUE&amp;VAR:ID1=30213010&amp;VAR:RCODE=STLD&amp;VAR:SDATE=20071299&amp;VAR:FREQ=Quarterly&amp;VAR:RELITEM=&amp;VAR:CURRENCY=&amp;VAR:CURRSOURCE=EXSH","ARE&amp;VAR:NATFREQ=QUARTERLY&amp;VAR:RFIELD=FINALIZED&amp;VAR:DB_TYPE=&amp;VAR:UNITS=M&amp;window=popup&amp;width=450&amp;height=300&amp;START_MAXIMIZED=FALSE"}</definedName>
    <definedName name="_11__FDSAUDITLINK__" hidden="1">{"fdsup://IBCentral/FAT Viewer?action=UPDATE&amp;creator=factset&amp;DOC_NAME=fat:reuters_qtrly_source_window.fat&amp;display_string=Audit&amp;DYN_ARGS=TRUE&amp;VAR:ID1=30213010&amp;VAR:RCODE=STLD&amp;VAR:SDATE=20071299&amp;VAR:FREQ=Quarterly&amp;VAR:RELITEM=&amp;VAR:CURRENCY=&amp;VAR:CURRSOURCE=EXSH","ARE&amp;VAR:NATFREQ=QUARTERLY&amp;VAR:RFIELD=FINALIZED&amp;VAR:DB_TYPE=&amp;VAR:UNITS=M&amp;window=popup&amp;width=450&amp;height=300&amp;START_MAXIMIZED=FALSE"}</definedName>
    <definedName name="_12__FDSAUDITLINK__" localSheetId="1" hidden="1">{"fdsup://IBCentral/FAT Viewer?action=UPDATE&amp;creator=factset&amp;DOC_NAME=fat:reuters_qtrly_source_window.fat&amp;display_string=Audit&amp;DYN_ARGS=TRUE&amp;VAR:ID1=26784F10&amp;VAR:RCODE=STLD&amp;VAR:SDATE=20080199&amp;VAR:FREQ=Quarterly&amp;VAR:RELITEM=&amp;VAR:CURRENCY=&amp;VAR:CURRSOURCE=EXSH","ARE&amp;VAR:NATFREQ=QUARTERLY&amp;VAR:RFIELD=FINALIZED&amp;VAR:DB_TYPE=&amp;VAR:UNITS=M&amp;window=popup&amp;width=450&amp;height=300&amp;START_MAXIMIZED=FALSE"}</definedName>
    <definedName name="_12__FDSAUDITLINK__" hidden="1">{"fdsup://IBCentral/FAT Viewer?action=UPDATE&amp;creator=factset&amp;DOC_NAME=fat:reuters_qtrly_source_window.fat&amp;display_string=Audit&amp;DYN_ARGS=TRUE&amp;VAR:ID1=26784F10&amp;VAR:RCODE=STLD&amp;VAR:SDATE=20080199&amp;VAR:FREQ=Quarterly&amp;VAR:RELITEM=&amp;VAR:CURRENCY=&amp;VAR:CURRSOURCE=EXSH","ARE&amp;VAR:NATFREQ=QUARTERLY&amp;VAR:RFIELD=FINALIZED&amp;VAR:DB_TYPE=&amp;VAR:UNITS=M&amp;window=popup&amp;width=450&amp;height=300&amp;START_MAXIMIZED=FALSE"}</definedName>
    <definedName name="_13__FDSAUDITLINK__" localSheetId="1" hidden="1">{"fdsup://IBCentral/FAT Viewer?action=UPDATE&amp;creator=factset&amp;DOC_NAME=fat:reuters_qtrly_source_window.fat&amp;display_string=Audit&amp;DYN_ARGS=TRUE&amp;VAR:ID1=12541W20&amp;VAR:RCODE=STLD&amp;VAR:SDATE=20080399&amp;VAR:FREQ=Quarterly&amp;VAR:RELITEM=&amp;VAR:CURRENCY=&amp;VAR:CURRSOURCE=EXSH","ARE&amp;VAR:NATFREQ=QUARTERLY&amp;VAR:RFIELD=FINALIZED&amp;VAR:DB_TYPE=&amp;VAR:UNITS=M&amp;window=popup&amp;width=450&amp;height=300&amp;START_MAXIMIZED=FALSE"}</definedName>
    <definedName name="_13__FDSAUDITLINK__" hidden="1">{"fdsup://IBCentral/FAT Viewer?action=UPDATE&amp;creator=factset&amp;DOC_NAME=fat:reuters_qtrly_source_window.fat&amp;display_string=Audit&amp;DYN_ARGS=TRUE&amp;VAR:ID1=12541W20&amp;VAR:RCODE=STLD&amp;VAR:SDATE=20080399&amp;VAR:FREQ=Quarterly&amp;VAR:RELITEM=&amp;VAR:CURRENCY=&amp;VAR:CURRSOURCE=EXSH","ARE&amp;VAR:NATFREQ=QUARTERLY&amp;VAR:RFIELD=FINALIZED&amp;VAR:DB_TYPE=&amp;VAR:UNITS=M&amp;window=popup&amp;width=450&amp;height=300&amp;START_MAXIMIZED=FALSE"}</definedName>
    <definedName name="_14__FDSAUDITLINK__" localSheetId="1"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14__FDSAUDITLINK__"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15__FDSAUDITLINK__" localSheetId="1"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15__FDSAUDITLINK__"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16__FDSAUDITLINK__" localSheetId="1" hidden="1">{"fdsup://IBCentral/FAT Viewer?action=UPDATE&amp;creator=factset&amp;DOC_NAME=fat:reuters_qtrly_source_window.fat&amp;display_string=Audit&amp;DYN_ARGS=TRUE&amp;VAR:ID1=52077610&amp;VAR:RCODE=STLD&amp;VAR:SDATE=20080399&amp;VAR:FREQ=Quarterly&amp;VAR:RELITEM=&amp;VAR:CURRENCY=&amp;VAR:CURRSOURCE=EXSH","ARE&amp;VAR:NATFREQ=QUARTERLY&amp;VAR:RFIELD=FINALIZED&amp;VAR:DB_TYPE=&amp;VAR:UNITS=M&amp;window=popup&amp;width=450&amp;height=300&amp;START_MAXIMIZED=FALSE"}</definedName>
    <definedName name="_16__FDSAUDITLINK__" hidden="1">{"fdsup://IBCentral/FAT Viewer?action=UPDATE&amp;creator=factset&amp;DOC_NAME=fat:reuters_qtrly_source_window.fat&amp;display_string=Audit&amp;DYN_ARGS=TRUE&amp;VAR:ID1=52077610&amp;VAR:RCODE=STLD&amp;VAR:SDATE=20080399&amp;VAR:FREQ=Quarterly&amp;VAR:RELITEM=&amp;VAR:CURRENCY=&amp;VAR:CURRSOURCE=EXSH","ARE&amp;VAR:NATFREQ=QUARTERLY&amp;VAR:RFIELD=FINALIZED&amp;VAR:DB_TYPE=&amp;VAR:UNITS=M&amp;window=popup&amp;width=450&amp;height=300&amp;START_MAXIMIZED=FALSE"}</definedName>
    <definedName name="_17__FDSAUDITLINK__" localSheetId="1" hidden="1">{"fdsup://IBCentral/FAT Viewer?action=UPDATE&amp;creator=factset&amp;DOC_NAME=fat:reuters_qtrly_source_window.fat&amp;display_string=Audit&amp;DYN_ARGS=TRUE&amp;VAR:ID1=48354810&amp;VAR:RCODE=STLD&amp;VAR:SDATE=20080399&amp;VAR:FREQ=Quarterly&amp;VAR:RELITEM=&amp;VAR:CURRENCY=&amp;VAR:CURRSOURCE=EXSH","ARE&amp;VAR:NATFREQ=QUARTERLY&amp;VAR:RFIELD=FINALIZED&amp;VAR:DB_TYPE=&amp;VAR:UNITS=M&amp;window=popup&amp;width=450&amp;height=300&amp;START_MAXIMIZED=FALSE"}</definedName>
    <definedName name="_17__FDSAUDITLINK__" hidden="1">{"fdsup://IBCentral/FAT Viewer?action=UPDATE&amp;creator=factset&amp;DOC_NAME=fat:reuters_qtrly_source_window.fat&amp;display_string=Audit&amp;DYN_ARGS=TRUE&amp;VAR:ID1=48354810&amp;VAR:RCODE=STLD&amp;VAR:SDATE=20080399&amp;VAR:FREQ=Quarterly&amp;VAR:RELITEM=&amp;VAR:CURRENCY=&amp;VAR:CURRSOURCE=EXSH","ARE&amp;VAR:NATFREQ=QUARTERLY&amp;VAR:RFIELD=FINALIZED&amp;VAR:DB_TYPE=&amp;VAR:UNITS=M&amp;window=popup&amp;width=450&amp;height=300&amp;START_MAXIMIZED=FALSE"}</definedName>
    <definedName name="_18__FDSAUDITLINK__" localSheetId="1"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18__FDSAUDITLINK__"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19__123Graph_ACHART_1" hidden="1">#REF!</definedName>
    <definedName name="_19__FDSAUDITLINK__" localSheetId="1"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19__FDSAUDITLINK__"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2__123Graph_AChart_1A" hidden="1">#REF!</definedName>
    <definedName name="_2__123Graph_AChart_1A_" hidden="1">#REF!</definedName>
    <definedName name="_2__FDSAUDITLINK__" localSheetId="1" hidden="1">{"fdsup://IBCentral/FAT Viewer?action=UPDATE&amp;creator=factset&amp;DOC_NAME=fat:reuters_qtrly_source_window.fat&amp;display_string=Audit&amp;DYN_ARGS=TRUE&amp;VAR:ID1=66990810&amp;VAR:RCODE=STLD&amp;VAR:SDATE=20080899&amp;VAR:FREQ=Quarterly&amp;VAR:RELITEM=&amp;VAR:CURRENCY=&amp;VAR:CURRSOURCE=EXSH","ARE&amp;VAR:NATFREQ=QUARTERLY&amp;VAR:RFIELD=FINALIZED&amp;VAR:DB_TYPE=&amp;VAR:UNITS=M&amp;window=popup&amp;width=450&amp;height=300&amp;START_MAXIMIZED=FALSE"}</definedName>
    <definedName name="_2__FDSAUDITLINK__" hidden="1">{"fdsup://IBCentral/FAT Viewer?action=UPDATE&amp;creator=factset&amp;DOC_NAME=fat:reuters_qtrly_source_window.fat&amp;display_string=Audit&amp;DYN_ARGS=TRUE&amp;VAR:ID1=66990810&amp;VAR:RCODE=STLD&amp;VAR:SDATE=20080899&amp;VAR:FREQ=Quarterly&amp;VAR:RELITEM=&amp;VAR:CURRENCY=&amp;VAR:CURRSOURCE=EXSH","ARE&amp;VAR:NATFREQ=QUARTERLY&amp;VAR:RFIELD=FINALIZED&amp;VAR:DB_TYPE=&amp;VAR:UNITS=M&amp;window=popup&amp;width=450&amp;height=300&amp;START_MAXIMIZED=FALSE"}</definedName>
    <definedName name="_20__FDSAUDITLINK__" localSheetId="1"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0__FDSAUDITLINK__"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1__FDSAUDITLINK__" localSheetId="1" hidden="1">{"fdsup://IBCentral/FAT Viewer?action=UPDATE&amp;creator=factset&amp;DOC_NAME=fat:reuters_qtrly_source_window.fat&amp;display_string=Audit&amp;DYN_ARGS=TRUE&amp;VAR:ID1=23337740&amp;VAR:RCODE=STLD&amp;VAR:SDATE=20071299&amp;VAR:FREQ=Quarterly&amp;VAR:RELITEM=&amp;VAR:CURRENCY=&amp;VAR:CURRSOURCE=EXSH","ARE&amp;VAR:NATFREQ=QUARTERLY&amp;VAR:RFIELD=FINALIZED&amp;VAR:DB_TYPE=&amp;VAR:UNITS=M&amp;window=popup&amp;width=450&amp;height=300&amp;START_MAXIMIZED=FALSE"}</definedName>
    <definedName name="_21__FDSAUDITLINK__" hidden="1">{"fdsup://IBCentral/FAT Viewer?action=UPDATE&amp;creator=factset&amp;DOC_NAME=fat:reuters_qtrly_source_window.fat&amp;display_string=Audit&amp;DYN_ARGS=TRUE&amp;VAR:ID1=23337740&amp;VAR:RCODE=STLD&amp;VAR:SDATE=20071299&amp;VAR:FREQ=Quarterly&amp;VAR:RELITEM=&amp;VAR:CURRENCY=&amp;VAR:CURRSOURCE=EXSH","ARE&amp;VAR:NATFREQ=QUARTERLY&amp;VAR:RFIELD=FINALIZED&amp;VAR:DB_TYPE=&amp;VAR:UNITS=M&amp;window=popup&amp;width=450&amp;height=300&amp;START_MAXIMIZED=FALSE"}</definedName>
    <definedName name="_22__FDSAUDITLINK__" localSheetId="1"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22__FDSAUDITLINK__"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23__FDSAUDITLINK__" localSheetId="1"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3__FDSAUDITLINK__"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4__FDSAUDITLINK__" localSheetId="1" hidden="1">{"fdsup://IBCentral/FAT Viewer?action=UPDATE&amp;creator=factset&amp;DOC_NAME=fat:reuters_qtrly_source_window.fat&amp;display_string=Audit&amp;DYN_ARGS=TRUE&amp;VAR:ID1=03820C10&amp;VAR:RCODE=STLD&amp;VAR:SDATE=20080399&amp;VAR:FREQ=Quarterly&amp;VAR:RELITEM=&amp;VAR:CURRENCY=&amp;VAR:CURRSOURCE=EXSH","ARE&amp;VAR:NATFREQ=QUARTERLY&amp;VAR:RFIELD=FINALIZED&amp;VAR:DB_TYPE=&amp;VAR:UNITS=M&amp;window=popup&amp;width=450&amp;height=300&amp;START_MAXIMIZED=FALSE"}</definedName>
    <definedName name="_24__FDSAUDITLINK__" hidden="1">{"fdsup://IBCentral/FAT Viewer?action=UPDATE&amp;creator=factset&amp;DOC_NAME=fat:reuters_qtrly_source_window.fat&amp;display_string=Audit&amp;DYN_ARGS=TRUE&amp;VAR:ID1=03820C10&amp;VAR:RCODE=STLD&amp;VAR:SDATE=20080399&amp;VAR:FREQ=Quarterly&amp;VAR:RELITEM=&amp;VAR:CURRENCY=&amp;VAR:CURRSOURCE=EXSH","ARE&amp;VAR:NATFREQ=QUARTERLY&amp;VAR:RFIELD=FINALIZED&amp;VAR:DB_TYPE=&amp;VAR:UNITS=M&amp;window=popup&amp;width=450&amp;height=300&amp;START_MAXIMIZED=FALSE"}</definedName>
    <definedName name="_25__FDSAUDITLINK__" localSheetId="1"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25__FDSAUDITLINK__" hidden="1">{"fdsup://IBCentral/FAT Viewer?action=UPDATE&amp;creator=factset&amp;DOC_NAME=fat:reuters_qtrly_source_window.fat&amp;display_string=Audit&amp;DYN_ARGS=TRUE&amp;VAR:ID1=38480210&amp;VAR:RCODE=STLD&amp;VAR:SDATE=20080399&amp;VAR:FREQ=Quarterly&amp;VAR:RELITEM=&amp;VAR:CURRENCY=&amp;VAR:CURRSOURCE=EXSH","ARE&amp;VAR:NATFREQ=QUARTERLY&amp;VAR:RFIELD=FINALIZED&amp;VAR:DB_TYPE=&amp;VAR:UNITS=M&amp;window=popup&amp;width=450&amp;height=300&amp;START_MAXIMIZED=FALSE"}</definedName>
    <definedName name="_26__FDSAUDITLINK__" localSheetId="1"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26__FDSAUDITLINK__" hidden="1">{"fdsup://IBCentral/FAT Viewer?action=UPDATE&amp;creator=factset&amp;DOC_NAME=fat:reuters_qtrly_source_window.fat&amp;display_string=Audit&amp;DYN_ARGS=TRUE&amp;VAR:ID1=55353010&amp;VAR:RCODE=STLD&amp;VAR:SDATE=20080299&amp;VAR:FREQ=Quarterly&amp;VAR:RELITEM=&amp;VAR:CURRENCY=&amp;VAR:CURRSOURCE=EXSH","ARE&amp;VAR:NATFREQ=QUARTERLY&amp;VAR:RFIELD=FINALIZED&amp;VAR:DB_TYPE=&amp;VAR:UNITS=M&amp;window=popup&amp;width=450&amp;height=300&amp;START_MAXIMIZED=FALSE"}</definedName>
    <definedName name="_27__FDSAUDITLINK__" localSheetId="1"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7__FDSAUDITLINK__" hidden="1">{"fdsup://IBCentral/FAT Viewer?action=UPDATE&amp;creator=factset&amp;DOC_NAME=fat:reuters_qtrly_source_window.fat&amp;display_string=Audit&amp;DYN_ARGS=TRUE&amp;VAR:ID1=31190010&amp;VAR:RCODE=STLD&amp;VAR:SDATE=20080399&amp;VAR:FREQ=Quarterly&amp;VAR:RELITEM=&amp;VAR:CURRENCY=&amp;VAR:CURRSOURCE=EXSH","ARE&amp;VAR:NATFREQ=QUARTERLY&amp;VAR:RFIELD=FINALIZED&amp;VAR:DB_TYPE=&amp;VAR:UNITS=M&amp;window=popup&amp;width=450&amp;height=300&amp;START_MAXIMIZED=FALSE"}</definedName>
    <definedName name="_28__FDSAUDITLINK__" localSheetId="1"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8__FDSAUDITLINK__" hidden="1">{"fdsup://IBCentral/FAT Viewer?action=UPDATE&amp;creator=factset&amp;DOC_NAME=fat:reuters_qtrly_source_window.fat&amp;display_string=Audit&amp;DYN_ARGS=TRUE&amp;VAR:ID1=00936310&amp;VAR:RCODE=STLD&amp;VAR:SDATE=20080399&amp;VAR:FREQ=Quarterly&amp;VAR:RELITEM=&amp;VAR:CURRENCY=&amp;VAR:CURRSOURCE=EXSH","ARE&amp;VAR:NATFREQ=QUARTERLY&amp;VAR:RFIELD=FINALIZED&amp;VAR:DB_TYPE=&amp;VAR:UNITS=M&amp;window=popup&amp;width=450&amp;height=300&amp;START_MAXIMIZED=FALSE"}</definedName>
    <definedName name="_29__FDSAUDITLINK__" localSheetId="1"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29__FDSAUDITLINK__" hidden="1">{"fdsup://IBCentral/FAT Viewer?action=UPDATE&amp;creator=factset&amp;DOC_NAME=fat:reuters_qtrly_source_window.fat&amp;display_string=Audit&amp;DYN_ARGS=TRUE&amp;VAR:ID1=95082P10&amp;VAR:RCODE=STLD&amp;VAR:SDATE=20080399&amp;VAR:FREQ=Quarterly&amp;VAR:RELITEM=&amp;VAR:CURRENCY=&amp;VAR:CURRSOURCE=EXSH","ARE&amp;VAR:NATFREQ=QUARTERLY&amp;VAR:RFIELD=FINALIZED&amp;VAR:DB_TYPE=&amp;VAR:UNITS=M&amp;window=popup&amp;width=450&amp;height=300&amp;START_MAXIMIZED=FALSE"}</definedName>
    <definedName name="_3__FDSAUDITLINK__" localSheetId="1" hidden="1">{"fdsup://IBCentral/FAT Viewer?action=UPDATE&amp;creator=factset&amp;DOC_NAME=fat:reuters_qtrly_source_window.fat&amp;display_string=Audit&amp;DYN_ARGS=TRUE&amp;VAR:ID1=44244K10&amp;VAR:RCODE=STLD&amp;VAR:SDATE=20080999&amp;VAR:FREQ=Quarterly&amp;VAR:RELITEM=&amp;VAR:CURRENCY=&amp;VAR:CURRSOURCE=EXSH","ARE&amp;VAR:NATFREQ=QUARTERLY&amp;VAR:RFIELD=FINALIZED&amp;VAR:DB_TYPE=&amp;VAR:UNITS=M&amp;window=popup&amp;width=450&amp;height=300&amp;START_MAXIMIZED=FALSE"}</definedName>
    <definedName name="_3__FDSAUDITLINK__" hidden="1">{"fdsup://IBCentral/FAT Viewer?action=UPDATE&amp;creator=factset&amp;DOC_NAME=fat:reuters_qtrly_source_window.fat&amp;display_string=Audit&amp;DYN_ARGS=TRUE&amp;VAR:ID1=44244K10&amp;VAR:RCODE=STLD&amp;VAR:SDATE=20080999&amp;VAR:FREQ=Quarterly&amp;VAR:RELITEM=&amp;VAR:CURRENCY=&amp;VAR:CURRSOURCE=EXSH","ARE&amp;VAR:NATFREQ=QUARTERLY&amp;VAR:RFIELD=FINALIZED&amp;VAR:DB_TYPE=&amp;VAR:UNITS=M&amp;window=popup&amp;width=450&amp;height=300&amp;START_MAXIMIZED=FALSE"}</definedName>
    <definedName name="_30__FDSAUDITLINK__" localSheetId="1"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30__FDSAUDITLINK__" hidden="1">{"fdsup://IBCentral/FAT Viewer?action=UPDATE&amp;creator=factset&amp;DOC_NAME=fat:reuters_qtrly_source_window.fat&amp;display_string=Audit&amp;DYN_ARGS=TRUE&amp;VAR:ID1=44244K10&amp;VAR:RCODE=STLD&amp;VAR:SDATE=20071299&amp;VAR:FREQ=Quarterly&amp;VAR:RELITEM=&amp;VAR:CURRENCY=&amp;VAR:CURRSOURCE=EXSH","ARE&amp;VAR:NATFREQ=QUARTERLY&amp;VAR:RFIELD=FINALIZED&amp;VAR:DB_TYPE=&amp;VAR:UNITS=M&amp;window=popup&amp;width=450&amp;height=300&amp;START_MAXIMIZED=FALSE"}</definedName>
    <definedName name="_31__FDSAUDITLINK__" localSheetId="1"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31__FDSAUDITLINK__" hidden="1">{"fdsup://IBCentral/FAT Viewer?action=UPDATE&amp;creator=factset&amp;DOC_NAME=fat:reuters_qtrly_source_window.fat&amp;display_string=Audit&amp;DYN_ARGS=TRUE&amp;VAR:ID1=03529010&amp;VAR:RCODE=STLD&amp;VAR:SDATE=20080399&amp;VAR:FREQ=Quarterly&amp;VAR:RELITEM=&amp;VAR:CURRENCY=&amp;VAR:CURRSOURCE=EXSH","ARE&amp;VAR:NATFREQ=QUARTERLY&amp;VAR:RFIELD=FINALIZED&amp;VAR:DB_TYPE=&amp;VAR:UNITS=M&amp;window=popup&amp;width=450&amp;height=300&amp;START_MAXIMIZED=FALSE"}</definedName>
    <definedName name="_4__123Graph_BChart_1A" hidden="1">#REF!</definedName>
    <definedName name="_4__123Graph_BCHart_1A_" hidden="1">#REF!</definedName>
    <definedName name="_4__FDSAUDITLINK__" localSheetId="1" hidden="1">{"fdsup://IBCentral/FAT Viewer?action=UPDATE&amp;creator=factset&amp;DOC_NAME=fat:reuters_qtrly_source_window.fat&amp;display_string=Audit&amp;DYN_ARGS=TRUE&amp;VAR:ID1=05380710&amp;VAR:RCODE=STLD&amp;VAR:SDATE=20080999&amp;VAR:FREQ=Quarterly&amp;VAR:RELITEM=&amp;VAR:CURRENCY=&amp;VAR:CURRSOURCE=EXSH","ARE&amp;VAR:NATFREQ=QUARTERLY&amp;VAR:RFIELD=FINALIZED&amp;VAR:DB_TYPE=&amp;VAR:UNITS=M&amp;window=popup&amp;width=450&amp;height=300&amp;START_MAXIMIZED=FALSE"}</definedName>
    <definedName name="_4__FDSAUDITLINK__" hidden="1">{"fdsup://IBCentral/FAT Viewer?action=UPDATE&amp;creator=factset&amp;DOC_NAME=fat:reuters_qtrly_source_window.fat&amp;display_string=Audit&amp;DYN_ARGS=TRUE&amp;VAR:ID1=05380710&amp;VAR:RCODE=STLD&amp;VAR:SDATE=20080999&amp;VAR:FREQ=Quarterly&amp;VAR:RELITEM=&amp;VAR:CURRENCY=&amp;VAR:CURRSOURCE=EXSH","ARE&amp;VAR:NATFREQ=QUARTERLY&amp;VAR:RFIELD=FINALIZED&amp;VAR:DB_TYPE=&amp;VAR:UNITS=M&amp;window=popup&amp;width=450&amp;height=300&amp;START_MAXIMIZED=FALSE"}</definedName>
    <definedName name="_5__FDSAUDITLINK__" localSheetId="1" hidden="1">{"fdsup://IBCentral/FAT Viewer?action=UPDATE&amp;creator=factset&amp;DOC_NAME=fat:reuters_qtrly_source_window.fat&amp;display_string=Audit&amp;DYN_ARGS=TRUE&amp;VAR:ID1=04273510&amp;VAR:RCODE=STLD&amp;VAR:SDATE=20080999&amp;VAR:FREQ=Quarterly&amp;VAR:RELITEM=&amp;VAR:CURRENCY=&amp;VAR:CURRSOURCE=EXSH","ARE&amp;VAR:NATFREQ=QUARTERLY&amp;VAR:RFIELD=FINALIZED&amp;VAR:DB_TYPE=&amp;VAR:UNITS=M&amp;window=popup&amp;width=450&amp;height=300&amp;START_MAXIMIZED=FALSE"}</definedName>
    <definedName name="_5__FDSAUDITLINK__" hidden="1">{"fdsup://IBCentral/FAT Viewer?action=UPDATE&amp;creator=factset&amp;DOC_NAME=fat:reuters_qtrly_source_window.fat&amp;display_string=Audit&amp;DYN_ARGS=TRUE&amp;VAR:ID1=04273510&amp;VAR:RCODE=STLD&amp;VAR:SDATE=20080999&amp;VAR:FREQ=Quarterly&amp;VAR:RELITEM=&amp;VAR:CURRENCY=&amp;VAR:CURRSOURCE=EXSH","ARE&amp;VAR:NATFREQ=QUARTERLY&amp;VAR:RFIELD=FINALIZED&amp;VAR:DB_TYPE=&amp;VAR:UNITS=M&amp;window=popup&amp;width=450&amp;height=300&amp;START_MAXIMIZED=FALSE"}</definedName>
    <definedName name="_6__123Graph_XChart_1A" hidden="1">#REF!</definedName>
    <definedName name="_6__FDSAUDITLINK__" localSheetId="1" hidden="1">{"fdsup://IBCentral/FAT Viewer?action=UPDATE&amp;creator=factset&amp;DOC_NAME=fat:reuters_qtrly_source_window.fat&amp;display_string=Audit&amp;DYN_ARGS=TRUE&amp;VAR:ID1=03529010&amp;VAR:RCODE=STLD&amp;VAR:SDATE=20080999&amp;VAR:FREQ=Quarterly&amp;VAR:RELITEM=&amp;VAR:CURRENCY=&amp;VAR:CURRSOURCE=EXSH","ARE&amp;VAR:NATFREQ=QUARTERLY&amp;VAR:RFIELD=FINALIZED&amp;VAR:DB_TYPE=&amp;VAR:UNITS=M&amp;window=popup&amp;width=450&amp;height=300&amp;START_MAXIMIZED=FALSE"}</definedName>
    <definedName name="_6__FDSAUDITLINK__" hidden="1">{"fdsup://IBCentral/FAT Viewer?action=UPDATE&amp;creator=factset&amp;DOC_NAME=fat:reuters_qtrly_source_window.fat&amp;display_string=Audit&amp;DYN_ARGS=TRUE&amp;VAR:ID1=03529010&amp;VAR:RCODE=STLD&amp;VAR:SDATE=20080999&amp;VAR:FREQ=Quarterly&amp;VAR:RELITEM=&amp;VAR:CURRENCY=&amp;VAR:CURRSOURCE=EXSH","ARE&amp;VAR:NATFREQ=QUARTERLY&amp;VAR:RFIELD=FINALIZED&amp;VAR:DB_TYPE=&amp;VAR:UNITS=M&amp;window=popup&amp;width=450&amp;height=300&amp;START_MAXIMIZED=FALSE"}</definedName>
    <definedName name="_7___123Graph_ACHART_1" hidden="1">#REF!</definedName>
    <definedName name="_7__FDSAUDITLINK__" localSheetId="1" hidden="1">{"fdsup://IBCentral/FAT Viewer?action=UPDATE&amp;creator=factset&amp;DOC_NAME=fat:reuters_qtrly_source_window.fat&amp;display_string=Audit&amp;DYN_ARGS=TRUE&amp;VAR:ID1=38480210&amp;VAR:RCODE=STLD&amp;VAR:SDATE=20080999&amp;VAR:FREQ=Quarterly&amp;VAR:RELITEM=&amp;VAR:CURRENCY=&amp;VAR:CURRSOURCE=EXSH","ARE&amp;VAR:NATFREQ=QUARTERLY&amp;VAR:RFIELD=FINALIZED&amp;VAR:DB_TYPE=&amp;VAR:UNITS=M&amp;window=popup&amp;width=450&amp;height=300&amp;START_MAXIMIZED=FALSE"}</definedName>
    <definedName name="_7__FDSAUDITLINK__" hidden="1">{"fdsup://IBCentral/FAT Viewer?action=UPDATE&amp;creator=factset&amp;DOC_NAME=fat:reuters_qtrly_source_window.fat&amp;display_string=Audit&amp;DYN_ARGS=TRUE&amp;VAR:ID1=38480210&amp;VAR:RCODE=STLD&amp;VAR:SDATE=20080999&amp;VAR:FREQ=Quarterly&amp;VAR:RELITEM=&amp;VAR:CURRENCY=&amp;VAR:CURRSOURCE=EXSH","ARE&amp;VAR:NATFREQ=QUARTERLY&amp;VAR:RFIELD=FINALIZED&amp;VAR:DB_TYPE=&amp;VAR:UNITS=M&amp;window=popup&amp;width=450&amp;height=300&amp;START_MAXIMIZED=FALSE"}</definedName>
    <definedName name="_8__FDSAUDITLINK__" localSheetId="1" hidden="1">{"fdsup://IBCentral/FAT Viewer?action=UPDATE&amp;creator=factset&amp;DOC_NAME=fat:reuters_qtrly_source_window.fat&amp;display_string=Audit&amp;DYN_ARGS=TRUE&amp;VAR:ID1=55353010&amp;VAR:RCODE=STLD&amp;VAR:SDATE=20080899&amp;VAR:FREQ=Quarterly&amp;VAR:RELITEM=&amp;VAR:CURRENCY=&amp;VAR:CURRSOURCE=EXSH","ARE&amp;VAR:NATFREQ=QUARTERLY&amp;VAR:RFIELD=FINALIZED&amp;VAR:DB_TYPE=&amp;VAR:UNITS=M&amp;window=popup&amp;width=450&amp;height=300&amp;START_MAXIMIZED=FALSE"}</definedName>
    <definedName name="_8__FDSAUDITLINK__" hidden="1">{"fdsup://IBCentral/FAT Viewer?action=UPDATE&amp;creator=factset&amp;DOC_NAME=fat:reuters_qtrly_source_window.fat&amp;display_string=Audit&amp;DYN_ARGS=TRUE&amp;VAR:ID1=55353010&amp;VAR:RCODE=STLD&amp;VAR:SDATE=20080899&amp;VAR:FREQ=Quarterly&amp;VAR:RELITEM=&amp;VAR:CURRENCY=&amp;VAR:CURRSOURCE=EXSH","ARE&amp;VAR:NATFREQ=QUARTERLY&amp;VAR:RFIELD=FINALIZED&amp;VAR:DB_TYPE=&amp;VAR:UNITS=M&amp;window=popup&amp;width=450&amp;height=300&amp;START_MAXIMIZED=FALSE"}</definedName>
    <definedName name="_9__123Graph_ACHART_1" hidden="1">#REF!</definedName>
    <definedName name="_9__FDSAUDITLINK__" localSheetId="1" hidden="1">{"fdsup://IBCentral/FAT Viewer?action=UPDATE&amp;creator=factset&amp;DOC_NAME=fat:reuters_qtrly_source_window.fat&amp;display_string=Audit&amp;DYN_ARGS=TRUE&amp;VAR:ID1=31190010&amp;VAR:RCODE=STLD&amp;VAR:SDATE=20080999&amp;VAR:FREQ=Quarterly&amp;VAR:RELITEM=&amp;VAR:CURRENCY=&amp;VAR:CURRSOURCE=EXSH","ARE&amp;VAR:NATFREQ=QUARTERLY&amp;VAR:RFIELD=FINALIZED&amp;VAR:DB_TYPE=&amp;VAR:UNITS=M&amp;window=popup&amp;width=450&amp;height=300&amp;START_MAXIMIZED=FALSE"}</definedName>
    <definedName name="_9__FDSAUDITLINK__" hidden="1">{"fdsup://IBCentral/FAT Viewer?action=UPDATE&amp;creator=factset&amp;DOC_NAME=fat:reuters_qtrly_source_window.fat&amp;display_string=Audit&amp;DYN_ARGS=TRUE&amp;VAR:ID1=31190010&amp;VAR:RCODE=STLD&amp;VAR:SDATE=20080999&amp;VAR:FREQ=Quarterly&amp;VAR:RELITEM=&amp;VAR:CURRENCY=&amp;VAR:CURRSOURCE=EXSH","ARE&amp;VAR:NATFREQ=QUARTERLY&amp;VAR:RFIELD=FINALIZED&amp;VAR:DB_TYPE=&amp;VAR:UNITS=M&amp;window=popup&amp;width=450&amp;height=300&amp;START_MAXIMIZED=FALSE"}</definedName>
    <definedName name="_Actual_Dmaname_00" hidden="1">#REF!</definedName>
    <definedName name="_Actual_Total_208_209_210_Act_v_Budget_00" hidden="1">#REF!</definedName>
    <definedName name="_bdm.027F8800880F434B81A9C2A89DCC8C4A.edm" hidden="1">#REF!</definedName>
    <definedName name="_bdm.05C86319A7A34B6FA1DD54078DB04ADF.edm" hidden="1">#REF!</definedName>
    <definedName name="_bdm.076963F0805044F7A551C15654E4035D.edm" hidden="1">#REF!</definedName>
    <definedName name="_bdm.0B2EC36587664FCAAFAD2A6102D11FF7.edm" hidden="1">#REF!</definedName>
    <definedName name="_bdm.0C4E292BC10E49148B4AD96C7ED759BF.edm" hidden="1">#REF!</definedName>
    <definedName name="_bdm.14E12C44B2244BF4A4C86061C14FF480.edm" hidden="1">#REF!</definedName>
    <definedName name="_bdm.15532E20B1FF46539CE99D4F06003620.edm" hidden="1">#REF!</definedName>
    <definedName name="_bdm.17C6DB35F253421CA37F6DECBB53CB09.edm" hidden="1">#REF!</definedName>
    <definedName name="_bdm.1AF687A1E5ED45509674CBEECB86F11E.edm" hidden="1">#REF!</definedName>
    <definedName name="_bdm.1E81B4231B01419BAB1F7629BF57760E.edm" hidden="1">#REF!</definedName>
    <definedName name="_bdm.2246936292114AFCAC138C7D9D396F97.edm" hidden="1">#REF!</definedName>
    <definedName name="_bdm.22AD675AC94D4AFDB265799534DA88B6.edm" hidden="1">#REF!</definedName>
    <definedName name="_bdm.27BBF0899CDA4B0B8C7F6BB9B96E97B9.edm" hidden="1">#REF!</definedName>
    <definedName name="_bdm.28AD9BC5E3734025886BCB13389E0C5C.edm" hidden="1">#REF!</definedName>
    <definedName name="_bdm.2910D8A914AA47CB9BD32BF0A51EB1D9.edm" hidden="1">#REF!</definedName>
    <definedName name="_bdm.2AB6882CBF0147C7A1E52A575553A68B.edm" hidden="1">#REF!</definedName>
    <definedName name="_bdm.2AC364EC557B4DE9871125A7EA06067E.edm" hidden="1">#REF!</definedName>
    <definedName name="_bdm.2BEA366AF93F49AD8224CA9700F1EB81.edm" hidden="1">#REF!</definedName>
    <definedName name="_bdm.2C72CEEE222D4D34B105F10FCC846016.edm" hidden="1">#REF!</definedName>
    <definedName name="_bdm.2D4F8479E7044B6E9793C47E15E26658.edm" hidden="1">#REF!</definedName>
    <definedName name="_bdm.2D618CBB3A8C4DAA9BE9905DB9511DDC.edm" hidden="1">#REF!</definedName>
    <definedName name="_bdm.3418471FD2B243478AC1C676C4E8C5FC.edm" hidden="1">#REF!</definedName>
    <definedName name="_bdm.35C995F189BC41DAAC3F44625A6E292F.edm" hidden="1">#REF!</definedName>
    <definedName name="_bdm.36037A84D6F14885BD15EF420BC6D13A.edm" hidden="1">#REF!</definedName>
    <definedName name="_bdm.3EF881079894438BA7659EB9FF6E25DD.edm" hidden="1">#REF!</definedName>
    <definedName name="_bdm.413BEB5CE0294B15AC90D7DF8DF74345.edm" hidden="1">#REF!</definedName>
    <definedName name="_bdm.41BFA87685854FE88D3D6EB2C8112366.edm" hidden="1">#REF!</definedName>
    <definedName name="_bdm.4287C95B1398429F816153A26570B2F4.edm" hidden="1">#REF!</definedName>
    <definedName name="_bdm.463865BEA38643A6B5EA19C48E7DD61B.edm" hidden="1">#REF!</definedName>
    <definedName name="_bdm.51A2D8508DAB4D008B17FAAF7FA1EF3C.edm" hidden="1">#REF!</definedName>
    <definedName name="_bdm.53E95D570F0E450199C885D6AB439EDB.edm" hidden="1">#REF!</definedName>
    <definedName name="_bdm.5687C9EBCCE349AE869A299D9958753B.edm" hidden="1">#REF!</definedName>
    <definedName name="_bdm.57E8B17D34C04A829449F6DBC62DB6FF.edm" hidden="1">#REF!</definedName>
    <definedName name="_bdm.5DEC2A588B2D4D22B7B208818CC8FD85.edm" hidden="1">#REF!</definedName>
    <definedName name="_bdm.5F3A07197DF14426A5AF2056E21ABA4A.edm" hidden="1">#REF!</definedName>
    <definedName name="_bdm.6025BA6B51C743E1AD96EEE3105BF3D0.edm" hidden="1">#REF!</definedName>
    <definedName name="_bdm.61C015219123495FB66B0B9458B58C4F.edm" hidden="1">#REF!</definedName>
    <definedName name="_bdm.633EB5F9D13D4B02A76654B7C7AA5FE4.edm" hidden="1">#REF!</definedName>
    <definedName name="_bdm.6A4D64318E7C49E3A309FEAFD3C914ED.edm" hidden="1">#REF!</definedName>
    <definedName name="_bdm.6B764F624FD64FE48689F7B0C3C5105A.edm" hidden="1">#REF!</definedName>
    <definedName name="_bdm.7B582216104D4FC3AD7A52D599B1C43A.edm" hidden="1">#REF!</definedName>
    <definedName name="_bdm.8161120405654232B4CD7904DF34AD10.edm" hidden="1">#REF!</definedName>
    <definedName name="_bdm.82810F34DEC543B0938EAF91531EAF0D.edm" hidden="1">#REF!</definedName>
    <definedName name="_bdm.8649F3B960184A0E9CC5311F749236B9.edm" hidden="1">#REF!</definedName>
    <definedName name="_bdm.8677447478264074BAF1FF345884C57C.edm" hidden="1">#REF!</definedName>
    <definedName name="_bdm.8CCC0F9C648F42E7B681E322CDAABB0B.edm" hidden="1">#REF!</definedName>
    <definedName name="_bdm.9AB08E8B9DD242CD86AB346DB45BC7EA.edm" hidden="1">#REF!</definedName>
    <definedName name="_bdm.A30C0767F84B45589EEE7453C94BCB6E.edm" hidden="1">#REF!</definedName>
    <definedName name="_bdm.A3C74F68435B4A2F946E8A7166EE8A58.edm" hidden="1">#REF!</definedName>
    <definedName name="_bdm.A4DA664F0D8D40439812270DD015A5FC.edm" hidden="1">#REF!</definedName>
    <definedName name="_bdm.AE68C2B6B205464EA6DE0BCF961588FD.edm" hidden="1">#REF!</definedName>
    <definedName name="_bdm.AEB7040D03DE41988DDCA3F5FAF13B03.edm" hidden="1">#REF!</definedName>
    <definedName name="_bdm.B32EECEF008048CB8820362F735767B2.edm" hidden="1">#REF!</definedName>
    <definedName name="_bdm.B5807A90851A4FFD80A55244D63565EC.edm" hidden="1">#REF!</definedName>
    <definedName name="_bdm.BAC8A75873BD47C898F7FA00AB6AF1F7.edm" hidden="1">#REF!</definedName>
    <definedName name="_bdm.BBDFA80AE11F4793AA814D13DE9E8639.edm" hidden="1">#REF!</definedName>
    <definedName name="_bdm.C5DBACA85DED48339A640388347A0422.edm" hidden="1">#REF!</definedName>
    <definedName name="_bdm.CEECD5A4BBD44CA18565D39876649090.edm" hidden="1">#REF!</definedName>
    <definedName name="_bdm.CF8AEAF52A8A4887A0B828A298C40612.edm" hidden="1">#REF!</definedName>
    <definedName name="_bdm.D0617DFC048A4E06B33A16ECE92185C2.edm" hidden="1">#REF!</definedName>
    <definedName name="_bdm.D2356439F5E04D59804E8B79D675D554.edm" hidden="1">#REF!</definedName>
    <definedName name="_bdm.D8485C725B4A4D2ABEF86761D5A0AF79.edm" hidden="1">#REF!</definedName>
    <definedName name="_bdm.D9912FF757C643AF874356426ECCD0C2.edm" hidden="1">#REF!</definedName>
    <definedName name="_bdm.DD366674451544BF93BC8D487636644E.edm" hidden="1">#REF!</definedName>
    <definedName name="_bdm.E29CC2CCE143482595B4593DE68FFC66.edm" hidden="1">#REF!</definedName>
    <definedName name="_bdm.E5BDB6F1C2C945E59CAD61487277009E.edm" hidden="1">#REF!</definedName>
    <definedName name="_bdm.E5E791ED8BD04267A71BD33F4FFBEA2A.edm" hidden="1">#REF!</definedName>
    <definedName name="_bdm.E707CBC911714632A3B5B6760EB38EC2.edm" hidden="1">#REF!</definedName>
    <definedName name="_bdm.E8798BE2C6784495B4B2F5965A63DD45.edm" hidden="1">#REF!</definedName>
    <definedName name="_bdm.ED6FE57296254F039CFA264D6C0DBF2C.edm" hidden="1">#REF!</definedName>
    <definedName name="_bdm.EE29D448DCFC4D9482FD4C4939471795.edm" hidden="1">#REF!</definedName>
    <definedName name="_bdm.F1438972761941AFBBAD0E56AC142EA0.edm" hidden="1">#REF!</definedName>
    <definedName name="_bdm.F289BB85805949C4A2DB02778B66B1FC.edm" hidden="1">#REF!</definedName>
    <definedName name="_bdm.FastTrackBookmark.3_7_2019_11_35_41_AM.edm" hidden="1">#REF!</definedName>
    <definedName name="_bdm.FE163486EC8B4FD68CD11B0B1DCE74BB.edm" hidden="1">#REF!</definedName>
    <definedName name="_Bud210_Level7member_Name_00" hidden="1">#REF!</definedName>
    <definedName name="_Fil1" hidden="1">#REF!</definedName>
    <definedName name="_Fill" hidden="1">#REF!</definedName>
    <definedName name="_Key1" hidden="1">#REF!</definedName>
    <definedName name="_Key2" hidden="1">#REF!</definedName>
    <definedName name="_Order1" hidden="1">255</definedName>
    <definedName name="_Order2" hidden="1">255</definedName>
    <definedName name="_pcSlicerSheet_Slicer1" hidden="1">#REF!</definedName>
    <definedName name="_Sort" hidden="1">#REF!</definedName>
    <definedName name="_Table1_In1" hidden="1">#REF!</definedName>
    <definedName name="_Table1_in2" hidden="1">#REF!</definedName>
    <definedName name="_Table1_Out" hidden="1">#REF!</definedName>
    <definedName name="_Table2_In1" hidden="1">#REF!</definedName>
    <definedName name="_Table2_In2" hidden="1">#REF!</definedName>
    <definedName name="_Table2_Out" hidden="1">#REF!</definedName>
    <definedName name="_tags1" localSheetId="2" hidden="1">"&lt;tags&gt;&lt;tag n=""Palette"" v=""-1"" /&gt;&lt;tag n=""ClosestPalette"" v=""1"" /&gt;&lt;/tags&gt;"</definedName>
    <definedName name="_tags1" localSheetId="3" hidden="1">"&lt;tags&gt;&lt;tag n=""Palette"" v=""-1"" /&gt;&lt;tag n=""ClosestPalette"" v=""1"" /&gt;&lt;/tags&gt;"</definedName>
    <definedName name="_tags1" localSheetId="4" hidden="1">"&lt;tags&gt;&lt;tag n=""Palette"" v=""-1"" /&gt;&lt;tag n=""ClosestPalette"" v=""1"" /&gt;&lt;/tags&gt;"</definedName>
    <definedName name="_tags1" localSheetId="5" hidden="1">"&lt;tags&gt;&lt;tag n=""Palette"" v=""-1"" /&gt;&lt;tag n=""ClosestPalette"" v=""1"" /&gt;&lt;/tags&gt;"</definedName>
    <definedName name="_tags1" localSheetId="6" hidden="1">"&lt;tags&gt;&lt;tag n=""Palette"" v=""-1"" /&gt;&lt;tag n=""ClosestPalette"" v=""1"" /&gt;&lt;/tags&gt;"</definedName>
    <definedName name="_Total_208_209_210_for_Mobile_Level6member_Name_00" hidden="1">#REF!</definedName>
    <definedName name="_Total_208_209_210_Level6member_Name_by_Fiscal_00" hidden="1">#REF!</definedName>
    <definedName name="_Total_208_209_210_Level7member_Name_00"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BC" hidden="1">#REF!</definedName>
    <definedName name="AccessDatabase" hidden="1">"G:\Finance\Projections\2001 Projections\Pivot 2001.mdb"</definedName>
    <definedName name="AS2DocOpenMode" hidden="1">"AS2DocumentBrowse"</definedName>
    <definedName name="AS2HasNoAutoHeaderFooter" hidden="1">" "</definedName>
    <definedName name="AS2NamedRange" hidden="1">3</definedName>
    <definedName name="AS2ReportLS" hidden="1">1</definedName>
    <definedName name="AS2SyncStepLS" hidden="1">0</definedName>
    <definedName name="AS2TickmarkLS" hidden="1">#REF!</definedName>
    <definedName name="AS2VersionLS" hidden="1">300</definedName>
    <definedName name="BG_Del" hidden="1">15</definedName>
    <definedName name="BG_Ins" hidden="1">4</definedName>
    <definedName name="BG_Mod" hidden="1">6</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PB1" hidden="1">#REF!</definedName>
    <definedName name="BLPB10" hidden="1">#REF!</definedName>
    <definedName name="BLPB100" hidden="1">#REF!</definedName>
    <definedName name="BLPB101" hidden="1">#REF!</definedName>
    <definedName name="BLPB102" hidden="1">#REF!</definedName>
    <definedName name="BLPB103" hidden="1">#REF!</definedName>
    <definedName name="BLPB104" hidden="1">#REF!</definedName>
    <definedName name="BLPB105" hidden="1">#REF!</definedName>
    <definedName name="BLPB106" hidden="1">#REF!</definedName>
    <definedName name="BLPB107" hidden="1">#REF!</definedName>
    <definedName name="BLPB108" hidden="1">#REF!</definedName>
    <definedName name="BLPB109" hidden="1">#REF!</definedName>
    <definedName name="BLPB11" hidden="1">#REF!</definedName>
    <definedName name="BLPB110" hidden="1">#REF!</definedName>
    <definedName name="BLPB111" hidden="1">#REF!</definedName>
    <definedName name="BLPB112" hidden="1">#REF!</definedName>
    <definedName name="BLPB113" hidden="1">#REF!</definedName>
    <definedName name="BLPB114" hidden="1">#REF!</definedName>
    <definedName name="BLPB115" hidden="1">#REF!</definedName>
    <definedName name="BLPB116" hidden="1">#REF!</definedName>
    <definedName name="BLPB117" hidden="1">#REF!</definedName>
    <definedName name="BLPB118" hidden="1">#REF!</definedName>
    <definedName name="BLPB119" hidden="1">#REF!</definedName>
    <definedName name="BLPB12" hidden="1">#REF!</definedName>
    <definedName name="BLPB120" hidden="1">#REF!</definedName>
    <definedName name="BLPB121" hidden="1">#REF!</definedName>
    <definedName name="BLPB122" hidden="1">#REF!</definedName>
    <definedName name="BLPB123" hidden="1">#REF!</definedName>
    <definedName name="BLPB124" hidden="1">#REF!</definedName>
    <definedName name="BLPB125" hidden="1">#REF!</definedName>
    <definedName name="BLPB126" hidden="1">#REF!</definedName>
    <definedName name="BLPB127" hidden="1">#REF!</definedName>
    <definedName name="BLPB128" hidden="1">#REF!</definedName>
    <definedName name="BLPB129" hidden="1">#REF!</definedName>
    <definedName name="BLPB13" hidden="1">#REF!</definedName>
    <definedName name="BLPB136" hidden="1">#REF!</definedName>
    <definedName name="BLPB137" hidden="1">#REF!</definedName>
    <definedName name="BLPB14" hidden="1">#REF!</definedName>
    <definedName name="BLPB15" hidden="1">#REF!</definedName>
    <definedName name="BLPB16" hidden="1">#REF!</definedName>
    <definedName name="BLPB17" hidden="1">#REF!</definedName>
    <definedName name="BLPB18" hidden="1">#REF!</definedName>
    <definedName name="BLPB19" hidden="1">#REF!</definedName>
    <definedName name="BLPB2" hidden="1">#REF!</definedName>
    <definedName name="BLPB20" hidden="1">#REF!</definedName>
    <definedName name="BLPB21" hidden="1">#REF!</definedName>
    <definedName name="BLPB22" hidden="1">#REF!</definedName>
    <definedName name="BLPB23" hidden="1">#REF!</definedName>
    <definedName name="BLPB24" hidden="1">#REF!</definedName>
    <definedName name="BLPB25" hidden="1">#REF!</definedName>
    <definedName name="BLPB26" hidden="1">#REF!</definedName>
    <definedName name="BLPB27" hidden="1">#REF!</definedName>
    <definedName name="BLPB28" hidden="1">#REF!</definedName>
    <definedName name="BLPB29" hidden="1">#REF!</definedName>
    <definedName name="BLPB3" hidden="1">#REF!</definedName>
    <definedName name="BLPB30" hidden="1">#REF!</definedName>
    <definedName name="BLPB31" hidden="1">#REF!</definedName>
    <definedName name="BLPB32" hidden="1">#REF!</definedName>
    <definedName name="BLPB33" hidden="1">#REF!</definedName>
    <definedName name="BLPB34" hidden="1">#REF!</definedName>
    <definedName name="BLPB35" hidden="1">#REF!</definedName>
    <definedName name="BLPB36" hidden="1">#REF!</definedName>
    <definedName name="BLPB37" hidden="1">#REF!</definedName>
    <definedName name="BLPB38" hidden="1">#REF!</definedName>
    <definedName name="BLPB39" hidden="1">#REF!</definedName>
    <definedName name="BLPB4" hidden="1">#REF!</definedName>
    <definedName name="BLPB40" hidden="1">#REF!</definedName>
    <definedName name="BLPB41" hidden="1">#REF!</definedName>
    <definedName name="BLPB42" hidden="1">#REF!</definedName>
    <definedName name="BLPB43" hidden="1">#REF!</definedName>
    <definedName name="BLPB44" hidden="1">#REF!</definedName>
    <definedName name="BLPB45" hidden="1">#REF!</definedName>
    <definedName name="BLPB46" hidden="1">#REF!</definedName>
    <definedName name="BLPB47" hidden="1">#REF!</definedName>
    <definedName name="BLPB48" hidden="1">#REF!</definedName>
    <definedName name="BLPB49" hidden="1">#REF!</definedName>
    <definedName name="BLPB5" hidden="1">#REF!</definedName>
    <definedName name="BLPB50" hidden="1">#REF!</definedName>
    <definedName name="BLPB51" hidden="1">#REF!</definedName>
    <definedName name="BLPB52" hidden="1">#REF!</definedName>
    <definedName name="BLPB53" hidden="1">#REF!</definedName>
    <definedName name="BLPB54" hidden="1">#REF!</definedName>
    <definedName name="BLPB55" hidden="1">#REF!</definedName>
    <definedName name="BLPB56" hidden="1">#REF!</definedName>
    <definedName name="BLPB57" hidden="1">#REF!</definedName>
    <definedName name="BLPB58" hidden="1">#REF!</definedName>
    <definedName name="BLPB59" hidden="1">#REF!</definedName>
    <definedName name="BLPB6" hidden="1">#REF!</definedName>
    <definedName name="BLPB60" hidden="1">#REF!</definedName>
    <definedName name="BLPB61" hidden="1">#REF!</definedName>
    <definedName name="BLPB62" hidden="1">#REF!</definedName>
    <definedName name="BLPB63" hidden="1">#REF!</definedName>
    <definedName name="BLPB64" hidden="1">#REF!</definedName>
    <definedName name="BLPB65" hidden="1">#REF!</definedName>
    <definedName name="BLPB66" hidden="1">#REF!</definedName>
    <definedName name="BLPB67" hidden="1">#REF!</definedName>
    <definedName name="BLPB68" hidden="1">#REF!</definedName>
    <definedName name="BLPB69" hidden="1">#REF!</definedName>
    <definedName name="BLPB7" hidden="1">#REF!</definedName>
    <definedName name="BLPB70" hidden="1">#REF!</definedName>
    <definedName name="BLPB71" hidden="1">#REF!</definedName>
    <definedName name="BLPB72" hidden="1">#REF!</definedName>
    <definedName name="BLPB73" hidden="1">#REF!</definedName>
    <definedName name="BLPB74" hidden="1">#REF!</definedName>
    <definedName name="BLPB75" hidden="1">#REF!</definedName>
    <definedName name="BLPB76" hidden="1">#REF!</definedName>
    <definedName name="BLPB77" hidden="1">#REF!</definedName>
    <definedName name="BLPB78" hidden="1">#REF!</definedName>
    <definedName name="BLPB79" hidden="1">#REF!</definedName>
    <definedName name="BLPB8" hidden="1">#REF!</definedName>
    <definedName name="BLPB80" hidden="1">#REF!</definedName>
    <definedName name="BLPB81" hidden="1">#REF!</definedName>
    <definedName name="BLPB82" hidden="1">#REF!</definedName>
    <definedName name="BLPB83" hidden="1">#REF!</definedName>
    <definedName name="BLPB84" hidden="1">#REF!</definedName>
    <definedName name="BLPB85" hidden="1">#REF!</definedName>
    <definedName name="BLPB86" hidden="1">#REF!</definedName>
    <definedName name="BLPB87" hidden="1">#REF!</definedName>
    <definedName name="BLPB88" hidden="1">#REF!</definedName>
    <definedName name="BLPB89" hidden="1">#REF!</definedName>
    <definedName name="BLPB9" hidden="1">#REF!</definedName>
    <definedName name="BLPB90" hidden="1">#REF!</definedName>
    <definedName name="BLPB91" hidden="1">#REF!</definedName>
    <definedName name="BLPB92" hidden="1">#REF!</definedName>
    <definedName name="BLPB93" hidden="1">#REF!</definedName>
    <definedName name="BLPB94" hidden="1">#REF!</definedName>
    <definedName name="BLPB95" hidden="1">#REF!</definedName>
    <definedName name="BLPB96" hidden="1">#REF!</definedName>
    <definedName name="BLPB97" hidden="1">#REF!</definedName>
    <definedName name="BLPB98" hidden="1">#REF!</definedName>
    <definedName name="BLPB99" hidden="1">#REF!</definedName>
    <definedName name="BLPH10" hidden="1">#REF!</definedName>
    <definedName name="BLPH11" hidden="1">#REF!</definedName>
    <definedName name="BLPH14" hidden="1">#REF!</definedName>
    <definedName name="BLPH15"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IQWBGuid" localSheetId="1" hidden="1">"540f3042-7976-4467-9d88-72aa3cab8ff7"</definedName>
    <definedName name="CIQWBGuid" hidden="1">"c36e0a5d-d90c-4aad-b751-96208262ef45"</definedName>
    <definedName name="CompanyName1" hidden="1">#REF!</definedName>
    <definedName name="CompanyName2" hidden="1">#REF!</definedName>
    <definedName name="CompanyName3" hidden="1">#REF!</definedName>
    <definedName name="CompRange1" hidden="1">#N/A</definedName>
    <definedName name="CompRange1Main" hidden="1">#REF!</definedName>
    <definedName name="CompRange2" hidden="1">#N/A</definedName>
    <definedName name="CompRange2Main" hidden="1">#REF!</definedName>
    <definedName name="CompRange3" hidden="1">#N/A</definedName>
    <definedName name="CompRange3Main" hidden="1">#REF!</definedName>
    <definedName name="Cwvu.GREY_ALL." hidden="1">#REF!</definedName>
    <definedName name="DateRangeComp" hidden="1">#N/A</definedName>
    <definedName name="DateRangeCompMain" hidden="1">#REF!</definedName>
    <definedName name="DateRangePrice" hidden="1">#N/A</definedName>
    <definedName name="DateRangePriceMain" hidden="1">#REF!</definedName>
    <definedName name="Editable" hidden="1">#REF!,#REF!,#REF!,#REF!</definedName>
    <definedName name="EV__LASTREFTIME__" hidden="1">39104.6256481481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1聄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P_280_1_aSrv" hidden="1">#REF!</definedName>
    <definedName name="FDP_281_1_aSrv" hidden="1">#REF!</definedName>
    <definedName name="FDP_282_1_aSrv" hidden="1">#REF!</definedName>
    <definedName name="FDP_283_1_aSrv" hidden="1">#REF!</definedName>
    <definedName name="F聄D_172_0" hidden="1">"A30681"</definedName>
    <definedName name="F聄D_179_1" hidden="1">"E36525"</definedName>
    <definedName name="F聄D_82_11" hidden="1">"A34699"</definedName>
    <definedName name="hhhhh" localSheetId="1" hidden="1">{"overall",#N/A,FALSE,"Taylor";"Jul24Sum",#N/A,FALSE,"Finance";"Jul24COS",#N/A,FALSE,"Finance";"Jul24C3",#N/A,FALSE,"Finance";"jul24tax&amp;debtcalcs",#N/A,FALSE,"Finance";"jeepsum",#N/A,FALSE,"Finance";"taysum1",#N/A,FALSE,"Taylor";"BS",#N/A,FALSE,"Taylor";"backup",#N/A,FALSE,"Taylor";"jeepop",#N/A,FALSE,"Operating costs"}</definedName>
    <definedName name="hhhhh" hidden="1">{"overall",#N/A,FALSE,"Taylor";"Jul24Sum",#N/A,FALSE,"Finance";"Jul24COS",#N/A,FALSE,"Finance";"Jul24C3",#N/A,FALSE,"Finance";"jul24tax&amp;debtcalcs",#N/A,FALSE,"Finance";"jeepsum",#N/A,FALSE,"Finance";"taysum1",#N/A,FALSE,"Taylor";"BS",#N/A,FALSE,"Taylor";"backup",#N/A,FALSE,"Taylor";"jeepop",#N/A,FALSE,"Operating costs"}</definedName>
    <definedName name="HTML_CodePage" hidden="1">1252</definedName>
    <definedName name="HTML_Control" localSheetId="1" hidden="1">{"'xls'!$A$71:$A$78","'xls'!$A$1:$J$77"}</definedName>
    <definedName name="HTML_Control" hidden="1">{"'xls'!$A$71:$A$78","'xls'!$A$1:$J$77"}</definedName>
    <definedName name="HTML_Description" hidden="1">""</definedName>
    <definedName name="HTML_Email" hidden="1">""</definedName>
    <definedName name="HTML_Header" hidden="1">"tab34"</definedName>
    <definedName name="HTML_LastUpdate" hidden="1">"1/5/00"</definedName>
    <definedName name="HTML_LineAfter" hidden="1">FALSE</definedName>
    <definedName name="HTML_LineBefore" hidden="1">FALSE</definedName>
    <definedName name="HTML_Name" hidden="1">"William J. Hussar"</definedName>
    <definedName name="HTML_OBDlg2" hidden="1">TRUE</definedName>
    <definedName name="HTML_OBDlg4" hidden="1">TRUE</definedName>
    <definedName name="HTML_OS" hidden="1">0</definedName>
    <definedName name="HTML_PathFile" hidden="1">"D:\PROJ2009\WP\Test\tabxxxxx.htm"</definedName>
    <definedName name="HTML_Title" hidden="1">"tab35plainerb1y"</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EPTANCES_OTHER_FOREIGN_BANKS_LL_REC_FFIEC" hidden="1">"c15293"</definedName>
    <definedName name="IQ_ACCEPTANCES_OTHER_US_BANKS_LL_REC_FFIEC" hidden="1">"c15292"</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_PROD_FARM_LOANS_DOM_QUARTERLY_AVG_FFIEC" hidden="1">"c15477"</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rs" hidden="1">39210.6342708333</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"c223"</definedName>
    <definedName name="IQ_BONDRATING_FITCH_DATE" hidden="1">"c241"</definedName>
    <definedName name="IQ_BONDRATING_SP" hidden="1">"c224"</definedName>
    <definedName name="IQ_BONDRATING_SP_DATE" hidden="1">"c242"</definedName>
    <definedName name="IQ_BOOK_VALUE" hidden="1">"IQ_BOOK_VALUE"</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QUIV" hidden="1">"c118"</definedName>
    <definedName name="IQ_CASH_FINAN" hidden="1">"c119"</definedName>
    <definedName name="IQ_CASH_FLOW_ACT_OR_EST" hidden="1">"c4154"</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FOREIGN_BRANCH_OTHER_US_BANKS_FFIEC" hidden="1">"c15282"</definedName>
    <definedName name="IQ_CASH_IN_PROCESS_FDIC" hidden="1">"c6386"</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UM_EST" hidden="1">"c4246"</definedName>
    <definedName name="IQ_CASH_OPER_STDDEV_EST" hidden="1">"c4247"</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STRUCTURED_PRODUCTS_AVAIL_SALE_FFIEC" hidden="1">"c15263"</definedName>
    <definedName name="IQ_CASH_STRUCTURED_PRODUCTS_FFIEC" hidden="1">"c15260"</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REUT" hidden="1">"c5463"</definedName>
    <definedName name="IQ_CFPS_DET_EST_REUT_CURRENCY_CURRENCY_REUT" hidden="1">"c12526"</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_BANKS_OTHER_DEP_INST_US_TRANS_ACCTS_FFIEC" hidden="1">"c15317"</definedName>
    <definedName name="IQ_COMM_BANKS_OTHER_INST_US_NON_TRANS_ACCTS_FFIEC" hidden="1">"c15325"</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LOANS_NET_FDIC" hidden="1">"c6317"</definedName>
    <definedName name="IQ_COMMERCIAL_INDUSTRIAL_NET_CHARGE_OFFS_FDIC" hidden="1">"c6636"</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RECOVERIES_FDIC" hidden="1">"c6617"</definedName>
    <definedName name="IQ_COMMERCIAL_INDUSTRIAL_TOTAL_LOANS_FOREIGN_FDIC" hidden="1">"c6451"</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NSOLIDATED_NI_FOREIGN_FFIEC" hidden="1">"c15396"</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TIER_ONE_CAPITAL" hidden="1">"c15244"</definedName>
    <definedName name="IQ_CORE_TIER_ONE_CAPITAL_RATIO" hidden="1">"c15240"</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AGE_RATIO" hidden="1">"c15243"</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LINES_FDIC" hidden="1">"c6525"</definedName>
    <definedName name="IQ_CREDIT_CARD_LOANS_DOM_QUARTERLY_AVG_FFIEC" hidden="1">"c15480"</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FOREIGN_BANKS_FOREIGN_AGENCIES_FFIEC" hidden="1">"c15344"</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ROWTH_1" hidden="1">"c157"</definedName>
    <definedName name="IQ_EBIT_GROWTH_2" hidden="1">"c161"</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EST" hidden="1">"c4315"</definedName>
    <definedName name="IQ_EBIT_SBC_GUIDANCE" hidden="1">"c4317"</definedName>
    <definedName name="IQ_EBIT_SBC_GW_ACT_OR_EST" hidden="1">"c4320"</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OVER_TOTAL_IE" hidden="1">"c1370"</definedName>
    <definedName name="IQ_EBITDA_DET_EST_REUT_CURRENCY_CURRENCY_REUT" hidden="1">"c12529"</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ROWTH_1" hidden="1">"c156"</definedName>
    <definedName name="IQ_EBITDA_GROWTH_2" hidden="1">"c160"</definedName>
    <definedName name="IQ_EBITDA_GUIDANCE" hidden="1">"c4334"</definedName>
    <definedName name="IQ_EBITDA_HIGH_EST" hidden="1">"c370"</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REUT" hidden="1">"c3643"</definedName>
    <definedName name="IQ_EBITDA_LOW_GUIDANCE" hidden="1">"c4210"</definedName>
    <definedName name="IQ_EBITDA_MARGIN" hidden="1">"c372"</definedName>
    <definedName name="IQ_EBITDA_MEDIAN_EST" hidden="1">"c1663"</definedName>
    <definedName name="IQ_EBITDA_MEDIAN_EST_REUT" hidden="1">"c3641"</definedName>
    <definedName name="IQ_EBITDA_NO_EST" hidden="1">"c267"</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EST" hidden="1">"c4349"</definedName>
    <definedName name="IQ_EBT_SBC_GUIDANCE" hidden="1">"c4351"</definedName>
    <definedName name="IQ_EBT_SBC_GW_ACT_OR_EST" hidden="1">"c4354"</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LIMINATIONS_CONSOL_OFFICES_FOREIGN_FFIEC" hidden="1">"c15395"</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 hidden="1">"c5460"</definedName>
    <definedName name="IQ_EPS_EST" hidden="1">"c399"</definedName>
    <definedName name="IQ_EPS_EST_1" hidden="1">"IQ_EPS_EST_1"</definedName>
    <definedName name="IQ_EPS_EST_BOTTOM_UP" hidden="1">"c5489"</definedName>
    <definedName name="IQ_EPS_EST_BOTTOM_UP_REUT" hidden="1">"c5497"</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REUT" hidden="1">"c5469"</definedName>
    <definedName name="IQ_EPS_GW_DET_EST_REUT_CURRENCY_CURRENCY_REUT" hidden="1">"c12533"</definedName>
    <definedName name="IQ_EPS_GW_EST" hidden="1">"c1737"</definedName>
    <definedName name="IQ_EPS_GW_EST_BOTTOM_UP" hidden="1">"c5491"</definedName>
    <definedName name="IQ_EPS_GW_EST_BOTTOM_UP_REUT" hidden="1">"c5499"</definedName>
    <definedName name="IQ_EPS_GW_EST_REUT" hidden="1">"c5389"</definedName>
    <definedName name="IQ_EPS_GW_GUIDANCE" hidden="1">"c4372"</definedName>
    <definedName name="IQ_EPS_GW_HIGH_EST" hidden="1">"c1739"</definedName>
    <definedName name="IQ_EPS_GW_HIGH_EST_REUT" hidden="1">"c5391"</definedName>
    <definedName name="IQ_EPS_GW_HIGH_GUIDANCE" hidden="1">"c4373"</definedName>
    <definedName name="IQ_EPS_GW_LOW_EST" hidden="1">"c1740"</definedName>
    <definedName name="IQ_EPS_GW_LOW_EST_REUT" hidden="1">"c5392"</definedName>
    <definedName name="IQ_EPS_GW_LOW_GUIDANCE" hidden="1">"c4206"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_ACT_OR_EST" hidden="1">"c2224"</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 hidden="1">"c4375"</definedName>
    <definedName name="IQ_EPS_SBC_GUIDANCE" hidden="1">"c4377"</definedName>
    <definedName name="IQ_EPS_SBC_GW_ACT_OR_EST" hidden="1">"c4380"</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LIST" hidden="1">"c15158"</definedName>
    <definedName name="IQ_EQUITY_METHOD" hidden="1">"c404"</definedName>
    <definedName name="IQ_EQUITY_SECURITIES_FDIC" hidden="1">"c6304"</definedName>
    <definedName name="IQ_EQUITY_SECURITIES_QUARTERLY_AVG_FFIEC" hidden="1">"c15474"</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 hidden="1">"c3549"</definedName>
    <definedName name="IQ_EST_ACT_BV_SHARE_REUT" hidden="1">"c5445"</definedName>
    <definedName name="IQ_EST_ACT_BV_THOM" hidden="1">"c5153"</definedName>
    <definedName name="IQ_EST_ACT_CAPEX" hidden="1">"c3546"</definedName>
    <definedName name="IQ_EST_ACT_CAPEX_REUT" hidden="1">"c3975"</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FFO_SHARE_SHARE_REUT" hidden="1">"c3843"</definedName>
    <definedName name="IQ_EST_ACT_GROSS_MARGIN" hidden="1">"c5553"</definedName>
    <definedName name="IQ_EST_ACT_MAINT_CAPEX" hidden="1">"c4408"</definedName>
    <definedName name="IQ_EST_ACT_NAV" hidden="1">"c1757"</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DIFF_REUT" hidden="1">"c5433"</definedName>
    <definedName name="IQ_EST_BV_DIFF_THOM" hidden="1">"c5204"</definedName>
    <definedName name="IQ_EST_BV_SHARE_DIFF" hidden="1">"c4147"</definedName>
    <definedName name="IQ_EST_BV_SHARE_SURPRISE_PERCENT" hidden="1">"c4148"</definedName>
    <definedName name="IQ_EST_BV_SURPRISE_PERCENT_REUT" hidden="1">"c5434"</definedName>
    <definedName name="IQ_EST_BV_SURPRISE_PERCENT_THOM" hidden="1">"c5205"</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 hidden="1">"c1635"</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HARE_DIFF_REUT" hidden="1">"c3890"</definedName>
    <definedName name="IQ_EST_FFO_SHARE_SHARE_SURPRISE_PERCENT_REUT" hidden="1">"c3891"</definedName>
    <definedName name="IQ_EST_FFO_SHARE_SURPRISE_PERCENT" hidden="1">"c4453"</definedName>
    <definedName name="IQ_EST_FFO_SURPRISE_PERCENT" hidden="1">"c1870"</definedName>
    <definedName name="IQ_EST_FFO_SURPRISE_PERCENT_REUT" hidden="1">"c3891"</definedName>
    <definedName name="IQ_EST_FOOTNOTE" hidden="1">"c4540"</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BUY_CIQ" hidden="1">"c3700"</definedName>
    <definedName name="IQ_EST_NUM_BUY_REUT" hidden="1">"c3869"</definedName>
    <definedName name="IQ_EST_NUM_BUY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NO_OPINION" hidden="1">"c1758"</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"019773000"</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_ITEMS_OTHER_ADJUSTMENTS_FOREIGN_FFIEC" hidden="1">"c15392"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FDIC" hidden="1">"c6343"</definedName>
    <definedName name="IQ_FED_FUNDS_SOLD_FDIC" hidden="1">"c6307"</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OTHER_INCOME" hidden="1">"c15257"</definedName>
    <definedName name="IQ_FFO" hidden="1">"c1574"</definedName>
    <definedName name="IQ_FFO_ACT_OR_EST" hidden="1">"c2216"</definedName>
    <definedName name="IQ_FFO_ADJ_ACT_OR_EST" hidden="1">"c4435"</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DET_EST" hidden="1">"c12059"</definedName>
    <definedName name="IQ_FFO_EST_DET_EST_CURRENCY" hidden="1">"c12466"</definedName>
    <definedName name="IQ_FFO_EST_DET_EST_CURRENCY_REUT" hidden="1">"c12536"</definedName>
    <definedName name="IQ_FFO_EST_DET_EST_DATE" hidden="1">"c12212"</definedName>
    <definedName name="IQ_FFO_EST_DET_EST_DATE_REUT" hidden="1">"c12295"</definedName>
    <definedName name="IQ_FFO_EST_DET_EST_INCL" hidden="1">"c12349"</definedName>
    <definedName name="IQ_FFO_EST_DET_EST_INCL_REUT" hidden="1">"c12419"</definedName>
    <definedName name="IQ_FFO_EST_DET_EST_ORIGIN_REUT" hidden="1">"c12724"</definedName>
    <definedName name="IQ_FFO_EST_DET_EST_REUT" hidden="1">"c12153"</definedName>
    <definedName name="IQ_FFO_EST_REUT" hidden="1">"c3837"</definedName>
    <definedName name="IQ_FFO_GUIDANCE" hidden="1">"c4443"</definedName>
    <definedName name="IQ_FFO_HIGH_EST" hidden="1">"c419"</definedName>
    <definedName name="IQ_FFO_HIGH_EST_REUT" hidden="1">"c3839"</definedName>
    <definedName name="IQ_FFO_HIGH_GUIDANCE" hidden="1">"c4184"</definedName>
    <definedName name="IQ_FFO_LOW_EST" hidden="1">"c420"</definedName>
    <definedName name="IQ_FFO_LOW_EST_REUT" hidden="1">"c3840"</definedName>
    <definedName name="IQ_FFO_LOW_GUIDANCE" hidden="1">"c4224"</definedName>
    <definedName name="IQ_FFO_MEDIAN_EST" hidden="1">"c1665"</definedName>
    <definedName name="IQ_FFO_MEDIAN_EST_REUT" hidden="1">"c3838"</definedName>
    <definedName name="IQ_FFO_NO_EST" hidden="1">"c276"</definedName>
    <definedName name="IQ_FFO_NUM_EST" hidden="1">"c421"</definedName>
    <definedName name="IQ_FFO_NUM_EST_REUT" hidden="1">"c3841"</definedName>
    <definedName name="IQ_FFO_PAYOUT_RATIO" hidden="1">"c3492"</definedName>
    <definedName name="IQ_FFO_SHARE_ACT_OR_EST" hidden="1">"c4446"</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DATE" hidden="1">"c12212"</definedName>
    <definedName name="IQ_FFO_SHARE_SHARE_EST_DET_EST_DATE_REUT" hidden="1">"c12295"</definedName>
    <definedName name="IQ_FFO_SHARE_SHARE_EST_DET_EST_INCL" hidden="1">"c12349"</definedName>
    <definedName name="IQ_FFO_SHARE_SHARE_EST_DET_EST_INCL_REUT" hidden="1">"c12419"</definedName>
    <definedName name="IQ_FFO_SHARE_SHARE_EST_DET_EST_ORIGIN_REUT" hidden="1">"c12724"</definedName>
    <definedName name="IQ_FFO_SHARE_SHARE_EST_DET_EST_REUT" hidden="1">"c12153"</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HARE_STDDEV_EST" hidden="1">"c4452"</definedName>
    <definedName name="IQ_FFO_STDDEV_EST" hidden="1">"c422"</definedName>
    <definedName name="IQ_FFO_STDDEV_EST_REUT" hidden="1">"c3842"</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OANS" hidden="1">"c448"</definedName>
    <definedName name="IQ_FQ" hidden="1">500</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NAV" hidden="1">"c15225"</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PAIR_OIL" hidden="1">"c547"</definedName>
    <definedName name="IQ_IMPAIRED_LOANS" hidden="1">"c15250"</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_FOREIGN_FFIEC" hidden="1">"c15391"</definedName>
    <definedName name="IQ_INCOME_TAXES_FDIC" hidden="1">"c6582"</definedName>
    <definedName name="IQ_INDEX_CURRENCY" hidden="1">"c15224"</definedName>
    <definedName name="IQ_INDEX_PROVIDED_DIVIDEND" hidden="1">"c19252"</definedName>
    <definedName name="IQ_INDEX_TYPE" hidden="1">"c15223"</definedName>
    <definedName name="IQ_INDEXCONSTITUENT_CLOSEPRICE" hidden="1">"c19241"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RE_LOANS_DOM_FFIEC" hidden="1">"c15353"</definedName>
    <definedName name="IQ_INT_FEE_INC_TAX_EXEMPT_OBLIGATIONS_DOM_FFIEC" hidden="1">"c15362"</definedName>
    <definedName name="IQ_INT_FEE_INC_TAXABLE_OBLIGATIONS_DOM_FFIEC" hidden="1">"c15361"</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AVINGS_DEPOSITS_MMDA_DOM_FFIEC" hidden="1">"c15364"</definedName>
    <definedName name="IQ_INT_SUB_NOTES_FDIC" hidden="1">"c6568"</definedName>
    <definedName name="IQ_INT_TRANSACTION_ACCOUNTS_DOM_FFIEC" hidden="1">"c15363"</definedName>
    <definedName name="IQ_INTANGIBLES_NET" hidden="1">"c1407"</definedName>
    <definedName name="IQ_INTEL_EPS_EST" hidden="1">"c24729"</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_PROVISION_FOREIGN_FFIEC" hidden="1">"c15382"</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 hidden="1">"c6425"</definedName>
    <definedName name="IQ_MBS_QUARTERLY_AVG_FFIEC" hidden="1">"c15471"</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MDA_NON_TRANS_ACCTS_FFIEC" hidden="1">"c15330"</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FDIC" hidden="1">"c6335"</definedName>
    <definedName name="IQ_MTD" hidden="1">800000</definedName>
    <definedName name="IQ_MULTIFAMILY_RES_DOM_FFIEC" hidden="1">"c15270"</definedName>
    <definedName name="IQ_MULTIFAMILY_RESIDENTIAL_LOANS_FDIC" hidden="1">"c6311"</definedName>
    <definedName name="IQ_NAMES_REVISION_DATE_" localSheetId="1" hidden="1">41677.725474537</definedName>
    <definedName name="IQ_NAMES_REVISION_DATE_" hidden="1">42912.7543981482</definedName>
    <definedName name="IQ_NAMES_REVISION_DATE__" hidden="1">43558.745474537</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NONINTEREST_INC_EXP_INTERNATIONAL_OPS_FFIEC" hidden="1">"c15387"</definedName>
    <definedName name="IQ_NET_OPERATING_INCOME_ASSETS_FDIC" hidden="1">"c6729"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 hidden="1">"c1723"</definedName>
    <definedName name="IQ_NI_GW_EST_REUT" hidden="1">"c5375"</definedName>
    <definedName name="IQ_NI_GW_GUIDANCE" hidden="1">"c4471"</definedName>
    <definedName name="IQ_NI_GW_HIGH_EST" hidden="1">"c1725"</definedName>
    <definedName name="IQ_NI_GW_HIGH_EST_REUT" hidden="1">"c5377"</definedName>
    <definedName name="IQ_NI_GW_HIGH_GUIDANCE" hidden="1">"c4178"</definedName>
    <definedName name="IQ_NI_GW_LOW_EST" hidden="1">"c1726"</definedName>
    <definedName name="IQ_NI_GW_LOW_EST_REUT" hidden="1">"c5378"</definedName>
    <definedName name="IQ_NI_GW_LOW_GUIDANCE" hidden="1">"c4218"</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EST" hidden="1">"c4473"</definedName>
    <definedName name="IQ_NI_SBC_GUIDANCE" hidden="1">"c4475"</definedName>
    <definedName name="IQ_NI_SBC_GW_ACT_OR_EST" hidden="1">"c4478"</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FARM_NONRES_DOM_FFIEC" hidden="1">"c15271"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FOREIGN_FFIEC" hidden="1">"c15273"</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BORROWED_MONEY_FAIR_VALUE_TOT_FFIEC" hidden="1">"c15409"</definedName>
    <definedName name="IQ_OTHER_BORROWED_MONEY_LEVEL_1_FFIEC" hidden="1">"c15431"</definedName>
    <definedName name="IQ_OTHER_BORROWED_MONEY_LEVEL_2_FFIEC" hidden="1">"c15444"</definedName>
    <definedName name="IQ_OTHER_BORROWED_MONEY_LEVEL_3_FFIEC" hidden="1">"c15457"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URITIES_QUARTERLY_AVG_FFIEC" hidden="1">"c15473"</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INTEREST_INC_FOREIGN_FFIEC" hidden="1">"c15380"</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AVINGS_DEPOSITS_NON_TRANS_ACCTS_FFIEC" hidden="1">"c15331"</definedName>
    <definedName name="IQ_OTHER_SECURITIES_QUARTERLY_AVG_FFIEC" hidden="1">"c15472"</definedName>
    <definedName name="IQ_OTHER_STRIKE_PRICE_GRANTED" hidden="1">"c2692"</definedName>
    <definedName name="IQ_OTHER_TRADING_ASSETS_FAIR_VALUE_TOT_FFIEC" hidden="1">"c15404"</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LIABILITIES_FAIR_VALUE_TOT_FFIEC" hidden="1">"c15408"</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CIQ" hidden="1">"c15236"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DAY" hidden="1">"c1822"</definedName>
    <definedName name="IQ_PERCENT_CHANGE_EST_FFO_DAY_CIQ" hidden="1">"c3764"</definedName>
    <definedName name="IQ_PERCENT_CHANGE_EST_FFO_DAY_REUT" hidden="1">"c3933"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SHARE_SHARE_12MONTHS" hidden="1">"c1828"</definedName>
    <definedName name="IQ_PERCENT_CHANGE_EST_FFO_SHARE_SHARE_12MONTHS_REUT" hidden="1">"c3938"</definedName>
    <definedName name="IQ_PERCENT_CHANGE_EST_FFO_SHARE_SHARE_18MONTHS" hidden="1">"c1829"</definedName>
    <definedName name="IQ_PERCENT_CHANGE_EST_FFO_SHARE_SHARE_18MONTHS_REUT" hidden="1">"c3939"</definedName>
    <definedName name="IQ_PERCENT_CHANGE_EST_FFO_SHARE_SHARE_3MONTHS" hidden="1">"c1825"</definedName>
    <definedName name="IQ_PERCENT_CHANGE_EST_FFO_SHARE_SHARE_3MONTHS_REUT" hidden="1">"c3935"</definedName>
    <definedName name="IQ_PERCENT_CHANGE_EST_FFO_SHARE_SHARE_6MONTHS" hidden="1">"c1826"</definedName>
    <definedName name="IQ_PERCENT_CHANGE_EST_FFO_SHARE_SHARE_6MONTHS_REUT" hidden="1">"c3936"</definedName>
    <definedName name="IQ_PERCENT_CHANGE_EST_FFO_SHARE_SHARE_9MONTHS" hidden="1">"c1827"</definedName>
    <definedName name="IQ_PERCENT_CHANGE_EST_FFO_SHARE_SHARE_9MONTHS_REUT" hidden="1">"c3937"</definedName>
    <definedName name="IQ_PERCENT_CHANGE_EST_FFO_SHARE_SHARE_DAY" hidden="1">"c1822"</definedName>
    <definedName name="IQ_PERCENT_CHANGE_EST_FFO_SHARE_SHARE_DAY_REUT" hidden="1">"c3933"</definedName>
    <definedName name="IQ_PERCENT_CHANGE_EST_FFO_SHARE_SHARE_MONTH" hidden="1">"c1824"</definedName>
    <definedName name="IQ_PERCENT_CHANGE_EST_FFO_SHARE_SHARE_MONTH_REUT" hidden="1">"c3934"</definedName>
    <definedName name="IQ_PERCENT_CHANGE_EST_FFO_SHARE_SHARE_WEEK" hidden="1">"c1823"</definedName>
    <definedName name="IQ_PERCENT_CHANGE_EST_FFO_SHARE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"c3965"</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DEPOSITS_FFIEC" hidden="1">"c15312"</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ICE_CFPS_FWD" hidden="1">"c2237"</definedName>
    <definedName name="IQ_PRICE_CFPS_FWD_REUT" hidden="1">"c4053"</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TARGET" hidden="1">"c82"</definedName>
    <definedName name="IQ_PRICE_TARGET_BOTTOM_UP" hidden="1">"c5486"</definedName>
    <definedName name="IQ_PRICE_TARGET_BOTTOM_UP_REUT" hidden="1">"c5494"</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DIC" hidden="1">"c6730"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DIC" hidden="1">"c6732"</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BEFORE_LL" hidden="1">"c1123"</definedName>
    <definedName name="IQ_REV_BEFORE_LOAN_LOSS_FOREIGN_FFIEC" hidden="1">"c15381"</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REUT" hidden="1">"c5461"</definedName>
    <definedName name="IQ_REVENUE_EST" hidden="1">"c1126"</definedName>
    <definedName name="IQ_REVENUE_EST_1" hidden="1">"IQ_REVENUE_EST_1"</definedName>
    <definedName name="IQ_REVENUE_EST_BOTTOM_UP" hidden="1">"c5488"</definedName>
    <definedName name="IQ_REVENUE_EST_BOTTOM_UP_REUT" hidden="1">"c5496"</definedName>
    <definedName name="IQ_REVENUE_EST_REUT" hidden="1">"c3634"</definedName>
    <definedName name="IQ_REVENUE_GROWTH_1" hidden="1">"c155"</definedName>
    <definedName name="IQ_REVENUE_GROWTH_2" hidden="1">"c159"</definedName>
    <definedName name="IQ_REVENUE_GUIDANCE" hidden="1">"c4519"</definedName>
    <definedName name="IQ_REVENUE_HIGH_EST" hidden="1">"c1127"</definedName>
    <definedName name="IQ_REVENUE_HIGH_EST_REUT" hidden="1">"c3636"</definedName>
    <definedName name="IQ_REVENUE_HIGH_GUIDANCE" hidden="1">"c4169"</definedName>
    <definedName name="IQ_REVENUE_LOW_EST" hidden="1">"c1128"</definedName>
    <definedName name="IQ_REVENUE_LOW_EST_REUT" hidden="1">"c3637"</definedName>
    <definedName name="IQ_REVENUE_LOW_GUIDANCE" hidden="1">"c4209"</definedName>
    <definedName name="IQ_REVENUE_MEDIAN_EST" hidden="1">"c1662"</definedName>
    <definedName name="IQ_REVENUE_MEDIAN_EST_REUT" hidden="1">"c3635"</definedName>
    <definedName name="IQ_REVENUE_NO_EST" hidden="1">"c263"</definedName>
    <definedName name="IQ_REVENUE_NUM_EST" hidden="1">"c1129"</definedName>
    <definedName name="IQ_REVENUE_NUM_EST_REUT" hidden="1">"c3638"</definedName>
    <definedName name="IQ_REVISION_DATE_" hidden="1">38971.4766666667</definedName>
    <definedName name="IQ_REVOLVING_SECURED_1_4_NON_ACCRUAL_FFIEC" hidden="1">"c13314"</definedName>
    <definedName name="IQ_REVOLVING_SECURED_1_–4_NON_ACCRUAL_FFIEC" hidden="1">"c13314"</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DEPOSITS_NON_TRANS_ACCTS_FFIEC" hidden="1">"c15329"</definedName>
    <definedName name="IQ_SAVINGS_DEPOSITS_QUARTERLY_AVG_FFIEC" hidden="1">"c15485"</definedName>
    <definedName name="IQ_SEC_OTHER_NONFARM_NONRES_NON_ACCRUAL_FFIEC" hidden="1">"c15462"</definedName>
    <definedName name="IQ_SEC_OWNER_NONFARM_NONRES_NON_ACCRUAL_FFIEC" hidden="1">"c15461"</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STATE_POLI_SUBD_QUARTERLY_AVG_FFIEC" hidden="1">"c15470"</definedName>
    <definedName name="IQ_SECURITIES_UNDERWRITING_FDIC" hidden="1">"c6529"</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LEVEL_1_FFIEC" hidden="1">"c15432"</definedName>
    <definedName name="IQ_SUB_NOTES_DEBENTURES_LEVEL_2_FFIEC" hidden="1">"c15445"</definedName>
    <definedName name="IQ_SUB_NOTES_DEBENTURES_LEVEL_3_FFIEC" hidden="1">"c15458"</definedName>
    <definedName name="IQ_SURPLUS_FDIC" hidden="1">"c6351"</definedName>
    <definedName name="IQ_SVA" hidden="1">"c1214"</definedName>
    <definedName name="IQ_SYNTHETIC_STRUCTURED_PRODUCTS_AVAIL_SALE_FFIEC" hidden="1">"c15264"</definedName>
    <definedName name="IQ_SYNTHETIC_STRUCTURED_PRODUCTS_FFIEC" hidden="1">"c15261"</definedName>
    <definedName name="IQ_TARGET_PRICE_LASTCLOSE" hidden="1">"c1855"</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AIR_VALUE_TOT_FFIEC" hidden="1">"c15405"</definedName>
    <definedName name="IQ_TOTAL_ASSETS_FDIC" hidden="1">"c6339"</definedName>
    <definedName name="IQ_TOTAL_ASSETS_LEVEL_1_FFIEC" hidden="1">"c15427"</definedName>
    <definedName name="IQ_TOTAL_ASSETS_LEVEL_2_FFIEC" hidden="1">"c15440"</definedName>
    <definedName name="IQ_TOTAL_ASSETS_LEVEL_3_FFIEC" hidden="1">"c15453"</definedName>
    <definedName name="IQ_TOTAL_AVG_CE_TOTAL_AVG_ASSETS" hidden="1">"c1241"</definedName>
    <definedName name="IQ_TOTAL_AVG_EQUITY_TOTAL_AVG_ASSETS" hidden="1">"c1242"</definedName>
    <definedName name="IQ_TOTAL_BANK_CAPITAL" hidden="1">"c2668"</definedName>
    <definedName name="IQ_TOTAL_BROKERED_DEPOSIT_FFIEC" hidden="1">"c15304"</definedName>
    <definedName name="IQ_TOTAL_CA" hidden="1">"c1243"</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DOM_FFIEC" hidden="1">"c15313"</definedName>
    <definedName name="IQ_TOTAL_DEPOSITS_FDIC" hidden="1">"c6342"</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INCL_MINORITY_INTEREST_FFIEC" hidden="1">"c15278"</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AIR_VALUE_TOT_FFIEC" hidden="1">"c15411"</definedName>
    <definedName name="IQ_TOTAL_LIABILITIES_FDIC" hidden="1">"c6348"</definedName>
    <definedName name="IQ_TOTAL_LIABILITIES_LEVEL_1_FFIEC" hidden="1">"c15433"</definedName>
    <definedName name="IQ_TOTAL_LIABILITIES_LEVEL_2_FFIEC" hidden="1">"c15446"</definedName>
    <definedName name="IQ_TOTAL_LIABILITIES_LEVEL_3_FFIEC" hidden="1">"c15459"</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EVENUE_FOREIGN_FFIEC" hidden="1">"c15383"</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LIAB_FOREIGN_FFIEC" hidden="1">"c15296"</definedName>
    <definedName name="IQ_TOTAL_TRANS_ACCTS_FFIEC" hidden="1">"c15321"</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DING_REV_FOREIGN_FFIEC" hidden="1">"c15377"</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TREASURY_SECURITIES_FDIC" hidden="1">"c6298"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LOANS" hidden="1">"c15249"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1</definedName>
    <definedName name="IQB_BOOKMARK_LOCATION_0" hidden="1">#REF!</definedName>
    <definedName name="IQRA10" hidden="1">"$A$11:$A$262"</definedName>
    <definedName name="IQRA14" hidden="1">"$A$15:$A$99"</definedName>
    <definedName name="IQRA8" hidden="1">"$A$9:$A$763"</definedName>
    <definedName name="IQRA9" hidden="1">"$A$10:$A$46"</definedName>
    <definedName name="IQRAF17" hidden="1">"$AF$18:$AF$270"</definedName>
    <definedName name="IQRAP17" hidden="1">"$AP$18"</definedName>
    <definedName name="IQRAP89" hidden="1">"$AP$90"</definedName>
    <definedName name="IQRAQ17" hidden="1">"$AQ$18"</definedName>
    <definedName name="IQRAQ89" hidden="1">"$AQ$90"</definedName>
    <definedName name="IQRAR89" hidden="1">"$AR$90"</definedName>
    <definedName name="IQRAS17" hidden="1">"$AS$18:$AS$25"</definedName>
    <definedName name="IQRAS89" hidden="1">"$AS$90:$AS$93"</definedName>
    <definedName name="IQRAT17" hidden="1">"$AT$18:$AT$25"</definedName>
    <definedName name="IQRAT89" hidden="1">"$AT$90"</definedName>
    <definedName name="IQRAU17" hidden="1">"$AU$18"</definedName>
    <definedName name="IQRAV89" hidden="1">"$AV$90"</definedName>
    <definedName name="IQRAX89" hidden="1">"$AX$90"</definedName>
    <definedName name="IQRAZ17" hidden="1">"$AZ$18:$AZ$19"</definedName>
    <definedName name="IQRB11" hidden="1">"$B$12:$B$1616"</definedName>
    <definedName name="IQRB6" hidden="1">"$B$7:$B$258"</definedName>
    <definedName name="IQRB7" hidden="1">"$B$8:$B$103"</definedName>
    <definedName name="IQRB8" hidden="1">"$B$9:$B$262"</definedName>
    <definedName name="IQRBA17" hidden="1">"$BA$18"</definedName>
    <definedName name="IQRC8" hidden="1">"$C$9:$C$260"</definedName>
    <definedName name="IQRD32" hidden="1">"$D$33:$D$37"</definedName>
    <definedName name="IQRD33" hidden="1">"$D$34:$D$38"</definedName>
    <definedName name="IQRD34" hidden="1">"$D$35:$D$39"</definedName>
    <definedName name="IQRD35" hidden="1">"$D$36:$D$40"</definedName>
    <definedName name="IQRD36" hidden="1">"$D$37:$D$41"</definedName>
    <definedName name="IQRD37" hidden="1">"$D$38:$D$42"</definedName>
    <definedName name="IQRD38" hidden="1">"$D$39:$D$295"</definedName>
    <definedName name="IQRD39" hidden="1">"$D$40:$D$44"</definedName>
    <definedName name="IQRD40" hidden="1">"$D$41:$D$45"</definedName>
    <definedName name="IQRD41" hidden="1">"$D$42:$D$46"</definedName>
    <definedName name="IQRD42" hidden="1">"$D$43:$D$299"</definedName>
    <definedName name="IQRD43" hidden="1">"$D$44:$D$299"</definedName>
    <definedName name="IQRD44" hidden="1">"$D$45:$D$49"</definedName>
    <definedName name="IQRD45" hidden="1">"$D$46:$D$50"</definedName>
    <definedName name="IQRD46" hidden="1">"$D$47:$D$51"</definedName>
    <definedName name="IQRD48" hidden="1">"$D$49:$D$53"</definedName>
    <definedName name="IQRD49" hidden="1">"$D$50:$D$54"</definedName>
    <definedName name="IQRD50" hidden="1">"$D$51:$D$55"</definedName>
    <definedName name="IQRD51" hidden="1">"$D$52:$D$303"</definedName>
    <definedName name="IQRD52" hidden="1">"$D$53:$D$57"</definedName>
    <definedName name="IQRD53" hidden="1">"$D$54:$D$58"</definedName>
    <definedName name="IQRD54" hidden="1">"$D$55:$D$59"</definedName>
    <definedName name="IQRD55" hidden="1">"$D$56:$D$60"</definedName>
    <definedName name="IQRD56" hidden="1">"$D$57:$D$61"</definedName>
    <definedName name="IQRD57" hidden="1">"$D$58:$D$62"</definedName>
    <definedName name="IQRD58" hidden="1">"$D$59:$D$63"</definedName>
    <definedName name="IQRD59" hidden="1">"$D$60:$D$64"</definedName>
    <definedName name="IQRD60" hidden="1">"$D$61:$D$65"</definedName>
    <definedName name="IQRD61" hidden="1">"$D$62:$D$66"</definedName>
    <definedName name="IQRD62" hidden="1">"$D$63:$D$67"</definedName>
    <definedName name="IQRD63" hidden="1">"$D$64:$D$68"</definedName>
    <definedName name="IQRD64" hidden="1">"$D$65:$D$69"</definedName>
    <definedName name="IQRD65" hidden="1">"$D$66:$D$70"</definedName>
    <definedName name="IQRD66" hidden="1">"$D$67:$D$71"</definedName>
    <definedName name="IQRD67" hidden="1">"$D$68:$D$72"</definedName>
    <definedName name="IQRD68" hidden="1">"$D$69:$D$73"</definedName>
    <definedName name="IQRD69" hidden="1">"$D$70:$D$74"</definedName>
    <definedName name="IQRD70" hidden="1">"$D$71:$D$75"</definedName>
    <definedName name="IQRD71" hidden="1">"$D$72:$D$76"</definedName>
    <definedName name="IQRD72" hidden="1">"$D$73:$D$77"</definedName>
    <definedName name="IQRD73" hidden="1">"$D$74:$D$78"</definedName>
    <definedName name="IQRD74" hidden="1">"$D$75:$D$79"</definedName>
    <definedName name="IQRD75" hidden="1">"$D$76:$D$80"</definedName>
    <definedName name="IQRD76" hidden="1">"$D$77:$D$81"</definedName>
    <definedName name="IQRD77" hidden="1">"$D$78:$D$82"</definedName>
    <definedName name="IQRD78" hidden="1">"$D$79:$D$83"</definedName>
    <definedName name="IQRD79" hidden="1">"$D$80:$D$84"</definedName>
    <definedName name="IQRD80" hidden="1">"$D$81:$D$85"</definedName>
    <definedName name="IQRD81" hidden="1">"$D$82:$D$86"</definedName>
    <definedName name="IQRD82" hidden="1">"$D$83:$D$87"</definedName>
    <definedName name="IQRD83" hidden="1">"$D$84:$D$88"</definedName>
    <definedName name="IQRD84" hidden="1">"$D$85:$D$89"</definedName>
    <definedName name="IQRD85" hidden="1">"$D$86:$D$90"</definedName>
    <definedName name="IQRD86" hidden="1">"$D$87:$D$91"</definedName>
    <definedName name="IQRD87" hidden="1">"$D$88:$D$92"</definedName>
    <definedName name="IQRD88" hidden="1">"$D$89:$D$93"</definedName>
    <definedName name="IQRD89" hidden="1">"$D$90:$D$94"</definedName>
    <definedName name="IQRD90" hidden="1">"$D$91:$D$95"</definedName>
    <definedName name="IQRD91" hidden="1">"$D$92:$D$96"</definedName>
    <definedName name="IQRD92" hidden="1">"$D$93:$D$97"</definedName>
    <definedName name="IQRD93" hidden="1">"$D$94:$D$98"</definedName>
    <definedName name="IQRD94" hidden="1">"$D$95:$D$99"</definedName>
    <definedName name="IQRD95" hidden="1">"$D$96:$D$100"</definedName>
    <definedName name="IQRD96" hidden="1">"$D$97:$D$101"</definedName>
    <definedName name="IQRD97" hidden="1">"$D$98:$D$102"</definedName>
    <definedName name="IQRD98" hidden="1">"$D$99:$D$103"</definedName>
    <definedName name="IQRE10" hidden="1">"$E$11:$E$15"</definedName>
    <definedName name="IQRE11" hidden="1">"$E$12:$E$16"</definedName>
    <definedName name="IQRE12" hidden="1">"$E$13:$E$17"</definedName>
    <definedName name="IQRE13" hidden="1">"$E$14:$E$18"</definedName>
    <definedName name="IQRE14" hidden="1">"$E$15:$E$19"</definedName>
    <definedName name="IQRE15" hidden="1">"$E$16:$E$20"</definedName>
    <definedName name="IQRE16" hidden="1">"$E$17:$E$18"</definedName>
    <definedName name="IQRE7" hidden="1">"$E$8:$E$12"</definedName>
    <definedName name="IQRE8" hidden="1">"$E$9:$E$13"</definedName>
    <definedName name="IQRE9" hidden="1">"$E$10:$E$14"</definedName>
    <definedName name="IQRF12" hidden="1">"$F$13:$F$17"</definedName>
    <definedName name="IQRF13" hidden="1">"$F$14:$F$18"</definedName>
    <definedName name="IQRF14" hidden="1">"$F$15:$F$19"</definedName>
    <definedName name="IQRF15" hidden="1">"$F$16:$F$20"</definedName>
    <definedName name="IQRF16" hidden="1">"$F$17:$F$21"</definedName>
    <definedName name="IQRF17" hidden="1">"$F$18:$F$22"</definedName>
    <definedName name="IQRF18" hidden="1">"$F$19:$F$23"</definedName>
    <definedName name="IQRF19" hidden="1">"$F$20:$F$24"</definedName>
    <definedName name="IQRF20" hidden="1">"$F$21:$F$25"</definedName>
    <definedName name="IQRF21" hidden="1">"$F$22:$F$23"</definedName>
    <definedName name="IQRG26" hidden="1">"$G$27:$G$31"</definedName>
    <definedName name="IQRI2" hidden="1">"$I$3:$I$264"</definedName>
    <definedName name="IQRJ8" hidden="1">"$J$9:$J$260"</definedName>
    <definedName name="IQRK8" hidden="1">"$K$9:$K$261"</definedName>
    <definedName name="IQRM67" hidden="1">"$M$68:$M$320"</definedName>
    <definedName name="IQRM68" hidden="1">"$M$69:$M$321"</definedName>
    <definedName name="IQRM69" hidden="1">"$M$70:$M$322"</definedName>
    <definedName name="IQRM70" hidden="1">"$M$71:$M$323"</definedName>
    <definedName name="IQRO9" hidden="1">"$O$10"</definedName>
    <definedName name="IQRP9" hidden="1">"$P$10:$P$64"</definedName>
    <definedName name="IQRQ35" hidden="1">"$Q$36:$Q$227"</definedName>
    <definedName name="IQRR67" hidden="1">"$R$68:$R$320"</definedName>
    <definedName name="IQRS68" hidden="1">"$S$69:$S$321"</definedName>
    <definedName name="Jeep" localSheetId="1" hidden="1">{"overall",#N/A,FALSE,"Taylor";"Jul24Sum",#N/A,FALSE,"Finance";"Jul24COS",#N/A,FALSE,"Finance";"Jul24C3",#N/A,FALSE,"Finance";"jul24tax&amp;debtcalcs",#N/A,FALSE,"Finance";"jeepsum",#N/A,FALSE,"Finance";"taysum1",#N/A,FALSE,"Taylor";"BS",#N/A,FALSE,"Taylor";"backup",#N/A,FALSE,"Taylor";"jeepop",#N/A,FALSE,"Operating costs"}</definedName>
    <definedName name="Jeep" hidden="1">{"overall",#N/A,FALSE,"Taylor";"Jul24Sum",#N/A,FALSE,"Finance";"Jul24COS",#N/A,FALSE,"Finance";"Jul24C3",#N/A,FALSE,"Finance";"jul24tax&amp;debtcalcs",#N/A,FALSE,"Finance";"jeepsum",#N/A,FALSE,"Finance";"taysum1",#N/A,FALSE,"Taylor";"BS",#N/A,FALSE,"Taylor";"backup",#N/A,FALSE,"Taylor";"jeepop",#N/A,FALSE,"Operating costs"}</definedName>
    <definedName name="ListOffset" hidden="1">1</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__"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_PlaceofPath" hidden="1">"F:\MREGAN\win\EXL\CO\HVAC\WLV\WLV_vdf.xls"</definedName>
    <definedName name="MLNK0c9445f2645d4a1093dbe137a2574261" hidden="1">#REF!</definedName>
    <definedName name="MLNK39324e12ea41496aa030b0a5d2cd4844" hidden="1">#REF!</definedName>
    <definedName name="MLNK430769720e454fd2a44b2e97b9b1d09e" hidden="1">#REF!</definedName>
    <definedName name="MLNK7c324a6d604349da9cf8ffb1c22b8c82" hidden="1">#REF!</definedName>
    <definedName name="MLNKc56fd6ce82704d1dae96810cfbcecb05" hidden="1">#REF!</definedName>
    <definedName name="MLNKce70daba1d3c440e94a6e8ebd0809296" hidden="1">#REF!</definedName>
    <definedName name="MLNKd7ea5fc1d5ba4187aae5345e775f20ab" hidden="1">#REF!</definedName>
    <definedName name="MLNKde3e725730d44f498290c34986afa042" hidden="1">#REF!</definedName>
    <definedName name="MLNKe67864e4353e4c1687a89fc2aa54e040" hidden="1">#REF!</definedName>
    <definedName name="MLNKff48372a8aa1404baba3a00b1f000f31" hidden="1">#REF!</definedName>
    <definedName name="oldkey1" hidden="1">#REF!</definedName>
    <definedName name="oldsort" hidden="1">#REF!</definedName>
    <definedName name="P11P12P13" hidden="1">#REF!</definedName>
    <definedName name="PriceRange" hidden="1">#N/A</definedName>
    <definedName name="PriceRangeMain" hidden="1">#REF!</definedName>
    <definedName name="_xlnm.Print_Area" localSheetId="1">'Financials from CIP'!$A$2:$G$82</definedName>
    <definedName name="_xlnm.Print_Area" localSheetId="2">'Step 1'!$A$1:$M$77</definedName>
    <definedName name="_xlnm.Print_Area" localSheetId="3">'Step 1 Answer Key'!$A$1:$M$77</definedName>
    <definedName name="_xlnm.Print_Area" localSheetId="4">'Step 2'!$A$1:$M$90</definedName>
    <definedName name="_xlnm.Print_Area" localSheetId="5">'Step 2 Answer Key'!$A$1:$M$90</definedName>
    <definedName name="_xlnm.Print_Area" localSheetId="6">'Step 3'!$A$1:$M$90</definedName>
    <definedName name="REP7P01" hidden="1">#REF!</definedName>
    <definedName name="REP7P02" hidden="1">#REF!</definedName>
    <definedName name="REP7P03" hidden="1">#REF!</definedName>
    <definedName name="ReportGroup" hidden="1">6</definedName>
    <definedName name="SAPBEXdnldView" hidden="1">"48D4APZ6RE52FPA89IW8VMM22"</definedName>
    <definedName name="SAPBEXrevision" hidden="1">1</definedName>
    <definedName name="SAPBEXsysID" hidden="1">"BWP"</definedName>
    <definedName name="SAPBEXwbID" hidden="1">"3MIIGAE7VHTLTPJLQTSR9TQD9"</definedName>
    <definedName name="sencount" hidden="1">2</definedName>
    <definedName name="solver_adj" hidden="1">#REF!</definedName>
    <definedName name="solver_lhs1" hidden="1">#REF!</definedName>
    <definedName name="solver_lin" hidden="1">0</definedName>
    <definedName name="solver_num" hidden="1">1</definedName>
    <definedName name="solver_opt" hidden="1">#REF!</definedName>
    <definedName name="solver_rel1" hidden="1">1</definedName>
    <definedName name="solver_rhs1" hidden="1">0.15</definedName>
    <definedName name="solver_tmp" hidden="1">0.15</definedName>
    <definedName name="solver_typ" hidden="1">3</definedName>
    <definedName name="solver_val" hidden="1">0.25</definedName>
    <definedName name="SuppressPressed" hidden="1">FALSE</definedName>
    <definedName name="TextRefCopyRangeCount" hidden="1">13</definedName>
    <definedName name="Val" hidden="1">39273.5911689815</definedName>
    <definedName name="VersionNumber" hidden="1">"4.8.6710"</definedName>
    <definedName name="VI7_AxisOffset" localSheetId="2" hidden="1">_xll.ContributionAxisOffset(#REF!,#REF!,#REF!,0)</definedName>
    <definedName name="VI7_AxisOffset" localSheetId="3" hidden="1">_xll.ContributionAxisOffset(#REF!,#REF!,#REF!,0)</definedName>
    <definedName name="VI7_AxisOffset" localSheetId="4" hidden="1">_xll.ContributionAxisOffset(#REF!,#REF!,#REF!,0)</definedName>
    <definedName name="VI7_AxisOffset" localSheetId="5" hidden="1">_xll.ContributionAxisOffset(#REF!,#REF!,#REF!,0)</definedName>
    <definedName name="VI7_AxisOffset" localSheetId="6" hidden="1">_xll.ContributionAxisOffset(#REF!,#REF!,#REF!,0)</definedName>
    <definedName name="VI7_AxisOffset" hidden="1">_xll.ContributionAxisOffset(#REF!,#REF!,#REF!,0)</definedName>
    <definedName name="VI7_BaseColumn" hidden="1">"#NA"</definedName>
    <definedName name="VI7_CategoriesClass1" hidden="1">#REF!</definedName>
    <definedName name="VI7_CategoriesColumn" hidden="1">#REF!</definedName>
    <definedName name="VI7_ComparisonColumn1" hidden="1">#REF!</definedName>
    <definedName name="VI7_Cumulative" localSheetId="2" hidden="1">_xll.ContributionCumulative(#REF!,#REF!,#REF!)</definedName>
    <definedName name="VI7_Cumulative" localSheetId="3" hidden="1">_xll.ContributionCumulative(#REF!,#REF!,#REF!)</definedName>
    <definedName name="VI7_Cumulative" localSheetId="4" hidden="1">_xll.ContributionCumulative(#REF!,#REF!,#REF!)</definedName>
    <definedName name="VI7_Cumulative" localSheetId="5" hidden="1">_xll.ContributionCumulative(#REF!,#REF!,#REF!)</definedName>
    <definedName name="VI7_Cumulative" localSheetId="6" hidden="1">_xll.ContributionCumulative(#REF!,#REF!,#REF!)</definedName>
    <definedName name="VI7_Cumulative" hidden="1">_xll.ContributionCumulative(#REF!,#REF!,#REF!)</definedName>
    <definedName name="VI7_Difference1CalculatedIndex1" localSheetId="2" hidden="1">_xll.DifferenceCalculatedIndex(#REF!,#REF!,#REF!,#REF!)</definedName>
    <definedName name="VI7_Difference1CalculatedIndex1" localSheetId="3" hidden="1">_xll.DifferenceCalculatedIndex(#REF!,#REF!,#REF!,#REF!)</definedName>
    <definedName name="VI7_Difference1CalculatedIndex1" localSheetId="4" hidden="1">_xll.DifferenceCalculatedIndex(#REF!,#REF!,#REF!,#REF!)</definedName>
    <definedName name="VI7_Difference1CalculatedIndex1" localSheetId="5" hidden="1">_xll.DifferenceCalculatedIndex(#REF!,#REF!,#REF!,#REF!)</definedName>
    <definedName name="VI7_Difference1CalculatedIndex1" localSheetId="6" hidden="1">_xll.DifferenceCalculatedIndex(#REF!,#REF!,#REF!,#REF!)</definedName>
    <definedName name="VI7_Difference1CalculatedIndex1" hidden="1">_xll.DifferenceCalculatedIndex(#REF!,#REF!,#REF!,#REF!)</definedName>
    <definedName name="VI7_Difference1CalculatedIndex2" localSheetId="2" hidden="1">_xll.DifferenceCalculatedIndex(#REF!,#REF!,#REF!,#REF!)</definedName>
    <definedName name="VI7_Difference1CalculatedIndex2" localSheetId="3" hidden="1">_xll.DifferenceCalculatedIndex(#REF!,#REF!,#REF!,#REF!)</definedName>
    <definedName name="VI7_Difference1CalculatedIndex2" localSheetId="4" hidden="1">_xll.DifferenceCalculatedIndex(#REF!,#REF!,#REF!,#REF!)</definedName>
    <definedName name="VI7_Difference1CalculatedIndex2" localSheetId="5" hidden="1">_xll.DifferenceCalculatedIndex(#REF!,#REF!,#REF!,#REF!)</definedName>
    <definedName name="VI7_Difference1CalculatedIndex2" localSheetId="6" hidden="1">_xll.DifferenceCalculatedIndex(#REF!,#REF!,#REF!,#REF!)</definedName>
    <definedName name="VI7_Difference1CalculatedIndex2" hidden="1">_xll.DifferenceCalculatedIndex(#REF!,#REF!,#REF!,#REF!)</definedName>
    <definedName name="VI7_Difference1Category1" hidden="1">"FY16"</definedName>
    <definedName name="VI7_Difference1Category2" hidden="1">"FY17"</definedName>
    <definedName name="VI7_Difference1Index1" hidden="1">1</definedName>
    <definedName name="VI7_Difference1Index2" hidden="1">1</definedName>
    <definedName name="VI7_Difference1LabelY1" localSheetId="2" hidden="1">_xll.ContributionDifferenceY(#REF!,#REF!,0,0,0)</definedName>
    <definedName name="VI7_Difference1LabelY1" localSheetId="3" hidden="1">_xll.ContributionDifferenceY(#REF!,#REF!,0,0,0)</definedName>
    <definedName name="VI7_Difference1LabelY1" localSheetId="4" hidden="1">_xll.ContributionDifferenceY(#REF!,#REF!,0,0,0)</definedName>
    <definedName name="VI7_Difference1LabelY1" localSheetId="5" hidden="1">_xll.ContributionDifferenceY(#REF!,#REF!,0,0,0)</definedName>
    <definedName name="VI7_Difference1LabelY1" localSheetId="6" hidden="1">_xll.ContributionDifferenceY(#REF!,#REF!,0,0,0)</definedName>
    <definedName name="VI7_Difference1LabelY1" hidden="1">_xll.ContributionDifferenceY(#REF!,#REF!,0,0,0)</definedName>
    <definedName name="VI7_Difference1LabelY2" localSheetId="2" hidden="1">_xll.ContributionDifferenceY(#REF!,#REF!,0,0,0)</definedName>
    <definedName name="VI7_Difference1LabelY2" localSheetId="3" hidden="1">_xll.ContributionDifferenceY(#REF!,#REF!,0,0,0)</definedName>
    <definedName name="VI7_Difference1LabelY2" localSheetId="4" hidden="1">_xll.ContributionDifferenceY(#REF!,#REF!,0,0,0)</definedName>
    <definedName name="VI7_Difference1LabelY2" localSheetId="5" hidden="1">_xll.ContributionDifferenceY(#REF!,#REF!,0,0,0)</definedName>
    <definedName name="VI7_Difference1LabelY2" localSheetId="6" hidden="1">_xll.ContributionDifferenceY(#REF!,#REF!,0,0,0)</definedName>
    <definedName name="VI7_Difference1LabelY2" hidden="1">_xll.ContributionDifferenceY(#REF!,#REF!,0,0,0)</definedName>
    <definedName name="VI7_LabelOffsetMax" localSheetId="2" hidden="1">_xll.LabelOffset(#REF!,#REF!,204,10,"$#,##0.0",1,0,0)</definedName>
    <definedName name="VI7_LabelOffsetMax" localSheetId="3" hidden="1">_xll.LabelOffset(#REF!,#REF!,204,10,"$#,##0.0",1,0,0)</definedName>
    <definedName name="VI7_LabelOffsetMax" localSheetId="4" hidden="1">_xll.LabelOffset(#REF!,#REF!,204,10,"$#,##0.0",1,0,0)</definedName>
    <definedName name="VI7_LabelOffsetMax" localSheetId="5" hidden="1">_xll.LabelOffset(#REF!,#REF!,204,10,"$#,##0.0",1,0,0)</definedName>
    <definedName name="VI7_LabelOffsetMax" localSheetId="6" hidden="1">_xll.LabelOffset(#REF!,#REF!,204,10,"$#,##0.0",1,0,0)</definedName>
    <definedName name="VI7_LabelOffsetMax" hidden="1">_xll.LabelOffset(#REF!,#REF!,204,10,"$#,##0.0",1,0,0)</definedName>
    <definedName name="VI7_LabelOffsetMin" localSheetId="2" hidden="1">_xll.LabelOffset(#REF!,#REF!,204,10,"$#,##0.0",0,0,0)</definedName>
    <definedName name="VI7_LabelOffsetMin" localSheetId="3" hidden="1">_xll.LabelOffset(#REF!,#REF!,204,10,"$#,##0.0",0,0,0)</definedName>
    <definedName name="VI7_LabelOffsetMin" localSheetId="4" hidden="1">_xll.LabelOffset(#REF!,#REF!,204,10,"$#,##0.0",0,0,0)</definedName>
    <definedName name="VI7_LabelOffsetMin" localSheetId="5" hidden="1">_xll.LabelOffset(#REF!,#REF!,204,10,"$#,##0.0",0,0,0)</definedName>
    <definedName name="VI7_LabelOffsetMin" localSheetId="6" hidden="1">_xll.LabelOffset(#REF!,#REF!,204,10,"$#,##0.0",0,0,0)</definedName>
    <definedName name="VI7_LabelOffsetMin" hidden="1">_xll.LabelOffset(#REF!,#REF!,204,10,"$#,##0.0",0,0,0)</definedName>
    <definedName name="VI7_Max" localSheetId="2" hidden="1">_xll.MaxFromSeriesWithBreak(#REF!,#REF!,0)</definedName>
    <definedName name="VI7_Max" localSheetId="3" hidden="1">_xll.MaxFromSeriesWithBreak(#REF!,#REF!,0)</definedName>
    <definedName name="VI7_Max" localSheetId="4" hidden="1">_xll.MaxFromSeriesWithBreak(#REF!,#REF!,0)</definedName>
    <definedName name="VI7_Max" localSheetId="5" hidden="1">_xll.MaxFromSeriesWithBreak(#REF!,#REF!,0)</definedName>
    <definedName name="VI7_Max" localSheetId="6" hidden="1">_xll.MaxFromSeriesWithBreak(#REF!,#REF!,0)</definedName>
    <definedName name="VI7_Max" hidden="1">_xll.MaxFromSeriesWithBreak(#REF!,#REF!,0)</definedName>
    <definedName name="VI7_Min" localSheetId="2" hidden="1">_xll.MinFromSeries(#REF!)</definedName>
    <definedName name="VI7_Min" localSheetId="3" hidden="1">_xll.MinFromSeries(#REF!)</definedName>
    <definedName name="VI7_Min" localSheetId="4" hidden="1">_xll.MinFromSeries(#REF!)</definedName>
    <definedName name="VI7_Min" localSheetId="5" hidden="1">_xll.MinFromSeries(#REF!)</definedName>
    <definedName name="VI7_Min" localSheetId="6" hidden="1">_xll.MinFromSeries(#REF!)</definedName>
    <definedName name="VI7_Min" hidden="1">_xll.MinFromSeries(#REF!)</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pple." hidden="1">{#N/A,#N/A,FALSE,"Quarterlies";#N/A,#N/A,FALSE,"Annual";#N/A,#N/A,FALSE,"Balance";#N/A,#N/A,FALSE,"Cash Flow";#N/A,#N/A,FALSE,"Store Openings";#N/A,#N/A,FALSE,"Comps"}</definedName>
    <definedName name="wrn.Cracker." hidden="1">{#N/A,#N/A,FALSE,"Quarts";#N/A,#N/A,FALSE,"Annual";#N/A,#N/A,FALSE,"Balance";#N/A,#N/A,FALSE,"Cash Flow";#N/A,#N/A,FALSE,"Comps";#N/A,#N/A,FALSE,"Stores"}</definedName>
    <definedName name="wrn.Darden." hidden="1">{#N/A,#N/A,FALSE,"Annual";#N/A,#N/A,FALSE,"Balance";#N/A,#N/A,FALSE,"Stores"}</definedName>
    <definedName name="wrn.IND." hidden="1">{#N/A,#N/A,FALSE,"Cover 1";#N/A,#N/A,FALSE,"APPB";#N/A,#N/A,FALSE,"BOBE";#N/A,#N/A,FALSE,"EAT";#N/A,#N/A,FALSE,"CBRL";#N/A,#N/A,FALSE,"DRI";#N/A,#N/A,FALSE,"MCD";#N/A,#N/A,FALSE,"RI";#N/A,#N/A,FALSE,"WEN"}</definedName>
    <definedName name="wrn.jeep." localSheetId="1" hidden="1">{"taysum1",#N/A,FALSE,"Taylor";"jeepsum1",#N/A,FALSE,"Finance";"BS",#N/A,FALSE,"Taylor";"Tay",#N/A,FALSE,"Taylor";"ConsolLoan",#N/A,FALSE,"Taylor";"Jeep1",#N/A,FALSE,"Finance";"Jeep2",#N/A,FALSE,"Finance";"jeep3",#N/A,FALSE,"Finance";"jeep4",#N/A,FALSE,"Finance";"Jeepprod",#N/A,FALSE,"Production";"jeepop",#N/A,FALSE,"Operating costs"}</definedName>
    <definedName name="wrn.jeep." hidden="1">{"taysum1",#N/A,FALSE,"Taylor";"jeepsum1",#N/A,FALSE,"Finance";"BS",#N/A,FALSE,"Taylor";"Tay",#N/A,FALSE,"Taylor";"ConsolLoan",#N/A,FALSE,"Taylor";"Jeep1",#N/A,FALSE,"Finance";"Jeep2",#N/A,FALSE,"Finance";"jeep3",#N/A,FALSE,"Finance";"jeep4",#N/A,FALSE,"Finance";"Jeepprod",#N/A,FALSE,"Production";"jeepop",#N/A,FALSE,"Operating costs"}</definedName>
    <definedName name="wrn.jeepJul24." localSheetId="1" hidden="1">{"overall",#N/A,FALSE,"Taylor";"Jul24Sum",#N/A,FALSE,"Finance";"Jul24COS",#N/A,FALSE,"Finance";"Jul24C3",#N/A,FALSE,"Finance";"jul24tax&amp;debtcalcs",#N/A,FALSE,"Finance";"jeepsum",#N/A,FALSE,"Finance";"taysum1",#N/A,FALSE,"Taylor";"BS",#N/A,FALSE,"Taylor";"backup",#N/A,FALSE,"Taylor";"jeepop",#N/A,FALSE,"Operating costs"}</definedName>
    <definedName name="wrn.jeepJul24." hidden="1">{"overall",#N/A,FALSE,"Taylor";"Jul24Sum",#N/A,FALSE,"Finance";"Jul24COS",#N/A,FALSE,"Finance";"Jul24C3",#N/A,FALSE,"Finance";"jul24tax&amp;debtcalcs",#N/A,FALSE,"Finance";"jeepsum",#N/A,FALSE,"Finance";"taysum1",#N/A,FALSE,"Taylor";"BS",#N/A,FALSE,"Taylor";"backup",#N/A,FALSE,"Taylor";"jeepop",#N/A,FALSE,"Operating costs"}</definedName>
    <definedName name="wrn.Morrison." hidden="1">{#N/A,#N/A,FALSE,"Quarts";#N/A,#N/A,FALSE,"Annual";#N/A,#N/A,FALSE,"Balance";#N/A,#N/A,FALSE,"Cash Flow";#N/A,#N/A,FALSE,"Store Openings"}</definedName>
    <definedName name="wrn.Wendy." hidden="1">{#N/A,#N/A,FALSE,"Quarts";#N/A,#N/A,FALSE,"Annual";#N/A,#N/A,FALSE,"Cash Flow";#N/A,#N/A,FALSE,"Dividends";#N/A,#N/A,FALSE,"Stats"}</definedName>
    <definedName name="xdif_ActivateOnOpen" hidden="1">TRUE</definedName>
    <definedName name="xdif_AutomationClearCache" hidden="1">TRUE</definedName>
    <definedName name="xdif_AutomationCreateFolderStructure" hidden="1">FALSE</definedName>
    <definedName name="xdif_AutomationDropFormulas" hidden="1">"DropIncludingOtherWorkbookFormulas"</definedName>
    <definedName name="xdif_AutomationEmailSubject" hidden="1">"Automated workbook email from SmartView"</definedName>
    <definedName name="xdif_AutomationIgnoreHiddenRows" hidden="1">TRUE</definedName>
    <definedName name="xdif_AutomationMode" hidden="1">"AutomationSheet"</definedName>
    <definedName name="xdif_AutomationProtection" hidden="1">FALSE</definedName>
    <definedName name="xdif_AutomationRange" hidden="1">#REF!</definedName>
    <definedName name="xdif_AutomationSuppressZeros" hidden="1">TRUE</definedName>
    <definedName name="xdif_AutomationType01" hidden="1">"MultipleSheets"</definedName>
    <definedName name="xdif_AutomationType02" hidden="1">"SingleSheet"</definedName>
    <definedName name="xdif_AutomationUpdateLists" hidden="1">FALSE</definedName>
    <definedName name="xdif_RefreshIncludeLists" hidden="1">FALSE</definedName>
    <definedName name="xdif_RefreshOnOpen" hidden="1">FALSE</definedName>
    <definedName name="xdif_SheetToAutomate01" hidden="1">#REF!</definedName>
    <definedName name="xdif_SheetToAutomate02" hidden="1">#REF!</definedName>
    <definedName name="xdifExcludeHiddenBudgetUpload" hidden="1">TRUE</definedName>
    <definedName name="xdifSelectedSheetsBudgetUpload" localSheetId="1" hidden="1">{"BK Brand Summary"}</definedName>
    <definedName name="xdifSelectedSheetsBudgetUpload" hidden="1">{"BK Brand Summary"}</definedName>
    <definedName name="xjey1" hidden="1">#REF!</definedName>
    <definedName name="XREF_COLUMN_1" hidden="1">#REF!</definedName>
    <definedName name="XREF_COLUMN_12" hidden="1">#REF!</definedName>
    <definedName name="XREF_COLUMN_13" hidden="1">#REF!</definedName>
    <definedName name="XREF_COLUMN_2" hidden="1">#REF!</definedName>
    <definedName name="XREF_COLUMN_22" hidden="1">#REF!</definedName>
    <definedName name="XREF_COLUMN_3" hidden="1">#REF!</definedName>
    <definedName name="XREF_COLUMN_4" hidden="1">#REF!</definedName>
    <definedName name="XRefActiveRow" hidden="1">#REF!</definedName>
    <definedName name="XRefColumnsCount" hidden="1">1</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8" hidden="1">#REF!</definedName>
    <definedName name="XRefCopy8Row" hidden="1">#REF!</definedName>
    <definedName name="XRefCopy9" hidden="1">#REF!</definedName>
    <definedName name="XRefCopy9Row" hidden="1">#REF!</definedName>
    <definedName name="XRefCopyRangeCount" hidden="1">1</definedName>
    <definedName name="XRefPaste1" hidden="1">#REF!</definedName>
    <definedName name="XRefPaste12Row" hidden="1">#REF!</definedName>
    <definedName name="XRefPaste17Row" hidden="1">#REF!</definedName>
    <definedName name="XRefPaste18"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11</definedName>
    <definedName name="xsort2" hidden="1">#REF!</definedName>
    <definedName name="xxxxxx" localSheetId="1" hidden="1">{"taysum1",#N/A,FALSE,"Taylor";"jeepsum1",#N/A,FALSE,"Finance";"BS",#N/A,FALSE,"Taylor";"Tay",#N/A,FALSE,"Taylor";"ConsolLoan",#N/A,FALSE,"Taylor";"Jeep1",#N/A,FALSE,"Finance";"Jeep2",#N/A,FALSE,"Finance";"jeep3",#N/A,FALSE,"Finance";"jeep4",#N/A,FALSE,"Finance";"Jeepprod",#N/A,FALSE,"Production";"jeepop",#N/A,FALSE,"Operating costs"}</definedName>
    <definedName name="xxxxxx" hidden="1">{"taysum1",#N/A,FALSE,"Taylor";"jeepsum1",#N/A,FALSE,"Finance";"BS",#N/A,FALSE,"Taylor";"Tay",#N/A,FALSE,"Taylor";"ConsolLoan",#N/A,FALSE,"Taylor";"Jeep1",#N/A,FALSE,"Finance";"Jeep2",#N/A,FALSE,"Finance";"jeep3",#N/A,FALSE,"Finance";"jeep4",#N/A,FALSE,"Finance";"Jeepprod",#N/A,FALSE,"Production";"jeepop",#N/A,FALSE,"Operating costs"}</definedName>
    <definedName name="yyyyyy" localSheetId="1" hidden="1">{"overall",#N/A,FALSE,"Taylor";"Jul24Sum",#N/A,FALSE,"Finance";"Jul24COS",#N/A,FALSE,"Finance";"Jul24C3",#N/A,FALSE,"Finance";"jul24tax&amp;debtcalcs",#N/A,FALSE,"Finance";"jeepsum",#N/A,FALSE,"Finance";"taysum1",#N/A,FALSE,"Taylor";"BS",#N/A,FALSE,"Taylor";"backup",#N/A,FALSE,"Taylor";"jeepop",#N/A,FALSE,"Operating costs"}</definedName>
    <definedName name="yyyyyy" hidden="1">{"overall",#N/A,FALSE,"Taylor";"Jul24Sum",#N/A,FALSE,"Finance";"Jul24COS",#N/A,FALSE,"Finance";"Jul24C3",#N/A,FALSE,"Finance";"jul24tax&amp;debtcalcs",#N/A,FALSE,"Finance";"jeepsum",#N/A,FALSE,"Finance";"taysum1",#N/A,FALSE,"Taylor";"BS",#N/A,FALSE,"Taylor";"backup",#N/A,FALSE,"Taylor";"jeepop",#N/A,FALSE,"Operating costs"}</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9" i="7" l="1"/>
  <c r="C119" i="7"/>
  <c r="H87" i="7"/>
  <c r="G86" i="7"/>
  <c r="F86" i="7"/>
  <c r="G85" i="7"/>
  <c r="F85" i="7"/>
  <c r="K84" i="7"/>
  <c r="K87" i="7" s="1"/>
  <c r="G83" i="7"/>
  <c r="F83" i="7"/>
  <c r="L82" i="7"/>
  <c r="K82" i="7"/>
  <c r="J82" i="7"/>
  <c r="J84" i="7" s="1"/>
  <c r="J87" i="7" s="1"/>
  <c r="I82" i="7"/>
  <c r="H82" i="7"/>
  <c r="H84" i="7" s="1"/>
  <c r="G81" i="7"/>
  <c r="F81" i="7"/>
  <c r="G80" i="7"/>
  <c r="F80" i="7"/>
  <c r="G79" i="7"/>
  <c r="F79" i="7"/>
  <c r="G78" i="7"/>
  <c r="F78" i="7"/>
  <c r="F82" i="7" s="1"/>
  <c r="L77" i="7"/>
  <c r="L84" i="7" s="1"/>
  <c r="L87" i="7" s="1"/>
  <c r="K77" i="7"/>
  <c r="J77" i="7"/>
  <c r="I77" i="7"/>
  <c r="H77" i="7"/>
  <c r="G76" i="7"/>
  <c r="F76" i="7"/>
  <c r="G75" i="7"/>
  <c r="F75" i="7"/>
  <c r="G74" i="7"/>
  <c r="F74" i="7"/>
  <c r="F77" i="7" s="1"/>
  <c r="K70" i="7"/>
  <c r="J70" i="7"/>
  <c r="G69" i="7"/>
  <c r="F69" i="7"/>
  <c r="L67" i="7"/>
  <c r="K67" i="7"/>
  <c r="J67" i="7"/>
  <c r="I67" i="7"/>
  <c r="H67" i="7"/>
  <c r="G67" i="7"/>
  <c r="D119" i="7" s="1"/>
  <c r="G119" i="7" s="1"/>
  <c r="H119" i="7" s="1"/>
  <c r="F67" i="7"/>
  <c r="L64" i="7"/>
  <c r="L70" i="7" s="1"/>
  <c r="K64" i="7"/>
  <c r="J64" i="7"/>
  <c r="I64" i="7"/>
  <c r="I70" i="7" s="1"/>
  <c r="H64" i="7"/>
  <c r="G63" i="7"/>
  <c r="F63" i="7"/>
  <c r="G62" i="7"/>
  <c r="F62" i="7"/>
  <c r="G61" i="7"/>
  <c r="F61" i="7"/>
  <c r="G60" i="7"/>
  <c r="G100" i="7" s="1"/>
  <c r="F60" i="7"/>
  <c r="F100" i="7" s="1"/>
  <c r="G56" i="7"/>
  <c r="F56" i="7" s="1"/>
  <c r="G32" i="7"/>
  <c r="F32" i="7"/>
  <c r="G30" i="7"/>
  <c r="F30" i="7"/>
  <c r="L29" i="7"/>
  <c r="K29" i="7"/>
  <c r="J29" i="7"/>
  <c r="I29" i="7"/>
  <c r="H29" i="7"/>
  <c r="G29" i="7"/>
  <c r="F29" i="7"/>
  <c r="C28" i="7"/>
  <c r="C27" i="7"/>
  <c r="C26" i="7"/>
  <c r="G21" i="7"/>
  <c r="H21" i="7" s="1"/>
  <c r="I21" i="7" s="1"/>
  <c r="J21" i="7" s="1"/>
  <c r="K21" i="7" s="1"/>
  <c r="L21" i="7" s="1"/>
  <c r="F21" i="7"/>
  <c r="G20" i="7"/>
  <c r="F20" i="7"/>
  <c r="G17" i="7"/>
  <c r="F17" i="7"/>
  <c r="G14" i="7"/>
  <c r="F14" i="7"/>
  <c r="H11" i="7"/>
  <c r="F11" i="7"/>
  <c r="C119" i="6"/>
  <c r="H117" i="6"/>
  <c r="C120" i="6" s="1"/>
  <c r="G100" i="6"/>
  <c r="F100" i="6"/>
  <c r="G86" i="6"/>
  <c r="F86" i="6"/>
  <c r="G85" i="6"/>
  <c r="F85" i="6"/>
  <c r="F105" i="6" s="1"/>
  <c r="G83" i="6"/>
  <c r="F83" i="6"/>
  <c r="G81" i="6"/>
  <c r="F81" i="6"/>
  <c r="G80" i="6"/>
  <c r="F80" i="6"/>
  <c r="G79" i="6"/>
  <c r="F79" i="6"/>
  <c r="G78" i="6"/>
  <c r="F78" i="6"/>
  <c r="F82" i="6" s="1"/>
  <c r="G76" i="6"/>
  <c r="G77" i="6" s="1"/>
  <c r="F76" i="6"/>
  <c r="G75" i="6"/>
  <c r="F75" i="6"/>
  <c r="G74" i="6"/>
  <c r="F74" i="6"/>
  <c r="G69" i="6"/>
  <c r="F69" i="6"/>
  <c r="G67" i="6"/>
  <c r="D119" i="6" s="1"/>
  <c r="G119" i="6" s="1"/>
  <c r="H119" i="6" s="1"/>
  <c r="H126" i="6" s="1"/>
  <c r="H20" i="6" s="1"/>
  <c r="F67" i="6"/>
  <c r="G63" i="6"/>
  <c r="F63" i="6"/>
  <c r="F64" i="6" s="1"/>
  <c r="F70" i="6" s="1"/>
  <c r="G62" i="6"/>
  <c r="F62" i="6"/>
  <c r="G61" i="6"/>
  <c r="F61" i="6"/>
  <c r="G60" i="6"/>
  <c r="F60" i="6"/>
  <c r="H56" i="6"/>
  <c r="G56" i="6"/>
  <c r="F56" i="6" s="1"/>
  <c r="G32" i="6"/>
  <c r="F32" i="6"/>
  <c r="G30" i="6"/>
  <c r="F30" i="6"/>
  <c r="L29" i="6"/>
  <c r="K29" i="6"/>
  <c r="J29" i="6"/>
  <c r="I29" i="6"/>
  <c r="H29" i="6"/>
  <c r="G29" i="6"/>
  <c r="F29" i="6"/>
  <c r="C28" i="6"/>
  <c r="C27" i="6"/>
  <c r="C26" i="6"/>
  <c r="G21" i="6"/>
  <c r="H21" i="6" s="1"/>
  <c r="I21" i="6" s="1"/>
  <c r="J21" i="6" s="1"/>
  <c r="K21" i="6" s="1"/>
  <c r="L21" i="6" s="1"/>
  <c r="F21" i="6"/>
  <c r="G20" i="6"/>
  <c r="F119" i="6" s="1"/>
  <c r="F20" i="6"/>
  <c r="G17" i="6"/>
  <c r="F17" i="6"/>
  <c r="G14" i="6"/>
  <c r="F14" i="6"/>
  <c r="I11" i="6"/>
  <c r="H11" i="6"/>
  <c r="F11" i="6"/>
  <c r="L126" i="5"/>
  <c r="K126" i="5"/>
  <c r="J126" i="5"/>
  <c r="I126" i="5"/>
  <c r="H126" i="5"/>
  <c r="C119" i="5"/>
  <c r="I117" i="5"/>
  <c r="C121" i="5" s="1"/>
  <c r="G86" i="5"/>
  <c r="F86" i="5"/>
  <c r="F105" i="5" s="1"/>
  <c r="G85" i="5"/>
  <c r="G105" i="5" s="1"/>
  <c r="F85" i="5"/>
  <c r="G83" i="5"/>
  <c r="F83" i="5"/>
  <c r="G81" i="5"/>
  <c r="F81" i="5"/>
  <c r="G80" i="5"/>
  <c r="F80" i="5"/>
  <c r="G79" i="5"/>
  <c r="F79" i="5"/>
  <c r="G78" i="5"/>
  <c r="F78" i="5"/>
  <c r="F82" i="5" s="1"/>
  <c r="G76" i="5"/>
  <c r="F76" i="5"/>
  <c r="G75" i="5"/>
  <c r="F75" i="5"/>
  <c r="G74" i="5"/>
  <c r="F74" i="5"/>
  <c r="F77" i="5" s="1"/>
  <c r="G69" i="5"/>
  <c r="F69" i="5"/>
  <c r="G67" i="5"/>
  <c r="D119" i="5" s="1"/>
  <c r="G119" i="5" s="1"/>
  <c r="F67" i="5"/>
  <c r="G63" i="5"/>
  <c r="F63" i="5"/>
  <c r="G62" i="5"/>
  <c r="F62" i="5"/>
  <c r="G61" i="5"/>
  <c r="F61" i="5"/>
  <c r="G60" i="5"/>
  <c r="G100" i="5" s="1"/>
  <c r="F60" i="5"/>
  <c r="G56" i="5"/>
  <c r="F56" i="5"/>
  <c r="H33" i="5"/>
  <c r="H34" i="5" s="1"/>
  <c r="G32" i="5"/>
  <c r="F32" i="5"/>
  <c r="G30" i="5"/>
  <c r="F30" i="5"/>
  <c r="L29" i="5"/>
  <c r="K29" i="5"/>
  <c r="J29" i="5"/>
  <c r="I29" i="5"/>
  <c r="H29" i="5"/>
  <c r="G29" i="5"/>
  <c r="F29" i="5"/>
  <c r="C28" i="5"/>
  <c r="C27" i="5"/>
  <c r="C26" i="5"/>
  <c r="I22" i="5"/>
  <c r="I31" i="5" s="1"/>
  <c r="I33" i="5" s="1"/>
  <c r="I34" i="5" s="1"/>
  <c r="H22" i="5"/>
  <c r="H31" i="5" s="1"/>
  <c r="G21" i="5"/>
  <c r="F21" i="5"/>
  <c r="G20" i="5"/>
  <c r="F119" i="5" s="1"/>
  <c r="F20" i="5"/>
  <c r="I19" i="5"/>
  <c r="J18" i="5"/>
  <c r="H18" i="5"/>
  <c r="H19" i="5" s="1"/>
  <c r="G17" i="5"/>
  <c r="F17" i="5"/>
  <c r="L16" i="5"/>
  <c r="K16" i="5"/>
  <c r="J16" i="5"/>
  <c r="I16" i="5"/>
  <c r="L15" i="5"/>
  <c r="L18" i="5" s="1"/>
  <c r="K15" i="5"/>
  <c r="K18" i="5" s="1"/>
  <c r="K19" i="5" s="1"/>
  <c r="J15" i="5"/>
  <c r="I15" i="5"/>
  <c r="I18" i="5" s="1"/>
  <c r="H15" i="5"/>
  <c r="H16" i="5" s="1"/>
  <c r="G14" i="5"/>
  <c r="F14" i="5"/>
  <c r="G13" i="5"/>
  <c r="G15" i="5" s="1"/>
  <c r="G16" i="5" s="1"/>
  <c r="I11" i="5"/>
  <c r="H11" i="5"/>
  <c r="F11" i="5"/>
  <c r="F87" i="4"/>
  <c r="G73" i="4"/>
  <c r="F73" i="4"/>
  <c r="G72" i="4"/>
  <c r="G92" i="4" s="1"/>
  <c r="F72" i="4"/>
  <c r="F92" i="4" s="1"/>
  <c r="G70" i="4"/>
  <c r="F70" i="4"/>
  <c r="G68" i="4"/>
  <c r="F68" i="4"/>
  <c r="G67" i="4"/>
  <c r="F67" i="4"/>
  <c r="G66" i="4"/>
  <c r="F66" i="4"/>
  <c r="G65" i="4"/>
  <c r="F65" i="4"/>
  <c r="F69" i="4" s="1"/>
  <c r="G63" i="4"/>
  <c r="F63" i="4"/>
  <c r="G62" i="4"/>
  <c r="F62" i="4"/>
  <c r="G61" i="4"/>
  <c r="G64" i="4" s="1"/>
  <c r="F61" i="4"/>
  <c r="G56" i="4"/>
  <c r="F56" i="4"/>
  <c r="G54" i="4"/>
  <c r="F54" i="4"/>
  <c r="G50" i="4"/>
  <c r="F50" i="4"/>
  <c r="G49" i="4"/>
  <c r="F49" i="4"/>
  <c r="G48" i="4"/>
  <c r="F48" i="4"/>
  <c r="G47" i="4"/>
  <c r="G87" i="4" s="1"/>
  <c r="F47" i="4"/>
  <c r="G43" i="4"/>
  <c r="F43" i="4"/>
  <c r="G32" i="4"/>
  <c r="F32" i="4"/>
  <c r="G30" i="4"/>
  <c r="F30" i="4"/>
  <c r="G29" i="4"/>
  <c r="F29" i="4"/>
  <c r="C28" i="4"/>
  <c r="C27" i="4"/>
  <c r="C26" i="4"/>
  <c r="G21" i="4"/>
  <c r="F21" i="4"/>
  <c r="G20" i="4"/>
  <c r="F20" i="4"/>
  <c r="G17" i="4"/>
  <c r="F17" i="4"/>
  <c r="G14" i="4"/>
  <c r="F14" i="4"/>
  <c r="G13" i="4"/>
  <c r="G81" i="4" s="1"/>
  <c r="H11" i="4"/>
  <c r="F11" i="4"/>
  <c r="G69" i="3"/>
  <c r="G71" i="3" s="1"/>
  <c r="G74" i="3" s="1"/>
  <c r="F69" i="3"/>
  <c r="G64" i="3"/>
  <c r="F64" i="3"/>
  <c r="F71" i="3" s="1"/>
  <c r="F74" i="3" s="1"/>
  <c r="G51" i="3"/>
  <c r="G57" i="3" s="1"/>
  <c r="F51" i="3"/>
  <c r="F57" i="3" s="1"/>
  <c r="H43" i="3"/>
  <c r="G43" i="3"/>
  <c r="F43" i="3"/>
  <c r="C28" i="3"/>
  <c r="C27" i="3"/>
  <c r="C26" i="3"/>
  <c r="G18" i="3"/>
  <c r="G19" i="3" s="1"/>
  <c r="F18" i="3"/>
  <c r="G16" i="3"/>
  <c r="F16" i="3"/>
  <c r="G15" i="3"/>
  <c r="F15" i="3"/>
  <c r="H11" i="3"/>
  <c r="I11" i="3" s="1"/>
  <c r="F11" i="3"/>
  <c r="E79" i="2"/>
  <c r="E73" i="2"/>
  <c r="D73" i="2"/>
  <c r="E61" i="2"/>
  <c r="D61" i="2"/>
  <c r="E56" i="2"/>
  <c r="D56" i="2"/>
  <c r="E51" i="2"/>
  <c r="D51" i="2"/>
  <c r="D45" i="2"/>
  <c r="E45" i="2" s="1"/>
  <c r="E30" i="2"/>
  <c r="D30" i="2"/>
  <c r="E19" i="2"/>
  <c r="E13" i="2"/>
  <c r="D13" i="2"/>
  <c r="G94" i="5" l="1"/>
  <c r="G82" i="7"/>
  <c r="G105" i="6"/>
  <c r="G64" i="6"/>
  <c r="G64" i="7"/>
  <c r="G70" i="7" s="1"/>
  <c r="G69" i="4"/>
  <c r="G82" i="6"/>
  <c r="G82" i="5"/>
  <c r="G84" i="5" s="1"/>
  <c r="G87" i="5" s="1"/>
  <c r="G77" i="5"/>
  <c r="F77" i="6"/>
  <c r="F51" i="4"/>
  <c r="F57" i="4" s="1"/>
  <c r="F89" i="4" s="1"/>
  <c r="F64" i="4"/>
  <c r="F90" i="4" s="1"/>
  <c r="F102" i="6"/>
  <c r="I119" i="7"/>
  <c r="I126" i="7" s="1"/>
  <c r="I20" i="7" s="1"/>
  <c r="H126" i="7"/>
  <c r="H20" i="7" s="1"/>
  <c r="J119" i="7"/>
  <c r="J126" i="7" s="1"/>
  <c r="J20" i="7" s="1"/>
  <c r="G102" i="7"/>
  <c r="F22" i="3"/>
  <c r="F31" i="3" s="1"/>
  <c r="F33" i="3" s="1"/>
  <c r="F34" i="3" s="1"/>
  <c r="F19" i="3"/>
  <c r="I56" i="5"/>
  <c r="J11" i="5"/>
  <c r="J11" i="3"/>
  <c r="I43" i="3"/>
  <c r="I11" i="4"/>
  <c r="H43" i="4"/>
  <c r="J19" i="5"/>
  <c r="J22" i="5"/>
  <c r="J31" i="5" s="1"/>
  <c r="J33" i="5" s="1"/>
  <c r="J34" i="5" s="1"/>
  <c r="I117" i="6"/>
  <c r="C121" i="6" s="1"/>
  <c r="I56" i="6"/>
  <c r="J11" i="6"/>
  <c r="F13" i="6"/>
  <c r="F15" i="6" s="1"/>
  <c r="F13" i="5"/>
  <c r="F15" i="5" s="1"/>
  <c r="F13" i="4"/>
  <c r="F15" i="4" s="1"/>
  <c r="D19" i="2"/>
  <c r="F13" i="7"/>
  <c r="F15" i="7" s="1"/>
  <c r="F94" i="7"/>
  <c r="G95" i="5"/>
  <c r="E34" i="2"/>
  <c r="E21" i="2"/>
  <c r="G43" i="7"/>
  <c r="F84" i="7"/>
  <c r="F87" i="7" s="1"/>
  <c r="F81" i="4"/>
  <c r="F64" i="5"/>
  <c r="F100" i="5"/>
  <c r="F84" i="5"/>
  <c r="F87" i="5" s="1"/>
  <c r="F103" i="7"/>
  <c r="D79" i="2"/>
  <c r="G71" i="4"/>
  <c r="G74" i="4" s="1"/>
  <c r="F84" i="6"/>
  <c r="F87" i="6" s="1"/>
  <c r="F108" i="6" s="1"/>
  <c r="G18" i="5"/>
  <c r="F103" i="6"/>
  <c r="F103" i="5"/>
  <c r="D69" i="2"/>
  <c r="H56" i="7"/>
  <c r="H117" i="7"/>
  <c r="C120" i="7" s="1"/>
  <c r="I11" i="7"/>
  <c r="G77" i="7"/>
  <c r="K22" i="5"/>
  <c r="K31" i="5" s="1"/>
  <c r="K33" i="5" s="1"/>
  <c r="K34" i="5" s="1"/>
  <c r="G44" i="6"/>
  <c r="G22" i="3"/>
  <c r="G31" i="3" s="1"/>
  <c r="G33" i="3" s="1"/>
  <c r="G34" i="3" s="1"/>
  <c r="G51" i="4"/>
  <c r="H117" i="5"/>
  <c r="C120" i="5" s="1"/>
  <c r="H56" i="5"/>
  <c r="L19" i="5"/>
  <c r="L22" i="5"/>
  <c r="L31" i="5" s="1"/>
  <c r="L33" i="5" s="1"/>
  <c r="L34" i="5" s="1"/>
  <c r="G90" i="4"/>
  <c r="G103" i="6"/>
  <c r="E69" i="2"/>
  <c r="G84" i="6"/>
  <c r="G87" i="6" s="1"/>
  <c r="H70" i="7"/>
  <c r="I119" i="6"/>
  <c r="I84" i="7"/>
  <c r="I87" i="7" s="1"/>
  <c r="J119" i="6"/>
  <c r="J126" i="6" s="1"/>
  <c r="J20" i="6" s="1"/>
  <c r="G105" i="7"/>
  <c r="G15" i="4"/>
  <c r="G82" i="4" s="1"/>
  <c r="G103" i="5"/>
  <c r="F64" i="7"/>
  <c r="F70" i="7" s="1"/>
  <c r="G13" i="7"/>
  <c r="G13" i="6"/>
  <c r="G64" i="5"/>
  <c r="F101" i="6"/>
  <c r="F105" i="7"/>
  <c r="D78" i="2"/>
  <c r="F101" i="7"/>
  <c r="E78" i="2"/>
  <c r="F71" i="4" l="1"/>
  <c r="F74" i="4" s="1"/>
  <c r="F95" i="4"/>
  <c r="G84" i="7"/>
  <c r="G87" i="7" s="1"/>
  <c r="G108" i="7" s="1"/>
  <c r="G101" i="7"/>
  <c r="F43" i="7"/>
  <c r="H43" i="7" s="1"/>
  <c r="I43" i="7" s="1"/>
  <c r="F44" i="7"/>
  <c r="F88" i="4"/>
  <c r="G101" i="6"/>
  <c r="G70" i="6"/>
  <c r="G102" i="6" s="1"/>
  <c r="I126" i="6"/>
  <c r="I20" i="6" s="1"/>
  <c r="I117" i="7"/>
  <c r="C121" i="7" s="1"/>
  <c r="I56" i="7"/>
  <c r="J11" i="7"/>
  <c r="F16" i="5"/>
  <c r="F18" i="5"/>
  <c r="F104" i="6"/>
  <c r="F104" i="5"/>
  <c r="F104" i="7"/>
  <c r="D76" i="2"/>
  <c r="D81" i="2" s="1"/>
  <c r="J11" i="4"/>
  <c r="I43" i="4"/>
  <c r="K119" i="7"/>
  <c r="K126" i="7" s="1"/>
  <c r="K20" i="7" s="1"/>
  <c r="K11" i="3"/>
  <c r="J43" i="3"/>
  <c r="F44" i="6"/>
  <c r="H44" i="6" s="1"/>
  <c r="F43" i="6"/>
  <c r="F108" i="7"/>
  <c r="F102" i="7"/>
  <c r="J56" i="6"/>
  <c r="J117" i="6"/>
  <c r="C122" i="6" s="1"/>
  <c r="K11" i="6"/>
  <c r="G44" i="7"/>
  <c r="G15" i="7"/>
  <c r="G94" i="7"/>
  <c r="G41" i="7"/>
  <c r="H41" i="7" s="1"/>
  <c r="K119" i="6"/>
  <c r="K126" i="6" s="1"/>
  <c r="K20" i="6" s="1"/>
  <c r="E39" i="2"/>
  <c r="E36" i="2"/>
  <c r="F95" i="6"/>
  <c r="F82" i="4"/>
  <c r="F95" i="7"/>
  <c r="D34" i="2"/>
  <c r="F95" i="5"/>
  <c r="D21" i="2"/>
  <c r="G103" i="7"/>
  <c r="F18" i="4"/>
  <c r="F16" i="4"/>
  <c r="G18" i="4"/>
  <c r="G16" i="4"/>
  <c r="F16" i="6"/>
  <c r="F18" i="6"/>
  <c r="F70" i="5"/>
  <c r="F101" i="5"/>
  <c r="F94" i="5"/>
  <c r="G104" i="6"/>
  <c r="G104" i="5"/>
  <c r="E76" i="2"/>
  <c r="E81" i="2" s="1"/>
  <c r="G91" i="4"/>
  <c r="L119" i="7"/>
  <c r="L126" i="7" s="1"/>
  <c r="L20" i="7" s="1"/>
  <c r="G70" i="5"/>
  <c r="G101" i="5"/>
  <c r="F16" i="7"/>
  <c r="F18" i="7"/>
  <c r="G41" i="6"/>
  <c r="H41" i="6" s="1"/>
  <c r="G15" i="6"/>
  <c r="G43" i="6"/>
  <c r="G94" i="6"/>
  <c r="G19" i="5"/>
  <c r="G22" i="5"/>
  <c r="G31" i="5" s="1"/>
  <c r="G33" i="5" s="1"/>
  <c r="G34" i="5" s="1"/>
  <c r="G88" i="4"/>
  <c r="G57" i="4"/>
  <c r="F94" i="6"/>
  <c r="J117" i="5"/>
  <c r="C122" i="5" s="1"/>
  <c r="K11" i="5"/>
  <c r="J56" i="5"/>
  <c r="F91" i="4" l="1"/>
  <c r="H44" i="7"/>
  <c r="G104" i="7"/>
  <c r="G108" i="6"/>
  <c r="I44" i="7"/>
  <c r="H13" i="7"/>
  <c r="H17" i="7" s="1"/>
  <c r="I41" i="7"/>
  <c r="L119" i="6"/>
  <c r="L126" i="6" s="1"/>
  <c r="L20" i="6" s="1"/>
  <c r="J43" i="7"/>
  <c r="D39" i="2"/>
  <c r="D36" i="2"/>
  <c r="F84" i="4"/>
  <c r="F22" i="5"/>
  <c r="F31" i="5" s="1"/>
  <c r="F33" i="5" s="1"/>
  <c r="F34" i="5" s="1"/>
  <c r="F19" i="5"/>
  <c r="J117" i="7"/>
  <c r="C122" i="7" s="1"/>
  <c r="K11" i="7"/>
  <c r="J56" i="7"/>
  <c r="G95" i="4"/>
  <c r="G89" i="4"/>
  <c r="G19" i="4"/>
  <c r="G22" i="4"/>
  <c r="G31" i="4" s="1"/>
  <c r="G33" i="4" s="1"/>
  <c r="G18" i="7"/>
  <c r="G16" i="7"/>
  <c r="G95" i="7"/>
  <c r="L11" i="5"/>
  <c r="K56" i="5"/>
  <c r="K117" i="5"/>
  <c r="C123" i="5" s="1"/>
  <c r="H13" i="6"/>
  <c r="I41" i="6"/>
  <c r="G108" i="5"/>
  <c r="G102" i="5"/>
  <c r="G97" i="5"/>
  <c r="K43" i="3"/>
  <c r="L11" i="3"/>
  <c r="L43" i="3" s="1"/>
  <c r="F19" i="6"/>
  <c r="F22" i="6"/>
  <c r="F31" i="6" s="1"/>
  <c r="F19" i="4"/>
  <c r="F22" i="4"/>
  <c r="F31" i="4" s="1"/>
  <c r="F33" i="4" s="1"/>
  <c r="F34" i="4" s="1"/>
  <c r="G96" i="7"/>
  <c r="G96" i="5"/>
  <c r="G83" i="4"/>
  <c r="E40" i="2"/>
  <c r="H17" i="6"/>
  <c r="I44" i="6"/>
  <c r="K11" i="4"/>
  <c r="J43" i="4"/>
  <c r="G18" i="6"/>
  <c r="G96" i="6" s="1"/>
  <c r="G16" i="6"/>
  <c r="G95" i="6"/>
  <c r="F108" i="5"/>
  <c r="F102" i="5"/>
  <c r="H43" i="6"/>
  <c r="K56" i="6"/>
  <c r="L11" i="6"/>
  <c r="K117" i="6"/>
  <c r="C123" i="6" s="1"/>
  <c r="F19" i="7"/>
  <c r="F22" i="7"/>
  <c r="F31" i="7" s="1"/>
  <c r="G19" i="7" l="1"/>
  <c r="G22" i="7"/>
  <c r="G31" i="7" s="1"/>
  <c r="I43" i="6"/>
  <c r="H14" i="6"/>
  <c r="H15" i="6" s="1"/>
  <c r="G22" i="6"/>
  <c r="G31" i="6" s="1"/>
  <c r="G19" i="6"/>
  <c r="F97" i="5"/>
  <c r="G34" i="4"/>
  <c r="G84" i="4"/>
  <c r="K43" i="7"/>
  <c r="I13" i="7"/>
  <c r="I17" i="7" s="1"/>
  <c r="J41" i="7"/>
  <c r="K117" i="7"/>
  <c r="C123" i="7" s="1"/>
  <c r="K56" i="7"/>
  <c r="L11" i="7"/>
  <c r="H14" i="7"/>
  <c r="H15" i="7" s="1"/>
  <c r="J44" i="6"/>
  <c r="I17" i="6"/>
  <c r="F96" i="5"/>
  <c r="D40" i="2"/>
  <c r="F96" i="7"/>
  <c r="F96" i="6"/>
  <c r="F83" i="4"/>
  <c r="I13" i="6"/>
  <c r="J41" i="6"/>
  <c r="L56" i="5"/>
  <c r="L117" i="5"/>
  <c r="C124" i="5" s="1"/>
  <c r="L56" i="6"/>
  <c r="L117" i="6"/>
  <c r="C124" i="6" s="1"/>
  <c r="J44" i="7"/>
  <c r="F33" i="6"/>
  <c r="F46" i="6"/>
  <c r="F33" i="7"/>
  <c r="F46" i="7"/>
  <c r="K43" i="4"/>
  <c r="L11" i="4"/>
  <c r="L43" i="4" s="1"/>
  <c r="H18" i="6" l="1"/>
  <c r="H16" i="6"/>
  <c r="H18" i="7"/>
  <c r="H16" i="7"/>
  <c r="F34" i="6"/>
  <c r="F97" i="6"/>
  <c r="K41" i="6"/>
  <c r="J13" i="6"/>
  <c r="J17" i="6" s="1"/>
  <c r="G33" i="6"/>
  <c r="G46" i="6"/>
  <c r="J17" i="7"/>
  <c r="K44" i="7"/>
  <c r="L117" i="7"/>
  <c r="C124" i="7" s="1"/>
  <c r="L56" i="7"/>
  <c r="L43" i="7"/>
  <c r="J13" i="7"/>
  <c r="K41" i="7"/>
  <c r="K44" i="6"/>
  <c r="I14" i="7"/>
  <c r="I15" i="7" s="1"/>
  <c r="J43" i="6"/>
  <c r="I14" i="6"/>
  <c r="I15" i="6" s="1"/>
  <c r="H46" i="6"/>
  <c r="F34" i="7"/>
  <c r="F97" i="7"/>
  <c r="G33" i="7"/>
  <c r="G46" i="7"/>
  <c r="H46" i="7" s="1"/>
  <c r="I46" i="7" l="1"/>
  <c r="I18" i="7"/>
  <c r="I16" i="7"/>
  <c r="G34" i="7"/>
  <c r="G97" i="7"/>
  <c r="L41" i="7"/>
  <c r="K13" i="7"/>
  <c r="K17" i="7" s="1"/>
  <c r="K43" i="6"/>
  <c r="J14" i="6"/>
  <c r="J15" i="6" s="1"/>
  <c r="J14" i="7"/>
  <c r="J15" i="7" s="1"/>
  <c r="G34" i="6"/>
  <c r="G97" i="6"/>
  <c r="H22" i="6"/>
  <c r="H31" i="6" s="1"/>
  <c r="H19" i="6"/>
  <c r="L44" i="7"/>
  <c r="I46" i="6"/>
  <c r="H22" i="7"/>
  <c r="H31" i="7" s="1"/>
  <c r="H19" i="7"/>
  <c r="I18" i="6"/>
  <c r="I16" i="6"/>
  <c r="L44" i="6"/>
  <c r="K17" i="6"/>
  <c r="L41" i="6"/>
  <c r="K13" i="6"/>
  <c r="L13" i="7" l="1"/>
  <c r="L14" i="7" s="1"/>
  <c r="L17" i="7"/>
  <c r="J16" i="6"/>
  <c r="J18" i="6"/>
  <c r="J16" i="7"/>
  <c r="J18" i="7"/>
  <c r="J46" i="7"/>
  <c r="K14" i="7"/>
  <c r="K15" i="7" s="1"/>
  <c r="K14" i="6"/>
  <c r="K15" i="6" s="1"/>
  <c r="L43" i="6"/>
  <c r="L15" i="7"/>
  <c r="J46" i="6"/>
  <c r="I22" i="7"/>
  <c r="I31" i="7" s="1"/>
  <c r="I19" i="7"/>
  <c r="L13" i="6"/>
  <c r="L17" i="6" s="1"/>
  <c r="I19" i="6"/>
  <c r="I22" i="6"/>
  <c r="I31" i="6" s="1"/>
  <c r="I32" i="6" s="1"/>
  <c r="H32" i="7"/>
  <c r="H33" i="7" s="1"/>
  <c r="H34" i="7" s="1"/>
  <c r="H32" i="6"/>
  <c r="H33" i="6" s="1"/>
  <c r="H34" i="6" s="1"/>
  <c r="L14" i="6" l="1"/>
  <c r="L15" i="6" s="1"/>
  <c r="I33" i="7"/>
  <c r="I34" i="7" s="1"/>
  <c r="K46" i="6"/>
  <c r="J32" i="6"/>
  <c r="I33" i="6"/>
  <c r="I34" i="6" s="1"/>
  <c r="K18" i="7"/>
  <c r="K16" i="7"/>
  <c r="J22" i="7"/>
  <c r="J31" i="7" s="1"/>
  <c r="J19" i="7"/>
  <c r="J19" i="6"/>
  <c r="J22" i="6"/>
  <c r="J31" i="6" s="1"/>
  <c r="K18" i="6"/>
  <c r="K16" i="6"/>
  <c r="J32" i="7"/>
  <c r="K46" i="7"/>
  <c r="L18" i="7"/>
  <c r="L16" i="7"/>
  <c r="I32" i="7"/>
  <c r="L19" i="7" l="1"/>
  <c r="L22" i="7"/>
  <c r="L31" i="7" s="1"/>
  <c r="K19" i="6"/>
  <c r="K22" i="6"/>
  <c r="K31" i="6" s="1"/>
  <c r="L46" i="7"/>
  <c r="L32" i="7" s="1"/>
  <c r="K32" i="7"/>
  <c r="L16" i="6"/>
  <c r="L18" i="6"/>
  <c r="L46" i="6"/>
  <c r="K32" i="6"/>
  <c r="J33" i="7"/>
  <c r="J34" i="7" s="1"/>
  <c r="J33" i="6"/>
  <c r="J34" i="6" s="1"/>
  <c r="K22" i="7"/>
  <c r="K31" i="7" s="1"/>
  <c r="K19" i="7"/>
  <c r="L19" i="6" l="1"/>
  <c r="L22" i="6"/>
  <c r="L31" i="6" s="1"/>
  <c r="K33" i="6"/>
  <c r="K34" i="6" s="1"/>
  <c r="K33" i="7"/>
  <c r="K34" i="7" s="1"/>
  <c r="L33" i="7"/>
  <c r="L34" i="7" s="1"/>
  <c r="L32" i="6"/>
  <c r="L33" i="6" l="1"/>
  <c r="L34" i="6" s="1"/>
</calcChain>
</file>

<file path=xl/sharedStrings.xml><?xml version="1.0" encoding="utf-8"?>
<sst xmlns="http://schemas.openxmlformats.org/spreadsheetml/2006/main" count="560" uniqueCount="145">
  <si>
    <t>Project Athena</t>
  </si>
  <si>
    <t>Quarterly and Annual Financial Statements</t>
  </si>
  <si>
    <t>($s in 000s)</t>
  </si>
  <si>
    <t>Income Statement</t>
  </si>
  <si>
    <t>FY</t>
  </si>
  <si>
    <t>Service Revenues</t>
  </si>
  <si>
    <t>Parts &amp; Other</t>
  </si>
  <si>
    <t>Total Revenue</t>
  </si>
  <si>
    <t>Labor</t>
  </si>
  <si>
    <t>Materials</t>
  </si>
  <si>
    <t>Other CoGS</t>
  </si>
  <si>
    <t>Total Gross Profit</t>
  </si>
  <si>
    <t>Total Gross Margin %</t>
  </si>
  <si>
    <t>Payroll &amp; Related Expenses</t>
  </si>
  <si>
    <t>Rent &amp; Occupancy</t>
  </si>
  <si>
    <t>Depreciation</t>
  </si>
  <si>
    <t>Amortization</t>
  </si>
  <si>
    <t>Interest</t>
  </si>
  <si>
    <t>Other SG&amp;A</t>
  </si>
  <si>
    <t>Income Taxes</t>
  </si>
  <si>
    <t>Total SG&amp;A</t>
  </si>
  <si>
    <t>Other Expense (Income)</t>
  </si>
  <si>
    <t>Net Income</t>
  </si>
  <si>
    <t>EBITDA, Unadjusted</t>
  </si>
  <si>
    <t>Total Profit Margin %</t>
  </si>
  <si>
    <t>Total EBITDA Margin %</t>
  </si>
  <si>
    <t>Balance Sheet</t>
  </si>
  <si>
    <t>YE</t>
  </si>
  <si>
    <t>Cash &amp; Cash Equivalents</t>
  </si>
  <si>
    <t>Accounts Receivable, Gross</t>
  </si>
  <si>
    <t>Allowance for Doubtful Accounts</t>
  </si>
  <si>
    <t>Inventory</t>
  </si>
  <si>
    <t>Prepaids &amp; Other</t>
  </si>
  <si>
    <t>Total Current Assets</t>
  </si>
  <si>
    <t>PP&amp;E, Net</t>
  </si>
  <si>
    <t>Long-Term Intangible Assets</t>
  </si>
  <si>
    <t>Total Assets</t>
  </si>
  <si>
    <t>Accounts Payable</t>
  </si>
  <si>
    <t>Wages Payable</t>
  </si>
  <si>
    <t>Accrued Expenses &amp; Other</t>
  </si>
  <si>
    <t>Total Current Liabilities</t>
  </si>
  <si>
    <t>Revolver</t>
  </si>
  <si>
    <t>Term Loan A</t>
  </si>
  <si>
    <t>Subordinated Debt - Note 1</t>
  </si>
  <si>
    <t>Subordinated Debt - Note 2</t>
  </si>
  <si>
    <t>Other Long-Term Liabilities</t>
  </si>
  <si>
    <t xml:space="preserve">Total Liabilities </t>
  </si>
  <si>
    <t>Common Stock</t>
  </si>
  <si>
    <t>Retained Earnings</t>
  </si>
  <si>
    <t>Total Equity</t>
  </si>
  <si>
    <t>Total Liabilities and Equity</t>
  </si>
  <si>
    <t>Net Working Capital</t>
  </si>
  <si>
    <t>Net Working Capital, less Cash</t>
  </si>
  <si>
    <t>Check</t>
  </si>
  <si>
    <t>Athena Modeling Exercise</t>
  </si>
  <si>
    <t>Step 1 - Historicals</t>
  </si>
  <si>
    <t>Black font = Calculation</t>
  </si>
  <si>
    <t>YELLOWS ARE FILLS</t>
  </si>
  <si>
    <t>SKIP FOR NOW</t>
  </si>
  <si>
    <t>Blue font = Hardcoded Input/Assumption</t>
  </si>
  <si>
    <t>Green font = Pulled from another Sheet</t>
  </si>
  <si>
    <t>x</t>
  </si>
  <si>
    <t>Use the historical financial statements (Income Statement and Balance Sheet) to get started. Copy the financial statements as they appear from your research</t>
  </si>
  <si>
    <t>MRY</t>
  </si>
  <si>
    <t>Fiscal Years Ending December 31,</t>
  </si>
  <si>
    <t>($ in millions)</t>
  </si>
  <si>
    <t>COGS</t>
  </si>
  <si>
    <t>Gross Profit</t>
  </si>
  <si>
    <t>Gross Margin (%)</t>
  </si>
  <si>
    <t>SG&amp;A</t>
  </si>
  <si>
    <t>EBITDA</t>
  </si>
  <si>
    <t>EBITDA Margin (%)</t>
  </si>
  <si>
    <t>EBIT</t>
  </si>
  <si>
    <t>Interest (Income) / Expense</t>
  </si>
  <si>
    <t>Revolver – Interest</t>
  </si>
  <si>
    <t>Revolver – Undrawn Commitment Fee</t>
  </si>
  <si>
    <t>Other (Income) / Expense</t>
  </si>
  <si>
    <t>Income Before Taxes</t>
  </si>
  <si>
    <t>Provision for Tax</t>
  </si>
  <si>
    <t>Profit Margin (%)</t>
  </si>
  <si>
    <t>Capital Expenditures</t>
  </si>
  <si>
    <t>Assets</t>
  </si>
  <si>
    <t>Cash and Equivalents</t>
  </si>
  <si>
    <t>Accounts Receivable, net</t>
  </si>
  <si>
    <t>Prepaids and Other Current Assets</t>
  </si>
  <si>
    <t>PP&amp;E, Gross</t>
  </si>
  <si>
    <t>( – ) Accumulated Depreciation</t>
  </si>
  <si>
    <t>Goodwill</t>
  </si>
  <si>
    <t>Intangible and Long-Term Other Assets</t>
  </si>
  <si>
    <t>Liabilities &amp; Shareholders' Equity</t>
  </si>
  <si>
    <t>Subordinated - Note 1</t>
  </si>
  <si>
    <t>Subordinated - Note 2</t>
  </si>
  <si>
    <t>Total Debt</t>
  </si>
  <si>
    <t>Other Long-term Liabilities</t>
  </si>
  <si>
    <t>Total liabilities</t>
  </si>
  <si>
    <t>Total Liabilities &amp; Shareholders' Equity</t>
  </si>
  <si>
    <t>Checks to Source</t>
  </si>
  <si>
    <t>Revenue</t>
  </si>
  <si>
    <t>Cash</t>
  </si>
  <si>
    <t>Current Assets</t>
  </si>
  <si>
    <t>Current Liabilities</t>
  </si>
  <si>
    <t>Total Liabilities</t>
  </si>
  <si>
    <t>Internal Checks</t>
  </si>
  <si>
    <t>A= L + E</t>
  </si>
  <si>
    <t>Step 2 - Begin Projecting the Income Statement</t>
  </si>
  <si>
    <t>Revenue is grown year-over-year. Project total revenue based on the growth rate assumption below and the prior period revenue (line 41)</t>
  </si>
  <si>
    <t>CoGS typically fluctuates with Revenue - it is the cost of the goods and services we sell. We call this a "Variable Cost." As such, project as a % of Sales based on the performance driver below - that way CoGS moves with Revenue</t>
  </si>
  <si>
    <t>Calculate Gross Profit Margin (Gross Profit / Total Revenue)</t>
  </si>
  <si>
    <t xml:space="preserve">SG&amp;A typically has a part that is fixed (cost that does not fluctuate with revenue - like Rent) and a part that is Variable Cost. When I look at what the components of SG&amp;A are using information from the 'Financials from CIP' tab, I see the majority of it is in Payroll &amp; Related Expense - something that is most likely Variable. For simplicity sake, let's project SG&amp;A in the business to be Variable. As such, project as a % of Sales based on the performance driver below </t>
  </si>
  <si>
    <t>Calculate EBITDA Margin (EBITDA / Total Revenue)</t>
  </si>
  <si>
    <t>See the schedule, below. Link total Depreciation per year from the schedule to here. Follow the Depreciation schedule instructions carefully</t>
  </si>
  <si>
    <t>Amortization Expense reduces Other Intangibles Assets on the Balance sheet. It is similar to Depreciation but for Assets that are not physical (like a copyright). For simplicity sake, let's hold the 2024 amount consistent per year going forward but be careful to not to amortize more than the Balance of the Other Intangible Assets in any given year. We will revisit this calculation to ensure its working properly in a later step</t>
  </si>
  <si>
    <t>This is very low in 2023 and 2024. Let's assume it stays zero going forward</t>
  </si>
  <si>
    <t>Calculate tax expense based on the tax rate below</t>
  </si>
  <si>
    <t>Key Performance Metrics &amp; Drivers</t>
  </si>
  <si>
    <t>Sales Growth (%)</t>
  </si>
  <si>
    <t>Round your 2024 growth rate to the nearest percent and use that for 2025 and 2026, reducing it by 3% per year thereafter</t>
  </si>
  <si>
    <t>COGS / Sales (%)</t>
  </si>
  <si>
    <t>Divide by sales to get the % in 2023 and 2024. Use an average as your assumption and hold constant going forward</t>
  </si>
  <si>
    <t>SG&amp;A / Sales (%)</t>
  </si>
  <si>
    <t>Same as above</t>
  </si>
  <si>
    <t>Tax Rate (%)</t>
  </si>
  <si>
    <t>Round the 2024 tax rate to the nearest % and use that going forward</t>
  </si>
  <si>
    <t>Capex / Sales (%)</t>
  </si>
  <si>
    <t>Depreciation Schedule</t>
  </si>
  <si>
    <t>Depreciation is how much your long-term, physical assets (such as equipment) decrease in value each year. We have to know the cost of our the long-term, physical assets (CapEx) and then choose an "estimated life" to find the depreciation each year</t>
  </si>
  <si>
    <t>PP&amp;E to Depr</t>
  </si>
  <si>
    <t>SL Years (Est  Life)</t>
  </si>
  <si>
    <t>Last Year</t>
  </si>
  <si>
    <t>Depr/Year</t>
  </si>
  <si>
    <t>Link Amt to Depr to this year's capex. Straight line Depr for 10 more years. Use a rolling formula to determine what the amount should be each year - how much is left over vs annual depreciation per year. The first year formula can be written as: =-MIN(-$G119,$D119). Following that, we can write it as: =-MIN(-$H119,SUM($H119:H119,$D119))</t>
  </si>
  <si>
    <t>Total Depr.</t>
  </si>
  <si>
    <t>Step 3 - Start the Balance Sheet</t>
  </si>
  <si>
    <t>CapEx is the cost of equipment that is "capitalized" on your Balance Sheet because it lasts more than one year. Let's assume we buy more equipment as we grow and make it a Variable cost. As such, project as a % of Sales based on the performance driver below</t>
  </si>
  <si>
    <t>Let's start by finding CapEx in 2024. We can do that by looking at the change in PP&amp;E, net - using the information given to us in the 'Financials from CIP' tab, and removing the effect of Depreciation. Then, I can divide the CapEx I calculate by Sales to get the % in 2024. Use this as your assumption and hold constant going forward</t>
  </si>
  <si>
    <t>PP&amp;E stands for Property, Plant and Equipment (aka, long-term, physical assets). CapEx is the amount spent on long-term, physical assets that will last longer than 1 year. This is the GROSS amount, aka the TOTAL amount. As such, we add Capital Expenditures for the current year to Gross PP&amp;E from the prior year to get our new aggregate PP&amp;E. The result is an aggregation of all the CapEx we have spent (unless we sell an long-term, physical asset... but let's skip that for now)</t>
  </si>
  <si>
    <t>When we buy physical assets, there is "wear and tear" making the value of the physical assets go down. This is decrease in value is called and it goes against PP&amp;E, Gross to get to the "Net Amount." Add Depreciation (from the P&amp;L) for the current year to Accumulated Depreciation (from the Balance Sheet) from the prior year. We want to show this as a negative balance because we will be reducing Gross PP&amp;E by this amount - a Contra Asset</t>
  </si>
  <si>
    <t>Goodwill is the amount of excess that someone pays for your company, above the fair value of assumed Assets less the fair value of assumed Liabilities when they purchase it. We will revisit this later. For now, let's assume it stays consistent each period and stays constant at zero</t>
  </si>
  <si>
    <t>For future periods, Other Intangible Assets will be amortized by the current year amortization (from the Income Statement). Revisit your formula for Amortization on the P&amp;L and make sure its not causing this balance to go negative. Once this balance reaches zero there is nothing left to amortize</t>
  </si>
  <si>
    <t>For simplicity, let's hold Other Long-Term Liabilities constant for the future periods. It looks like it won't change much given the history that I have and I am not sure what it is unless I ask for more details</t>
  </si>
  <si>
    <t>Common Stock is the value of what you OWN in the business - Equity, another word for ownership. Equity goes up when we have Net Income or Issue stock and goes down if we have a Net Loss or give out a Dividend (paying Cash to owners). Let's assume that this will stay constant - no new stock issuances, no dividends, no stock buybacks</t>
  </si>
  <si>
    <t>When we connect WHAT happened (Income Statement) to our Balance Sheet (HOW it affects our ownership), we connect the Income Statement (above) to the Balance Sheet, through Net Income and Retained Earnings. This is a key connection to all financial statements. As we have Net Income or a Net Loss each year, we take the previous year's Retained Earnings and add Net Income for the current year</t>
  </si>
  <si>
    <t>Check (should be zero)</t>
  </si>
  <si>
    <t>Subtract total Assets and Total Liabilities and Shareholder's Equity from each other as a check that will come in handy later. Italicize and show out 3 decimal places. Don't worry it will not balance yet.</t>
  </si>
  <si>
    <t>Link Amt to Depr to this year's CapEx. Straight line Depr for 10 years - remember to watch the year it starts based on when the CapEx was incurred. Use the same formulas as we did on line 119, using the first year formula in the first year, and the next years' formulas after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</si>
</sst>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1" formatCode="_(* #,##0_);_(* \(#,##0\);_(* &quot;-&quot;_);_(@_)"/>
    <numFmt numFmtId="43" formatCode="_(* #,##0.00_);_(* \(#,##0.00\);_(* &quot;-&quot;??_);_(@_)"/>
    <numFmt numFmtId="164" formatCode="&quot;ERROR&quot;;&quot;ERROR&quot;;&quot;OK&quot;"/>
    <numFmt numFmtId="165" formatCode="[$-409]mmm\-yy;@"/>
    <numFmt numFmtId="166" formatCode="_(* #,##0.0_);_(* \(#,##0.0\);_(* &quot;-&quot;?_);_(@_)"/>
    <numFmt numFmtId="167" formatCode="0.0%"/>
    <numFmt numFmtId="168" formatCode="0_)_%;_(\(0\)_%;0_)_%;@_(_%"/>
    <numFmt numFmtId="169" formatCode="_(#,##0.00_)_%;_(\(#,##0.00\)_%;_(&quot;–&quot;_)_%;@_(_%"/>
    <numFmt numFmtId="170" formatCode="_(#,##0.0_)_%;_(\(#,##0.0\)_%;_(&quot;–&quot;_)_%;@_(_%"/>
    <numFmt numFmtId="171" formatCode="yyyy"/>
    <numFmt numFmtId="172" formatCode="mm/dd/yy;@"/>
    <numFmt numFmtId="173" formatCode="&quot;$&quot;#,##0.0_);\(&quot;$&quot;#,##0.0\);&quot;$&quot;#,##0.0_);@_)"/>
    <numFmt numFmtId="174" formatCode="&quot;$&quot;#,##0.0"/>
    <numFmt numFmtId="175" formatCode="#,##0.0_);\(#,##0.0\);#,##0.0_);@_)"/>
    <numFmt numFmtId="176" formatCode="_(#,##0_)_%;_(\(#,##0\)_%;_(&quot;–&quot;_)_%;@_(_%"/>
    <numFmt numFmtId="177" formatCode="_(&quot;$&quot;#,##0.0_)_%;_(\(&quot;$&quot;#,##0.0\)_%;_(&quot;–&quot;_)_%;@_(_%"/>
    <numFmt numFmtId="178" formatCode="_([$$]#,##0.0_)_%;\([$$]#,##0.0\)_%;_(&quot;–&quot;_)_%;@_)_%"/>
    <numFmt numFmtId="179" formatCode="&quot;$&quot;#,##0.0_);\(&quot;$&quot;#,##0.0\)"/>
    <numFmt numFmtId="180" formatCode="_(#,##0.000_)_%;_(\(#,##0.000\)_%;_(&quot;–&quot;_)_%;@_(_%"/>
    <numFmt numFmtId="181" formatCode="_(0.0%_);\(0.0%\);_(&quot;–&quot;_)_%;@_(_%"/>
    <numFmt numFmtId="182" formatCode="#,##0.0_);\(#,##0.0\)"/>
    <numFmt numFmtId="183" formatCode="_(* #,##0.000_);_(* \(#,##0.000\);_(* &quot;-&quot;???_);_(@_)"/>
  </numFmts>
  <fonts count="55">
    <font>
      <sz val="10"/>
      <color indexed="16"/>
      <name val="Credit Suisse Type Roman"/>
      <family val="2"/>
    </font>
    <font>
      <sz val="11"/>
      <color theme="1"/>
      <name val="Open Sans"/>
      <family val="2"/>
    </font>
    <font>
      <b/>
      <sz val="11"/>
      <color theme="0"/>
      <name val="Open Sans"/>
      <family val="2"/>
    </font>
    <font>
      <b/>
      <sz val="11"/>
      <color theme="1"/>
      <name val="Open Sans"/>
      <family val="2"/>
    </font>
    <font>
      <sz val="11"/>
      <color theme="1"/>
      <name val="Calibri"/>
      <family val="2"/>
      <scheme val="minor"/>
    </font>
    <font>
      <b/>
      <sz val="10"/>
      <color theme="1"/>
      <name val="Open Sans"/>
      <family val="2"/>
    </font>
    <font>
      <sz val="11"/>
      <color theme="1"/>
      <name val="Book Antiqua"/>
      <family val="2"/>
    </font>
    <font>
      <i/>
      <sz val="10"/>
      <color theme="0"/>
      <name val="Open Sans"/>
      <family val="2"/>
    </font>
    <font>
      <b/>
      <sz val="11"/>
      <color rgb="FF535456"/>
      <name val="Open Sans"/>
      <family val="2"/>
    </font>
    <font>
      <sz val="11"/>
      <color rgb="FF535456"/>
      <name val="Open Sans"/>
      <family val="2"/>
    </font>
    <font>
      <b/>
      <u/>
      <sz val="11"/>
      <color theme="1"/>
      <name val="Open Sans"/>
      <family val="2"/>
    </font>
    <font>
      <i/>
      <sz val="10"/>
      <color theme="1"/>
      <name val="Open Sans"/>
      <family val="2"/>
    </font>
    <font>
      <sz val="10"/>
      <color theme="1"/>
      <name val="Open Sans"/>
      <family val="2"/>
    </font>
    <font>
      <i/>
      <sz val="11"/>
      <color theme="1"/>
      <name val="Open Sans"/>
      <family val="2"/>
    </font>
    <font>
      <sz val="10"/>
      <color indexed="16"/>
      <name val="Open Sans"/>
      <family val="2"/>
    </font>
    <font>
      <b/>
      <sz val="10"/>
      <color indexed="16"/>
      <name val="Open Sans"/>
      <family val="2"/>
    </font>
    <font>
      <b/>
      <sz val="10"/>
      <color indexed="9"/>
      <name val="Open Sans"/>
      <family val="2"/>
    </font>
    <font>
      <sz val="12"/>
      <color indexed="16"/>
      <name val="Open Sans"/>
      <family val="2"/>
    </font>
    <font>
      <b/>
      <sz val="14"/>
      <color theme="0"/>
      <name val="Open Sans"/>
      <family val="2"/>
    </font>
    <font>
      <sz val="14"/>
      <color theme="0"/>
      <name val="Open Sans"/>
      <family val="2"/>
    </font>
    <font>
      <b/>
      <sz val="10"/>
      <color theme="0"/>
      <name val="Open Sans"/>
      <family val="2"/>
    </font>
    <font>
      <b/>
      <sz val="10"/>
      <name val="Open Sans"/>
      <family val="2"/>
    </font>
    <font>
      <b/>
      <i/>
      <sz val="10"/>
      <color rgb="FF0000FF"/>
      <name val="Open Sans"/>
      <family val="2"/>
    </font>
    <font>
      <sz val="12"/>
      <color rgb="FF0000FF"/>
      <name val="Open Sans"/>
      <family val="2"/>
    </font>
    <font>
      <sz val="12"/>
      <color indexed="9"/>
      <name val="Open Sans"/>
      <family val="2"/>
    </font>
    <font>
      <b/>
      <sz val="10"/>
      <color rgb="FF000000"/>
      <name val="Open Sans"/>
      <family val="2"/>
    </font>
    <font>
      <b/>
      <sz val="10"/>
      <color rgb="FF0000FF"/>
      <name val="Open Sans"/>
      <family val="2"/>
    </font>
    <font>
      <b/>
      <sz val="10"/>
      <color rgb="FF007E00"/>
      <name val="Open Sans"/>
      <family val="2"/>
    </font>
    <font>
      <b/>
      <sz val="14"/>
      <color rgb="FFFFFFFF"/>
      <name val="Open Sans"/>
      <family val="2"/>
    </font>
    <font>
      <b/>
      <sz val="12"/>
      <color indexed="16"/>
      <name val="Open Sans"/>
      <family val="2"/>
    </font>
    <font>
      <b/>
      <sz val="10"/>
      <color rgb="FF416D89"/>
      <name val="Open Sans"/>
      <family val="2"/>
    </font>
    <font>
      <sz val="8"/>
      <color indexed="16"/>
      <name val="Open Sans"/>
      <family val="2"/>
    </font>
    <font>
      <sz val="7"/>
      <color indexed="16"/>
      <name val="Open Sans"/>
      <family val="2"/>
    </font>
    <font>
      <b/>
      <sz val="10"/>
      <color rgb="FF003868"/>
      <name val="Open Sans"/>
      <family val="2"/>
    </font>
    <font>
      <b/>
      <sz val="10"/>
      <color rgb="FF003769"/>
      <name val="Open Sans"/>
      <family val="2"/>
    </font>
    <font>
      <b/>
      <u val="singleAccounting"/>
      <sz val="10"/>
      <color rgb="FF003769"/>
      <name val="Open Sans"/>
      <family val="2"/>
    </font>
    <font>
      <sz val="8"/>
      <color rgb="FF000000"/>
      <name val="Open Sans"/>
      <family val="2"/>
    </font>
    <font>
      <b/>
      <sz val="10"/>
      <color indexed="53"/>
      <name val="Open Sans"/>
      <family val="2"/>
    </font>
    <font>
      <sz val="10"/>
      <name val="Open Sans"/>
      <family val="2"/>
    </font>
    <font>
      <sz val="10"/>
      <color rgb="FF007E00"/>
      <name val="Open Sans"/>
      <family val="2"/>
    </font>
    <font>
      <sz val="10"/>
      <color rgb="FF000000"/>
      <name val="Open Sans"/>
      <family val="2"/>
    </font>
    <font>
      <i/>
      <sz val="10"/>
      <name val="Open Sans"/>
      <family val="2"/>
    </font>
    <font>
      <i/>
      <sz val="10"/>
      <color rgb="FF000000"/>
      <name val="Open Sans"/>
      <family val="2"/>
    </font>
    <font>
      <i/>
      <u/>
      <sz val="10"/>
      <name val="Open Sans"/>
      <family val="2"/>
    </font>
    <font>
      <i/>
      <sz val="10"/>
      <color rgb="FF007E00"/>
      <name val="Open Sans"/>
      <family val="2"/>
    </font>
    <font>
      <sz val="10"/>
      <color rgb="FF0000FF"/>
      <name val="Open Sans"/>
      <family val="2"/>
    </font>
    <font>
      <i/>
      <sz val="10"/>
      <color indexed="16"/>
      <name val="Open Sans"/>
      <family val="2"/>
    </font>
    <font>
      <i/>
      <sz val="8"/>
      <color indexed="60"/>
      <name val="Open Sans"/>
      <family val="2"/>
    </font>
    <font>
      <i/>
      <sz val="12"/>
      <color rgb="FFC00000"/>
      <name val="Open Sans"/>
      <family val="2"/>
    </font>
    <font>
      <i/>
      <sz val="10"/>
      <color rgb="FFC00000"/>
      <name val="Open Sans"/>
      <family val="2"/>
    </font>
    <font>
      <i/>
      <sz val="10"/>
      <color rgb="FFC23841"/>
      <name val="Open Sans"/>
      <family val="2"/>
    </font>
    <font>
      <b/>
      <u/>
      <sz val="10"/>
      <color indexed="16"/>
      <name val="Open Sans"/>
      <family val="2"/>
    </font>
    <font>
      <i/>
      <u/>
      <sz val="10"/>
      <color indexed="16"/>
      <name val="Open Sans"/>
      <family val="2"/>
    </font>
    <font>
      <u/>
      <sz val="10"/>
      <color indexed="16"/>
      <name val="Open Sans"/>
      <family val="2"/>
    </font>
    <font>
      <i/>
      <sz val="10"/>
      <color rgb="FF0000FF"/>
      <name val="Open Sans"/>
      <family val="2"/>
    </font>
  </fonts>
  <fills count="8">
    <fill>
      <patternFill patternType="none"/>
    </fill>
    <fill>
      <patternFill patternType="gray125"/>
    </fill>
    <fill>
      <patternFill patternType="solid">
        <fgColor rgb="FF416D89"/>
        <bgColor indexed="64"/>
      </patternFill>
    </fill>
    <fill>
      <patternFill patternType="solid">
        <fgColor rgb="FFD8D8D8"/>
        <bgColor indexed="64"/>
      </patternFill>
    </fill>
    <fill>
      <patternFill patternType="solid">
        <fgColor rgb="FFFFFF00"/>
        <bgColor indexed="64"/>
      </patternFill>
    </fill>
    <fill>
      <patternFill patternType="solid">
        <fgColor rgb="FFF5DCDC"/>
        <bgColor indexed="64"/>
      </patternFill>
    </fill>
    <fill>
      <patternFill patternType="solid">
        <fgColor rgb="FF005A9F"/>
        <bgColor indexed="64"/>
      </patternFill>
    </fill>
    <fill>
      <patternFill patternType="solid">
        <fgColor theme="1"/>
        <bgColor indexed="64"/>
      </patternFill>
    </fill>
  </fills>
  <borders count="10">
    <border>
      <left/>
      <right/>
      <top/>
      <bottom/>
      <diagonal/>
    </border>
    <border>
      <left/>
      <right/>
      <top style="thin">
        <color auto="1"/>
      </top>
      <bottom/>
      <diagonal/>
    </border>
    <border>
      <left/>
      <right/>
      <top style="thick">
        <color theme="0"/>
      </top>
      <bottom/>
      <diagonal/>
    </border>
    <border>
      <left/>
      <right/>
      <top/>
      <bottom style="medium">
        <color rgb="FF235A8C"/>
      </bottom>
      <diagonal/>
    </border>
    <border>
      <left/>
      <right/>
      <top style="hair">
        <color auto="1"/>
      </top>
      <bottom/>
      <diagonal/>
    </border>
    <border>
      <left/>
      <right/>
      <top/>
      <bottom style="medium">
        <color rgb="FF000000"/>
      </bottom>
      <diagonal/>
    </border>
    <border>
      <left style="thin">
        <color rgb="FFB4C3D2"/>
      </left>
      <right/>
      <top style="thin">
        <color rgb="FFB4C3D2"/>
      </top>
      <bottom style="thin">
        <color rgb="FFB4C3D2"/>
      </bottom>
      <diagonal/>
    </border>
    <border>
      <left/>
      <right/>
      <top style="thin">
        <color rgb="FFB4C3D2"/>
      </top>
      <bottom style="thin">
        <color rgb="FFB4C3D2"/>
      </bottom>
      <diagonal/>
    </border>
    <border>
      <left/>
      <right style="thin">
        <color rgb="FFB4C3D2"/>
      </right>
      <top style="thin">
        <color rgb="FFB4C3D2"/>
      </top>
      <bottom style="thin">
        <color rgb="FFB4C3D2"/>
      </bottom>
      <diagonal/>
    </border>
    <border>
      <left/>
      <right/>
      <top/>
      <bottom style="thin">
        <color rgb="FFB4C3D2"/>
      </bottom>
      <diagonal/>
    </border>
  </borders>
  <cellStyleXfs count="3">
    <xf numFmtId="0" fontId="0" fillId="0" borderId="0"/>
    <xf numFmtId="0" fontId="4" fillId="0" borderId="0"/>
    <xf numFmtId="0" fontId="6" fillId="0" borderId="0"/>
  </cellStyleXfs>
  <cellXfs count="175">
    <xf numFmtId="0" fontId="0" fillId="0" borderId="0" xfId="0"/>
    <xf numFmtId="164" fontId="5" fillId="0" borderId="0" xfId="1" applyNumberFormat="1" applyFont="1" applyAlignment="1">
      <alignment horizontal="centerContinuous"/>
    </xf>
    <xf numFmtId="0" fontId="1" fillId="0" borderId="0" xfId="2" applyFont="1"/>
    <xf numFmtId="0" fontId="2" fillId="2" borderId="0" xfId="1" applyFont="1" applyFill="1"/>
    <xf numFmtId="0" fontId="7" fillId="2" borderId="0" xfId="1" applyFont="1" applyFill="1"/>
    <xf numFmtId="0" fontId="8" fillId="3" borderId="0" xfId="2" applyFont="1" applyFill="1"/>
    <xf numFmtId="0" fontId="9" fillId="3" borderId="0" xfId="2" applyFont="1" applyFill="1"/>
    <xf numFmtId="165" fontId="1" fillId="0" borderId="0" xfId="2" applyNumberFormat="1" applyFont="1"/>
    <xf numFmtId="0" fontId="10" fillId="0" borderId="0" xfId="2" applyFont="1" applyAlignment="1">
      <alignment horizontal="center"/>
    </xf>
    <xf numFmtId="0" fontId="1" fillId="0" borderId="0" xfId="2" applyFont="1" applyAlignment="1">
      <alignment wrapText="1"/>
    </xf>
    <xf numFmtId="0" fontId="1" fillId="0" borderId="0" xfId="2" applyFont="1" applyAlignment="1">
      <alignment horizontal="left" indent="1"/>
    </xf>
    <xf numFmtId="166" fontId="1" fillId="0" borderId="0" xfId="2" applyNumberFormat="1" applyFont="1"/>
    <xf numFmtId="43" fontId="1" fillId="0" borderId="0" xfId="2" applyNumberFormat="1" applyFont="1"/>
    <xf numFmtId="0" fontId="3" fillId="0" borderId="1" xfId="2" applyFont="1" applyBorder="1"/>
    <xf numFmtId="0" fontId="1" fillId="0" borderId="1" xfId="2" applyFont="1" applyBorder="1"/>
    <xf numFmtId="166" fontId="3" fillId="0" borderId="1" xfId="2" applyNumberFormat="1" applyFont="1" applyBorder="1"/>
    <xf numFmtId="0" fontId="3" fillId="0" borderId="0" xfId="2" applyFont="1"/>
    <xf numFmtId="166" fontId="3" fillId="0" borderId="0" xfId="2" applyNumberFormat="1" applyFont="1"/>
    <xf numFmtId="0" fontId="11" fillId="0" borderId="0" xfId="2" applyFont="1" applyAlignment="1">
      <alignment horizontal="left" indent="2"/>
    </xf>
    <xf numFmtId="0" fontId="12" fillId="0" borderId="0" xfId="2" applyFont="1"/>
    <xf numFmtId="167" fontId="11" fillId="0" borderId="0" xfId="2" applyNumberFormat="1" applyFont="1"/>
    <xf numFmtId="167" fontId="13" fillId="0" borderId="0" xfId="2" applyNumberFormat="1" applyFont="1"/>
    <xf numFmtId="0" fontId="3" fillId="0" borderId="0" xfId="2" applyFont="1" applyAlignment="1">
      <alignment horizontal="left"/>
    </xf>
    <xf numFmtId="0" fontId="10" fillId="0" borderId="0" xfId="2" applyFont="1" applyAlignment="1">
      <alignment horizontal="right" indent="1"/>
    </xf>
    <xf numFmtId="0" fontId="1" fillId="0" borderId="0" xfId="2" applyFont="1" applyAlignment="1">
      <alignment horizontal="left" indent="2"/>
    </xf>
    <xf numFmtId="0" fontId="1" fillId="0" borderId="0" xfId="2" applyFont="1" applyAlignment="1">
      <alignment horizontal="left"/>
    </xf>
    <xf numFmtId="0" fontId="13" fillId="0" borderId="0" xfId="2" applyFont="1"/>
    <xf numFmtId="166" fontId="13" fillId="0" borderId="0" xfId="2" applyNumberFormat="1" applyFont="1"/>
    <xf numFmtId="0" fontId="13" fillId="0" borderId="0" xfId="2" applyFont="1" applyAlignment="1">
      <alignment horizontal="left"/>
    </xf>
    <xf numFmtId="0" fontId="14" fillId="0" borderId="0" xfId="0" applyFont="1" applyAlignment="1">
      <alignment vertical="center"/>
    </xf>
    <xf numFmtId="0" fontId="15" fillId="0" borderId="0" xfId="0" applyFont="1" applyAlignment="1">
      <alignment vertical="center"/>
    </xf>
    <xf numFmtId="168" fontId="16" fillId="0" borderId="0" xfId="0" applyNumberFormat="1" applyFont="1" applyAlignment="1">
      <alignment horizontal="right" vertical="center"/>
    </xf>
    <xf numFmtId="0" fontId="17" fillId="0" borderId="0" xfId="0" applyFont="1" applyAlignment="1">
      <alignment vertical="center"/>
    </xf>
    <xf numFmtId="0" fontId="18" fillId="2" borderId="0" xfId="0" applyFont="1" applyFill="1" applyAlignment="1">
      <alignment vertical="center"/>
    </xf>
    <xf numFmtId="0" fontId="19" fillId="2" borderId="0" xfId="0" applyFont="1" applyFill="1" applyAlignment="1">
      <alignment vertical="center"/>
    </xf>
    <xf numFmtId="168" fontId="19" fillId="2" borderId="0" xfId="0" applyNumberFormat="1" applyFont="1" applyFill="1" applyAlignment="1">
      <alignment horizontal="right" vertical="center"/>
    </xf>
    <xf numFmtId="169" fontId="19" fillId="2" borderId="0" xfId="0" applyNumberFormat="1" applyFont="1" applyFill="1" applyAlignment="1">
      <alignment horizontal="right" vertical="center"/>
    </xf>
    <xf numFmtId="0" fontId="20" fillId="2" borderId="0" xfId="0" applyFont="1" applyFill="1" applyAlignment="1">
      <alignment vertical="center"/>
    </xf>
    <xf numFmtId="168" fontId="18" fillId="2" borderId="0" xfId="0" applyNumberFormat="1" applyFont="1" applyFill="1" applyAlignment="1">
      <alignment horizontal="right" vertical="center"/>
    </xf>
    <xf numFmtId="0" fontId="21" fillId="0" borderId="0" xfId="0" applyFont="1" applyAlignment="1">
      <alignment vertical="center"/>
    </xf>
    <xf numFmtId="0" fontId="22" fillId="4" borderId="0" xfId="0" applyFont="1" applyFill="1" applyAlignment="1">
      <alignment vertical="center"/>
    </xf>
    <xf numFmtId="0" fontId="23" fillId="4" borderId="0" xfId="0" applyFont="1" applyFill="1" applyAlignment="1">
      <alignment vertical="center"/>
    </xf>
    <xf numFmtId="168" fontId="24" fillId="0" borderId="0" xfId="0" applyNumberFormat="1" applyFont="1" applyAlignment="1">
      <alignment horizontal="right" vertical="center"/>
    </xf>
    <xf numFmtId="170" fontId="25" fillId="5" borderId="0" xfId="0" applyNumberFormat="1" applyFont="1" applyFill="1" applyAlignment="1">
      <alignment vertical="center"/>
    </xf>
    <xf numFmtId="0" fontId="26" fillId="0" borderId="0" xfId="0" applyFont="1" applyAlignment="1">
      <alignment vertical="center"/>
    </xf>
    <xf numFmtId="0" fontId="27" fillId="0" borderId="0" xfId="0" applyFont="1" applyAlignment="1">
      <alignment vertical="center"/>
    </xf>
    <xf numFmtId="0" fontId="14" fillId="0" borderId="2" xfId="0" applyFont="1" applyBorder="1" applyAlignment="1">
      <alignment horizontal="center" vertical="center"/>
    </xf>
    <xf numFmtId="0" fontId="28" fillId="6" borderId="2" xfId="0" applyFont="1" applyFill="1" applyBorder="1" applyAlignment="1">
      <alignment vertical="center"/>
    </xf>
    <xf numFmtId="0" fontId="29" fillId="6" borderId="2" xfId="0" applyFont="1" applyFill="1" applyBorder="1" applyAlignment="1">
      <alignment vertical="center"/>
    </xf>
    <xf numFmtId="0" fontId="14" fillId="6" borderId="2" xfId="0" applyFont="1" applyFill="1" applyBorder="1" applyAlignment="1">
      <alignment vertical="center"/>
    </xf>
    <xf numFmtId="0" fontId="30"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33" fillId="0" borderId="0" xfId="0" applyFont="1" applyAlignment="1">
      <alignment horizontal="left" vertical="center"/>
    </xf>
    <xf numFmtId="0" fontId="34" fillId="0" borderId="0" xfId="0" applyFont="1" applyAlignment="1">
      <alignment horizontal="center" vertical="center"/>
    </xf>
    <xf numFmtId="49" fontId="35" fillId="0" borderId="0" xfId="0" applyNumberFormat="1" applyFont="1" applyAlignment="1">
      <alignment horizontal="centerContinuous" vertical="center"/>
    </xf>
    <xf numFmtId="0" fontId="36" fillId="0" borderId="3" xfId="0" applyFont="1" applyBorder="1" applyAlignment="1">
      <alignment horizontal="left" vertical="center"/>
    </xf>
    <xf numFmtId="0" fontId="33" fillId="0" borderId="3" xfId="0" applyFont="1" applyBorder="1" applyAlignment="1">
      <alignment horizontal="left" vertical="center"/>
    </xf>
    <xf numFmtId="171" fontId="34" fillId="0" borderId="3" xfId="0" applyNumberFormat="1" applyFont="1" applyBorder="1" applyAlignment="1">
      <alignment horizontal="center" vertical="center"/>
    </xf>
    <xf numFmtId="0" fontId="37" fillId="0" borderId="0" xfId="0" applyFont="1" applyAlignment="1">
      <alignment horizontal="left" vertical="center"/>
    </xf>
    <xf numFmtId="172" fontId="37" fillId="0" borderId="0" xfId="0" applyNumberFormat="1" applyFont="1" applyAlignment="1">
      <alignment horizontal="center" vertical="center"/>
    </xf>
    <xf numFmtId="173" fontId="21" fillId="0" borderId="0" xfId="0" applyNumberFormat="1" applyFont="1" applyAlignment="1">
      <alignment vertical="center"/>
    </xf>
    <xf numFmtId="174" fontId="27" fillId="4" borderId="0" xfId="0" applyNumberFormat="1" applyFont="1" applyFill="1" applyAlignment="1">
      <alignment vertical="center"/>
    </xf>
    <xf numFmtId="175" fontId="38" fillId="0" borderId="0" xfId="0" applyNumberFormat="1" applyFont="1" applyAlignment="1">
      <alignment vertical="center"/>
    </xf>
    <xf numFmtId="166" fontId="39" fillId="4" borderId="0" xfId="0" applyNumberFormat="1" applyFont="1" applyFill="1" applyAlignment="1">
      <alignment vertical="center"/>
    </xf>
    <xf numFmtId="0" fontId="38" fillId="0" borderId="4" xfId="0" applyFont="1" applyBorder="1" applyAlignment="1">
      <alignment vertical="center"/>
    </xf>
    <xf numFmtId="166" fontId="40" fillId="0" borderId="4" xfId="0" applyNumberFormat="1" applyFont="1" applyBorder="1" applyAlignment="1">
      <alignment vertical="center"/>
    </xf>
    <xf numFmtId="0" fontId="41" fillId="0" borderId="0" xfId="0" applyFont="1" applyAlignment="1">
      <alignment horizontal="left" vertical="center" indent="1"/>
    </xf>
    <xf numFmtId="0" fontId="38" fillId="0" borderId="0" xfId="0" applyFont="1" applyAlignment="1">
      <alignment vertical="center"/>
    </xf>
    <xf numFmtId="167" fontId="42" fillId="0" borderId="0" xfId="0" applyNumberFormat="1" applyFont="1" applyAlignment="1">
      <alignment horizontal="right" vertical="center"/>
    </xf>
    <xf numFmtId="0" fontId="21" fillId="0" borderId="4" xfId="0" applyFont="1" applyBorder="1" applyAlignment="1">
      <alignment vertical="center"/>
    </xf>
    <xf numFmtId="174" fontId="25" fillId="0" borderId="4" xfId="0" applyNumberFormat="1" applyFont="1" applyBorder="1" applyAlignment="1">
      <alignment vertical="center"/>
    </xf>
    <xf numFmtId="0" fontId="43" fillId="0" borderId="0" xfId="0" applyFont="1" applyAlignment="1">
      <alignment vertical="center"/>
    </xf>
    <xf numFmtId="167" fontId="44" fillId="0" borderId="0" xfId="0" applyNumberFormat="1" applyFont="1" applyAlignment="1">
      <alignment vertical="center"/>
    </xf>
    <xf numFmtId="175" fontId="38" fillId="0" borderId="0" xfId="0" applyNumberFormat="1" applyFont="1" applyAlignment="1">
      <alignment horizontal="left" vertical="center" indent="1"/>
    </xf>
    <xf numFmtId="170" fontId="39" fillId="0" borderId="0" xfId="0" applyNumberFormat="1" applyFont="1" applyAlignment="1">
      <alignment horizontal="right" vertical="center"/>
    </xf>
    <xf numFmtId="0" fontId="38" fillId="0" borderId="4" xfId="0" applyFont="1" applyBorder="1" applyAlignment="1">
      <alignment horizontal="left" vertical="center"/>
    </xf>
    <xf numFmtId="0" fontId="14" fillId="0" borderId="4" xfId="0" applyFont="1" applyBorder="1" applyAlignment="1">
      <alignment horizontal="left" vertical="center"/>
    </xf>
    <xf numFmtId="166" fontId="39" fillId="4" borderId="4" xfId="0" applyNumberFormat="1" applyFont="1" applyFill="1" applyBorder="1" applyAlignment="1">
      <alignment horizontal="right" vertical="center"/>
    </xf>
    <xf numFmtId="176" fontId="21" fillId="0" borderId="4" xfId="0" applyNumberFormat="1" applyFont="1" applyBorder="1" applyAlignment="1">
      <alignment vertical="center"/>
    </xf>
    <xf numFmtId="173" fontId="38" fillId="0" borderId="0" xfId="0" applyNumberFormat="1" applyFont="1" applyAlignment="1">
      <alignment vertical="center"/>
    </xf>
    <xf numFmtId="177" fontId="45" fillId="0" borderId="0" xfId="0" applyNumberFormat="1" applyFont="1" applyAlignment="1">
      <alignment vertical="center"/>
    </xf>
    <xf numFmtId="0" fontId="14" fillId="0" borderId="0" xfId="0" applyFont="1"/>
    <xf numFmtId="0" fontId="14" fillId="0" borderId="5" xfId="0" applyFont="1" applyBorder="1" applyAlignment="1">
      <alignment vertical="center"/>
    </xf>
    <xf numFmtId="0" fontId="20" fillId="2" borderId="6" xfId="0" applyFont="1" applyFill="1" applyBorder="1" applyAlignment="1">
      <alignment horizontal="left" vertical="center"/>
    </xf>
    <xf numFmtId="0" fontId="20" fillId="2" borderId="7" xfId="0" applyFont="1" applyFill="1" applyBorder="1" applyAlignment="1">
      <alignment horizontal="left" vertical="center" indent="1"/>
    </xf>
    <xf numFmtId="0" fontId="20" fillId="2" borderId="7" xfId="0" applyFont="1" applyFill="1" applyBorder="1" applyAlignment="1">
      <alignment horizontal="left" vertical="center"/>
    </xf>
    <xf numFmtId="0" fontId="20" fillId="2" borderId="8" xfId="0" applyFont="1" applyFill="1" applyBorder="1" applyAlignment="1">
      <alignment horizontal="left" vertical="center"/>
    </xf>
    <xf numFmtId="0" fontId="21" fillId="0" borderId="0" xfId="0" applyFont="1" applyAlignment="1">
      <alignment horizontal="left" vertical="center" indent="1"/>
    </xf>
    <xf numFmtId="174" fontId="27" fillId="4" borderId="0" xfId="0" applyNumberFormat="1" applyFont="1" applyFill="1" applyAlignment="1">
      <alignment horizontal="right" vertical="center"/>
    </xf>
    <xf numFmtId="178" fontId="14" fillId="0" borderId="0" xfId="0" applyNumberFormat="1" applyFont="1" applyAlignment="1">
      <alignment horizontal="right" vertical="center"/>
    </xf>
    <xf numFmtId="0" fontId="38" fillId="0" borderId="0" xfId="0" applyFont="1" applyAlignment="1">
      <alignment horizontal="left" vertical="center" indent="1"/>
    </xf>
    <xf numFmtId="166" fontId="39" fillId="4" borderId="0" xfId="0" applyNumberFormat="1" applyFont="1" applyFill="1" applyAlignment="1">
      <alignment horizontal="right" vertical="center"/>
    </xf>
    <xf numFmtId="166" fontId="38" fillId="0" borderId="4" xfId="0" applyNumberFormat="1" applyFont="1" applyBorder="1" applyAlignment="1">
      <alignment horizontal="right" vertical="center"/>
    </xf>
    <xf numFmtId="170" fontId="14" fillId="0" borderId="0" xfId="0" applyNumberFormat="1" applyFont="1" applyAlignment="1">
      <alignment horizontal="right" vertical="center"/>
    </xf>
    <xf numFmtId="0" fontId="14" fillId="0" borderId="0" xfId="0" applyFont="1" applyAlignment="1">
      <alignment horizontal="left" vertical="center"/>
    </xf>
    <xf numFmtId="166" fontId="39" fillId="0" borderId="0" xfId="0" applyNumberFormat="1" applyFont="1" applyAlignment="1">
      <alignment horizontal="right" vertical="center"/>
    </xf>
    <xf numFmtId="170" fontId="40" fillId="0" borderId="0" xfId="0" applyNumberFormat="1" applyFont="1" applyAlignment="1">
      <alignment horizontal="right" vertical="center"/>
    </xf>
    <xf numFmtId="0" fontId="38" fillId="0" borderId="0" xfId="0" applyFont="1" applyAlignment="1">
      <alignment horizontal="left" vertical="center"/>
    </xf>
    <xf numFmtId="166" fontId="45" fillId="0" borderId="0" xfId="0" applyNumberFormat="1" applyFont="1" applyAlignment="1">
      <alignment horizontal="right" vertical="center"/>
    </xf>
    <xf numFmtId="0" fontId="21" fillId="0" borderId="1" xfId="0" applyFont="1" applyBorder="1" applyAlignment="1">
      <alignment horizontal="left" vertical="center"/>
    </xf>
    <xf numFmtId="0" fontId="15" fillId="0" borderId="1" xfId="0" applyFont="1" applyBorder="1" applyAlignment="1">
      <alignment horizontal="left" vertical="center"/>
    </xf>
    <xf numFmtId="174" fontId="21" fillId="0" borderId="1" xfId="0" applyNumberFormat="1" applyFont="1" applyBorder="1" applyAlignment="1">
      <alignment horizontal="right" vertical="center"/>
    </xf>
    <xf numFmtId="178" fontId="15" fillId="0" borderId="0" xfId="0" applyNumberFormat="1" applyFont="1" applyAlignment="1">
      <alignment horizontal="right" vertical="center"/>
    </xf>
    <xf numFmtId="0" fontId="14" fillId="0" borderId="9" xfId="0" applyFont="1" applyBorder="1" applyAlignment="1">
      <alignment vertical="center"/>
    </xf>
    <xf numFmtId="179" fontId="21" fillId="0" borderId="1" xfId="0" applyNumberFormat="1" applyFont="1" applyBorder="1" applyAlignment="1">
      <alignment horizontal="right" vertical="center"/>
    </xf>
    <xf numFmtId="0" fontId="46" fillId="0" borderId="0" xfId="0" applyFont="1" applyAlignment="1">
      <alignment vertical="center"/>
    </xf>
    <xf numFmtId="0" fontId="47" fillId="0" borderId="0" xfId="0" applyFont="1" applyAlignment="1">
      <alignment horizontal="left" vertical="center" indent="1"/>
    </xf>
    <xf numFmtId="0" fontId="47" fillId="0" borderId="0" xfId="0" applyFont="1" applyAlignment="1">
      <alignment horizontal="left" vertical="center"/>
    </xf>
    <xf numFmtId="170" fontId="47" fillId="0" borderId="0" xfId="0" applyNumberFormat="1" applyFont="1" applyAlignment="1">
      <alignment horizontal="right" vertical="center"/>
    </xf>
    <xf numFmtId="0" fontId="48" fillId="0" borderId="0" xfId="0" applyFont="1" applyAlignment="1">
      <alignment vertical="center"/>
    </xf>
    <xf numFmtId="0" fontId="49" fillId="0" borderId="0" xfId="0" applyFont="1" applyAlignment="1">
      <alignment horizontal="left" vertical="center"/>
    </xf>
    <xf numFmtId="170" fontId="49" fillId="0" borderId="0" xfId="0" applyNumberFormat="1" applyFont="1" applyAlignment="1">
      <alignment horizontal="right" vertical="center"/>
    </xf>
    <xf numFmtId="180" fontId="49" fillId="0" borderId="0" xfId="0" applyNumberFormat="1" applyFont="1" applyAlignment="1">
      <alignment horizontal="right" vertical="center"/>
    </xf>
    <xf numFmtId="0" fontId="49" fillId="0" borderId="0" xfId="0" applyFont="1" applyAlignment="1">
      <alignment vertical="center"/>
    </xf>
    <xf numFmtId="0" fontId="38" fillId="0" borderId="5" xfId="0" applyFont="1" applyBorder="1" applyAlignment="1">
      <alignment vertical="center"/>
    </xf>
    <xf numFmtId="181" fontId="50" fillId="0" borderId="5" xfId="0" applyNumberFormat="1" applyFont="1" applyBorder="1" applyAlignment="1">
      <alignment vertical="center"/>
    </xf>
    <xf numFmtId="181" fontId="50" fillId="0" borderId="0" xfId="0" applyNumberFormat="1" applyFont="1" applyAlignment="1">
      <alignment vertical="center"/>
    </xf>
    <xf numFmtId="0" fontId="37" fillId="0" borderId="0" xfId="0" applyFont="1" applyAlignment="1">
      <alignment vertical="center"/>
    </xf>
    <xf numFmtId="0" fontId="51" fillId="0" borderId="0" xfId="0" applyFont="1"/>
    <xf numFmtId="0" fontId="52" fillId="0" borderId="0" xfId="0" applyFont="1"/>
    <xf numFmtId="0" fontId="46" fillId="0" borderId="0" xfId="0" applyFont="1"/>
    <xf numFmtId="41" fontId="14" fillId="0" borderId="0" xfId="0" applyNumberFormat="1" applyFont="1"/>
    <xf numFmtId="0" fontId="53" fillId="0" borderId="0" xfId="0" applyFont="1"/>
    <xf numFmtId="43" fontId="14" fillId="0" borderId="0" xfId="0" applyNumberFormat="1" applyFont="1"/>
    <xf numFmtId="0" fontId="14" fillId="7" borderId="0" xfId="0" applyFont="1" applyFill="1" applyAlignment="1">
      <alignment vertical="center"/>
    </xf>
    <xf numFmtId="174" fontId="27" fillId="0" borderId="0" xfId="0" applyNumberFormat="1" applyFont="1" applyAlignment="1">
      <alignment vertical="center"/>
    </xf>
    <xf numFmtId="174" fontId="21" fillId="4" borderId="0" xfId="0" applyNumberFormat="1" applyFont="1" applyFill="1" applyAlignment="1">
      <alignment vertical="center"/>
    </xf>
    <xf numFmtId="166" fontId="39" fillId="0" borderId="0" xfId="0" applyNumberFormat="1" applyFont="1" applyAlignment="1">
      <alignment vertical="center"/>
    </xf>
    <xf numFmtId="166" fontId="38" fillId="4" borderId="0" xfId="0" applyNumberFormat="1" applyFont="1" applyFill="1" applyAlignment="1">
      <alignment vertical="center"/>
    </xf>
    <xf numFmtId="166" fontId="45" fillId="4" borderId="0" xfId="0" applyNumberFormat="1" applyFont="1" applyFill="1" applyAlignment="1">
      <alignment vertical="center"/>
    </xf>
    <xf numFmtId="166" fontId="39" fillId="0" borderId="4" xfId="0" applyNumberFormat="1" applyFont="1" applyBorder="1" applyAlignment="1">
      <alignment horizontal="right" vertical="center"/>
    </xf>
    <xf numFmtId="177" fontId="40" fillId="0" borderId="0" xfId="0" applyNumberFormat="1" applyFont="1" applyAlignment="1">
      <alignment vertical="center"/>
    </xf>
    <xf numFmtId="0" fontId="41" fillId="0" borderId="0" xfId="0" applyFont="1" applyAlignment="1">
      <alignment vertical="center"/>
    </xf>
    <xf numFmtId="181" fontId="41" fillId="4" borderId="0" xfId="0" applyNumberFormat="1" applyFont="1" applyFill="1" applyAlignment="1">
      <alignment horizontal="right" vertical="center"/>
    </xf>
    <xf numFmtId="167" fontId="54" fillId="4" borderId="0" xfId="0" applyNumberFormat="1" applyFont="1" applyFill="1" applyAlignment="1">
      <alignment horizontal="right" vertical="center"/>
    </xf>
    <xf numFmtId="177" fontId="38" fillId="4" borderId="0" xfId="0" applyNumberFormat="1" applyFont="1" applyFill="1" applyAlignment="1">
      <alignment vertical="center"/>
    </xf>
    <xf numFmtId="177" fontId="45" fillId="4" borderId="0" xfId="0" applyNumberFormat="1" applyFont="1" applyFill="1" applyAlignment="1">
      <alignment vertical="center"/>
    </xf>
    <xf numFmtId="181" fontId="41" fillId="0" borderId="0" xfId="0" applyNumberFormat="1" applyFont="1" applyAlignment="1">
      <alignment horizontal="right" vertical="center"/>
    </xf>
    <xf numFmtId="167" fontId="54" fillId="0" borderId="0" xfId="0" applyNumberFormat="1" applyFont="1" applyAlignment="1">
      <alignment horizontal="right" vertical="center"/>
    </xf>
    <xf numFmtId="181" fontId="42" fillId="0" borderId="0" xfId="0" applyNumberFormat="1" applyFont="1" applyAlignment="1">
      <alignment horizontal="right" vertical="center"/>
    </xf>
    <xf numFmtId="174" fontId="27" fillId="0" borderId="0" xfId="0" applyNumberFormat="1" applyFont="1" applyAlignment="1">
      <alignment horizontal="right" vertical="center"/>
    </xf>
    <xf numFmtId="0" fontId="30" fillId="0" borderId="0" xfId="0" applyFont="1"/>
    <xf numFmtId="0" fontId="33" fillId="0" borderId="0" xfId="0" applyFont="1" applyAlignment="1">
      <alignment horizontal="center" vertical="center"/>
    </xf>
    <xf numFmtId="0" fontId="33" fillId="0" borderId="3" xfId="0" applyFont="1" applyBorder="1" applyAlignment="1">
      <alignment horizontal="center" vertical="center"/>
    </xf>
    <xf numFmtId="172" fontId="33" fillId="0" borderId="3" xfId="0" applyNumberFormat="1" applyFont="1" applyBorder="1" applyAlignment="1">
      <alignment horizontal="center" vertical="center"/>
    </xf>
    <xf numFmtId="171" fontId="38" fillId="0" borderId="0" xfId="0" applyNumberFormat="1" applyFont="1" applyAlignment="1">
      <alignment horizontal="left" vertical="center"/>
    </xf>
    <xf numFmtId="177" fontId="38" fillId="0" borderId="0" xfId="0" applyNumberFormat="1" applyFont="1" applyAlignment="1">
      <alignment vertical="center"/>
    </xf>
    <xf numFmtId="182" fontId="45" fillId="4" borderId="0" xfId="0" applyNumberFormat="1" applyFont="1" applyFill="1" applyAlignment="1">
      <alignment horizontal="center" vertical="center"/>
    </xf>
    <xf numFmtId="166" fontId="38" fillId="0" borderId="0" xfId="0" applyNumberFormat="1" applyFont="1" applyAlignment="1">
      <alignment vertical="center"/>
    </xf>
    <xf numFmtId="170" fontId="41" fillId="0" borderId="0" xfId="0" applyNumberFormat="1" applyFont="1" applyAlignment="1">
      <alignment horizontal="right" vertical="center"/>
    </xf>
    <xf numFmtId="170" fontId="38" fillId="4" borderId="0" xfId="0" applyNumberFormat="1" applyFont="1" applyFill="1" applyAlignment="1">
      <alignment vertical="center"/>
    </xf>
    <xf numFmtId="179" fontId="38" fillId="0" borderId="0" xfId="0" applyNumberFormat="1" applyFont="1" applyAlignment="1">
      <alignment vertical="center"/>
    </xf>
    <xf numFmtId="166" fontId="45" fillId="0" borderId="0" xfId="0" applyNumberFormat="1" applyFont="1" applyAlignment="1">
      <alignment horizontal="center" vertical="center"/>
    </xf>
    <xf numFmtId="170" fontId="38" fillId="0" borderId="0" xfId="0" applyNumberFormat="1" applyFont="1" applyAlignment="1">
      <alignment vertical="center"/>
    </xf>
    <xf numFmtId="177" fontId="14" fillId="0" borderId="0" xfId="0" applyNumberFormat="1" applyFont="1" applyAlignment="1">
      <alignment vertical="center"/>
    </xf>
    <xf numFmtId="170" fontId="21" fillId="0" borderId="1" xfId="0" applyNumberFormat="1" applyFont="1" applyBorder="1" applyAlignment="1">
      <alignment vertical="center"/>
    </xf>
    <xf numFmtId="0" fontId="37" fillId="0" borderId="5" xfId="0" applyFont="1" applyBorder="1" applyAlignment="1">
      <alignment vertical="center"/>
    </xf>
    <xf numFmtId="174" fontId="21" fillId="0" borderId="0" xfId="0" applyNumberFormat="1" applyFont="1" applyAlignment="1">
      <alignment vertical="center"/>
    </xf>
    <xf numFmtId="166" fontId="45" fillId="0" borderId="0" xfId="0" applyNumberFormat="1" applyFont="1" applyAlignment="1">
      <alignment vertical="center"/>
    </xf>
    <xf numFmtId="166" fontId="21" fillId="5" borderId="0" xfId="0" applyNumberFormat="1" applyFont="1" applyFill="1" applyAlignment="1">
      <alignment vertical="center"/>
    </xf>
    <xf numFmtId="177" fontId="39" fillId="4" borderId="0" xfId="0" applyNumberFormat="1" applyFont="1" applyFill="1" applyAlignment="1">
      <alignment vertical="center"/>
    </xf>
    <xf numFmtId="166" fontId="38" fillId="4" borderId="0" xfId="0" applyNumberFormat="1" applyFont="1" applyFill="1" applyAlignment="1">
      <alignment horizontal="center" vertical="center"/>
    </xf>
    <xf numFmtId="179" fontId="38" fillId="5" borderId="0" xfId="0" applyNumberFormat="1" applyFont="1" applyFill="1" applyAlignment="1">
      <alignment vertical="center"/>
    </xf>
    <xf numFmtId="0" fontId="14" fillId="7" borderId="0" xfId="0" applyFont="1" applyFill="1"/>
    <xf numFmtId="166" fontId="38" fillId="4" borderId="0" xfId="0" applyNumberFormat="1" applyFont="1" applyFill="1" applyAlignment="1">
      <alignment horizontal="right" vertical="center"/>
    </xf>
    <xf numFmtId="166" fontId="45" fillId="4" borderId="0" xfId="0" applyNumberFormat="1" applyFont="1" applyFill="1" applyAlignment="1">
      <alignment horizontal="right" vertical="center"/>
    </xf>
    <xf numFmtId="0" fontId="41" fillId="0" borderId="0" xfId="0" applyFont="1" applyAlignment="1">
      <alignment horizontal="left" vertical="center"/>
    </xf>
    <xf numFmtId="183" fontId="41" fillId="4" borderId="0" xfId="0" applyNumberFormat="1" applyFont="1" applyFill="1" applyAlignment="1">
      <alignment horizontal="right" vertical="center"/>
    </xf>
    <xf numFmtId="174" fontId="38" fillId="0" borderId="0" xfId="0" applyNumberFormat="1" applyFont="1" applyAlignment="1">
      <alignment horizontal="center" vertical="center"/>
    </xf>
    <xf numFmtId="182" fontId="45" fillId="0" borderId="0" xfId="0" applyNumberFormat="1" applyFont="1" applyAlignment="1">
      <alignment horizontal="center" vertical="center"/>
    </xf>
    <xf numFmtId="174" fontId="38" fillId="4" borderId="0" xfId="0" applyNumberFormat="1" applyFont="1" applyFill="1" applyAlignment="1">
      <alignment horizontal="center" vertical="center"/>
    </xf>
    <xf numFmtId="170" fontId="41" fillId="4" borderId="0" xfId="0" applyNumberFormat="1" applyFont="1" applyFill="1" applyAlignment="1">
      <alignment horizontal="right" vertical="center"/>
    </xf>
    <xf numFmtId="170" fontId="12" fillId="4" borderId="0" xfId="0" applyNumberFormat="1" applyFont="1" applyFill="1" applyAlignment="1">
      <alignment vertical="center"/>
    </xf>
    <xf numFmtId="0" fontId="12" fillId="4" borderId="0" xfId="0" applyFont="1" applyFill="1" applyAlignment="1">
      <alignment vertical="center"/>
    </xf>
  </cellXfs>
  <cellStyles count="3">
    <cellStyle name="Normal" xfId="0" builtinId="0"/>
    <cellStyle name="Normal 10 2" xfId="1" xr:uid="{72F8DEEC-2B71-4EE8-BD43-13F79DC7B708}"/>
    <cellStyle name="Normal 5 2" xfId="2" xr:uid="{0E6D6010-9EC5-49A6-AAD7-94F09F30B2AE}"/>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athenape.sharepoint.com/sites/AthenaDocuments/Shared%20Documents/_DOCS/_Teaching%20Content/Model%20Examples/Nine%20Step%20Model%20Valuation%20Build%20-%20VIDEO.xlsx" TargetMode="External"/><Relationship Id="rId1" Type="http://schemas.openxmlformats.org/officeDocument/2006/relationships/externalLinkPath" Target="/sites/AthenaDocuments/Shared%20Documents/_DOCS/_Teaching%20Content/Model%20Examples/Nine%20Step%20Model%20Valuation%20Build%20-%20VIDE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T I - MODEL BUILD &gt;&gt;&gt;"/>
      <sheetName val="Financials from CIP"/>
      <sheetName val="Step 1"/>
      <sheetName val="Step 1 Answer Key"/>
      <sheetName val="Step 2"/>
      <sheetName val="Step 2 Answer Key"/>
      <sheetName val="Step 3"/>
      <sheetName val="Step 3 Answer Key"/>
      <sheetName val="Step 4"/>
      <sheetName val="Step 4 Answer Key"/>
      <sheetName val="Step 5"/>
      <sheetName val="Step 5 Answer Key"/>
      <sheetName val="Step 6"/>
      <sheetName val="Step 6 Answer Key"/>
      <sheetName val="Step 7"/>
      <sheetName val="Step 7 Answer Key"/>
      <sheetName val="Step 8"/>
      <sheetName val="Step 8 Answer Key"/>
      <sheetName val="Step 9"/>
      <sheetName val="Step 9 Answer Key"/>
      <sheetName val="PART II - VALUATION BUILD &gt;&gt;&gt;"/>
      <sheetName val="Step 1 - Replacement Valuation"/>
      <sheetName val="Step 1 - Replacement Answer Key"/>
      <sheetName val="Step 2 - Comps"/>
      <sheetName val="Step 2 - Comps Answer Key"/>
      <sheetName val="Step 3 - DCF"/>
      <sheetName val="Step 3 - DCF Answer Key"/>
      <sheetName val="Step 4 - LBO"/>
      <sheetName val="Step 4 - LBO Answer Key"/>
      <sheetName val="Step 5 - Football Field Answ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B19BC-DD9B-4D57-9654-3FDAD3E08DF1}">
  <sheetPr>
    <tabColor theme="1"/>
  </sheetPr>
  <dimension ref="A1"/>
  <sheetViews>
    <sheetView topLeftCell="XFD1" zoomScaleNormal="100" workbookViewId="0">
      <selection activeCell="C2" sqref="C2"/>
    </sheetView>
  </sheetViews>
  <sheetFormatPr defaultColWidth="0" defaultRowHeight="12.75"/>
  <cols>
    <col min="1" max="16384" width="9.140625" hidden="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8DE9A-0426-44D7-B00D-61E95F7DD0BB}">
  <sheetPr>
    <tabColor rgb="FF005A9F"/>
    <pageSetUpPr fitToPage="1"/>
  </sheetPr>
  <dimension ref="B1:O94"/>
  <sheetViews>
    <sheetView showGridLines="0" view="pageBreakPreview" zoomScaleNormal="85" zoomScaleSheetLayoutView="100" workbookViewId="0">
      <pane xSplit="3" ySplit="10" topLeftCell="D11" activePane="bottomRight" state="frozen"/>
      <selection activeCell="C2" sqref="C2"/>
      <selection pane="topRight" activeCell="C2" sqref="C2"/>
      <selection pane="bottomLeft" activeCell="C2" sqref="C2"/>
      <selection pane="bottomRight" activeCell="B3" sqref="B3"/>
    </sheetView>
  </sheetViews>
  <sheetFormatPr defaultRowHeight="16.5" outlineLevelRow="1"/>
  <cols>
    <col min="1" max="1" width="9.140625" style="2"/>
    <col min="2" max="2" width="47" style="2" customWidth="1"/>
    <col min="3" max="3" width="3" style="2" customWidth="1"/>
    <col min="4" max="4" width="14.5703125" style="2" bestFit="1" customWidth="1"/>
    <col min="5" max="5" width="12.85546875" style="2" bestFit="1" customWidth="1"/>
    <col min="6" max="6" width="3" style="2" customWidth="1"/>
    <col min="7" max="7" width="2.85546875" style="2" customWidth="1"/>
    <col min="8" max="8" width="9.140625" style="2"/>
    <col min="9" max="9" width="12.5703125" style="2" bestFit="1" customWidth="1"/>
    <col min="10" max="10" width="18.5703125" style="2" bestFit="1" customWidth="1"/>
    <col min="11" max="11" width="12.5703125" style="2" bestFit="1" customWidth="1"/>
    <col min="12" max="12" width="9.140625" style="2"/>
    <col min="13" max="13" width="12.5703125" style="2" bestFit="1" customWidth="1"/>
    <col min="14" max="16384" width="9.140625" style="2"/>
  </cols>
  <sheetData>
    <row r="1" spans="2:11">
      <c r="B1" s="1"/>
    </row>
    <row r="3" spans="2:11">
      <c r="B3" s="3" t="s">
        <v>0</v>
      </c>
      <c r="C3" s="3"/>
      <c r="D3" s="3"/>
      <c r="E3" s="3"/>
      <c r="F3" s="3"/>
    </row>
    <row r="4" spans="2:11">
      <c r="B4" s="3" t="s">
        <v>1</v>
      </c>
      <c r="C4" s="3"/>
      <c r="D4" s="3"/>
      <c r="E4" s="3"/>
      <c r="F4" s="3"/>
    </row>
    <row r="5" spans="2:11">
      <c r="B5" s="4" t="s">
        <v>2</v>
      </c>
      <c r="C5" s="4"/>
      <c r="D5" s="4"/>
      <c r="E5" s="4"/>
      <c r="F5" s="4"/>
    </row>
    <row r="7" spans="2:11">
      <c r="B7" s="5" t="s">
        <v>3</v>
      </c>
      <c r="C7" s="6"/>
      <c r="D7" s="6"/>
      <c r="E7" s="6"/>
      <c r="F7" s="6"/>
      <c r="H7" s="7"/>
      <c r="I7" s="7"/>
      <c r="J7" s="7"/>
      <c r="K7" s="7"/>
    </row>
    <row r="8" spans="2:11">
      <c r="H8" s="7"/>
      <c r="I8" s="7"/>
      <c r="J8" s="7"/>
      <c r="K8" s="7"/>
    </row>
    <row r="9" spans="2:11">
      <c r="D9" s="8" t="s">
        <v>4</v>
      </c>
      <c r="E9" s="8" t="s">
        <v>4</v>
      </c>
    </row>
    <row r="10" spans="2:11">
      <c r="D10" s="8">
        <v>2023</v>
      </c>
      <c r="E10" s="8">
        <v>2024</v>
      </c>
      <c r="F10" s="9"/>
    </row>
    <row r="11" spans="2:11">
      <c r="B11" s="10" t="s">
        <v>5</v>
      </c>
      <c r="D11" s="11">
        <v>67988.161999999997</v>
      </c>
      <c r="E11" s="11">
        <v>74320.331999999995</v>
      </c>
      <c r="I11" s="12"/>
      <c r="J11" s="12"/>
      <c r="K11" s="12"/>
    </row>
    <row r="12" spans="2:11">
      <c r="B12" s="10" t="s">
        <v>6</v>
      </c>
      <c r="D12" s="11">
        <v>10577.513999999999</v>
      </c>
      <c r="E12" s="11">
        <v>16293.675999999999</v>
      </c>
      <c r="I12" s="12"/>
      <c r="J12" s="12"/>
      <c r="K12" s="12"/>
    </row>
    <row r="13" spans="2:11">
      <c r="B13" s="13" t="s">
        <v>7</v>
      </c>
      <c r="C13" s="14"/>
      <c r="D13" s="15">
        <f>+SUM(D11:D12)</f>
        <v>78565.675999999992</v>
      </c>
      <c r="E13" s="15">
        <f>+SUM(E11:E12)</f>
        <v>90614.008000000002</v>
      </c>
    </row>
    <row r="15" spans="2:11">
      <c r="B15" s="10" t="s">
        <v>8</v>
      </c>
      <c r="D15" s="11">
        <v>41584.93</v>
      </c>
      <c r="E15" s="11">
        <v>49665.089</v>
      </c>
      <c r="I15" s="12"/>
      <c r="J15" s="12"/>
      <c r="K15" s="12"/>
    </row>
    <row r="16" spans="2:11">
      <c r="B16" s="10" t="s">
        <v>9</v>
      </c>
      <c r="D16" s="11">
        <v>8321.4680000000008</v>
      </c>
      <c r="E16" s="11">
        <v>9548.8639999999996</v>
      </c>
      <c r="I16" s="12"/>
      <c r="J16" s="12"/>
      <c r="K16" s="12"/>
    </row>
    <row r="17" spans="2:15">
      <c r="B17" s="10" t="s">
        <v>10</v>
      </c>
      <c r="D17" s="11">
        <v>1655.7909999999999</v>
      </c>
      <c r="E17" s="11">
        <v>2404.723</v>
      </c>
      <c r="I17" s="12"/>
      <c r="J17" s="12"/>
      <c r="K17" s="12"/>
    </row>
    <row r="18" spans="2:15" ht="5.0999999999999996" customHeight="1">
      <c r="B18" s="10"/>
      <c r="D18" s="11"/>
      <c r="E18" s="11"/>
    </row>
    <row r="19" spans="2:15">
      <c r="B19" s="13" t="s">
        <v>11</v>
      </c>
      <c r="C19" s="14"/>
      <c r="D19" s="15">
        <f>+D13-SUM(D15:D18)</f>
        <v>27003.486999999994</v>
      </c>
      <c r="E19" s="15">
        <f t="shared" ref="E19" si="0">+E13-SUM(E15:E18)</f>
        <v>28995.332000000002</v>
      </c>
    </row>
    <row r="20" spans="2:15" ht="5.0999999999999996" customHeight="1">
      <c r="B20" s="16"/>
      <c r="D20" s="17"/>
      <c r="E20" s="17"/>
    </row>
    <row r="21" spans="2:15" s="19" customFormat="1" ht="15">
      <c r="B21" s="18" t="s">
        <v>12</v>
      </c>
      <c r="D21" s="20">
        <f>+D19/D$13</f>
        <v>0.34370590790818112</v>
      </c>
      <c r="E21" s="20">
        <f>+E19/E$13</f>
        <v>0.31998730262543956</v>
      </c>
    </row>
    <row r="22" spans="2:15" ht="5.0999999999999996" customHeight="1"/>
    <row r="23" spans="2:15">
      <c r="B23" s="10" t="s">
        <v>13</v>
      </c>
      <c r="D23" s="11">
        <v>10567.612999999999</v>
      </c>
      <c r="E23" s="11">
        <v>11023.057000000001</v>
      </c>
      <c r="I23" s="12"/>
      <c r="J23" s="12"/>
      <c r="K23" s="12"/>
      <c r="M23" s="12"/>
      <c r="N23" s="12"/>
      <c r="O23" s="12"/>
    </row>
    <row r="24" spans="2:15">
      <c r="B24" s="10" t="s">
        <v>14</v>
      </c>
      <c r="D24" s="11">
        <v>3246.1469999999999</v>
      </c>
      <c r="E24" s="11">
        <v>4150.1989395000001</v>
      </c>
      <c r="I24" s="12"/>
      <c r="J24" s="12"/>
      <c r="K24" s="12"/>
    </row>
    <row r="25" spans="2:15">
      <c r="B25" s="10" t="s">
        <v>15</v>
      </c>
      <c r="D25" s="11">
        <v>1180.1621</v>
      </c>
      <c r="E25" s="11">
        <v>1161.7642799999999</v>
      </c>
      <c r="I25" s="12"/>
      <c r="J25" s="12"/>
      <c r="K25" s="12"/>
    </row>
    <row r="26" spans="2:15">
      <c r="B26" s="10" t="s">
        <v>16</v>
      </c>
      <c r="D26" s="11">
        <v>208.26400000000001</v>
      </c>
      <c r="E26" s="11">
        <v>237.952</v>
      </c>
      <c r="I26" s="12"/>
      <c r="J26" s="12"/>
      <c r="K26" s="12"/>
    </row>
    <row r="27" spans="2:15">
      <c r="B27" s="10" t="s">
        <v>17</v>
      </c>
      <c r="D27" s="11">
        <v>2224.9549999999999</v>
      </c>
      <c r="E27" s="11">
        <v>1472.7629999999999</v>
      </c>
      <c r="I27" s="12"/>
      <c r="J27" s="12"/>
      <c r="K27" s="12"/>
    </row>
    <row r="28" spans="2:15">
      <c r="B28" s="10" t="s">
        <v>18</v>
      </c>
      <c r="D28" s="11">
        <v>366.15499999999997</v>
      </c>
      <c r="E28" s="11">
        <v>263.43299999999999</v>
      </c>
      <c r="I28" s="12"/>
      <c r="J28" s="12"/>
      <c r="K28" s="12"/>
      <c r="M28" s="12"/>
      <c r="N28" s="12"/>
      <c r="O28" s="12"/>
    </row>
    <row r="29" spans="2:15">
      <c r="B29" s="10" t="s">
        <v>19</v>
      </c>
      <c r="D29" s="11">
        <v>3201.0390000000002</v>
      </c>
      <c r="E29" s="11">
        <v>2809.107</v>
      </c>
      <c r="I29" s="12"/>
      <c r="J29" s="12"/>
      <c r="K29" s="12"/>
    </row>
    <row r="30" spans="2:15">
      <c r="B30" s="13" t="s">
        <v>20</v>
      </c>
      <c r="C30" s="14"/>
      <c r="D30" s="15">
        <f>+SUM(D23:D29)</f>
        <v>20994.335099999997</v>
      </c>
      <c r="E30" s="15">
        <f>+SUM(E23:E29)</f>
        <v>21118.275219499999</v>
      </c>
    </row>
    <row r="32" spans="2:15">
      <c r="B32" s="10" t="s">
        <v>21</v>
      </c>
      <c r="D32" s="11">
        <v>147.37100000000001</v>
      </c>
      <c r="E32" s="11">
        <v>273.43900000000002</v>
      </c>
      <c r="I32" s="12"/>
      <c r="J32" s="12"/>
      <c r="K32" s="12"/>
    </row>
    <row r="33" spans="2:11" ht="5.0999999999999996" customHeight="1"/>
    <row r="34" spans="2:11">
      <c r="B34" s="13" t="s">
        <v>22</v>
      </c>
      <c r="C34" s="14"/>
      <c r="D34" s="15">
        <f>+D19-D30-D32</f>
        <v>5861.780899999997</v>
      </c>
      <c r="E34" s="15">
        <f>+E19-E30-E32</f>
        <v>7603.6177805000025</v>
      </c>
      <c r="I34" s="21"/>
      <c r="J34" s="21"/>
      <c r="K34" s="21"/>
    </row>
    <row r="36" spans="2:11">
      <c r="B36" s="22" t="s">
        <v>23</v>
      </c>
      <c r="D36" s="17">
        <f>+D34+D25+D27+D29+D26+D32</f>
        <v>12823.571999999996</v>
      </c>
      <c r="E36" s="17">
        <f t="shared" ref="E36" si="1">+E34+E25+E27+E29+E26+E32</f>
        <v>13558.643060500002</v>
      </c>
      <c r="I36" s="21"/>
      <c r="J36" s="21"/>
      <c r="K36" s="21"/>
    </row>
    <row r="37" spans="2:11" ht="5.0999999999999996" customHeight="1">
      <c r="B37" s="22"/>
      <c r="D37" s="17"/>
      <c r="E37" s="17"/>
    </row>
    <row r="38" spans="2:11" ht="5.0999999999999996" customHeight="1">
      <c r="B38" s="16"/>
      <c r="D38" s="17"/>
      <c r="E38" s="17"/>
    </row>
    <row r="39" spans="2:11" s="19" customFormat="1" ht="15">
      <c r="B39" s="18" t="s">
        <v>24</v>
      </c>
      <c r="D39" s="20">
        <f>D34/D$13</f>
        <v>7.4609946715153294E-2</v>
      </c>
      <c r="E39" s="20">
        <f t="shared" ref="E39" si="2">E34/E$13</f>
        <v>8.3912167095621715E-2</v>
      </c>
    </row>
    <row r="40" spans="2:11" s="19" customFormat="1" ht="15">
      <c r="B40" s="18" t="s">
        <v>25</v>
      </c>
      <c r="D40" s="20">
        <f>D36/D$13</f>
        <v>0.16322104833668075</v>
      </c>
      <c r="E40" s="20">
        <f t="shared" ref="E40" si="3">E36/E$13</f>
        <v>0.14963076195128686</v>
      </c>
    </row>
    <row r="42" spans="2:11">
      <c r="B42" s="5" t="s">
        <v>26</v>
      </c>
      <c r="C42" s="6"/>
      <c r="D42" s="6"/>
      <c r="E42" s="6"/>
      <c r="F42" s="6"/>
    </row>
    <row r="44" spans="2:11">
      <c r="D44" s="8" t="s">
        <v>27</v>
      </c>
      <c r="E44" s="8" t="s">
        <v>27</v>
      </c>
    </row>
    <row r="45" spans="2:11">
      <c r="D45" s="23">
        <f>+D10</f>
        <v>2023</v>
      </c>
      <c r="E45" s="23">
        <f>+D45+1</f>
        <v>2024</v>
      </c>
    </row>
    <row r="46" spans="2:11">
      <c r="B46" s="10" t="s">
        <v>28</v>
      </c>
      <c r="D46" s="11">
        <v>7105.652</v>
      </c>
      <c r="E46" s="11">
        <v>2957.9920000000002</v>
      </c>
      <c r="I46" s="11"/>
    </row>
    <row r="47" spans="2:11">
      <c r="B47" s="10" t="s">
        <v>29</v>
      </c>
      <c r="D47" s="11">
        <v>17300.432000000001</v>
      </c>
      <c r="E47" s="11">
        <v>22973.94</v>
      </c>
      <c r="I47" s="12"/>
      <c r="J47" s="12"/>
      <c r="K47" s="12"/>
    </row>
    <row r="48" spans="2:11">
      <c r="B48" s="24" t="s">
        <v>30</v>
      </c>
      <c r="D48" s="11">
        <v>-519.01300000000003</v>
      </c>
      <c r="E48" s="11">
        <v>-689.21799999999996</v>
      </c>
      <c r="I48" s="12"/>
      <c r="J48" s="12"/>
      <c r="K48" s="12"/>
    </row>
    <row r="49" spans="2:11">
      <c r="B49" s="10" t="s">
        <v>31</v>
      </c>
      <c r="D49" s="11">
        <v>804.90099999999995</v>
      </c>
      <c r="E49" s="11">
        <v>1161.057</v>
      </c>
      <c r="I49" s="12"/>
      <c r="J49" s="12"/>
      <c r="K49" s="12"/>
    </row>
    <row r="50" spans="2:11">
      <c r="B50" s="10" t="s">
        <v>32</v>
      </c>
      <c r="D50" s="11">
        <v>269.78399999999999</v>
      </c>
      <c r="E50" s="11">
        <v>344.91899999999998</v>
      </c>
      <c r="I50" s="12"/>
      <c r="J50" s="12"/>
      <c r="K50" s="12"/>
    </row>
    <row r="51" spans="2:11">
      <c r="B51" s="13" t="s">
        <v>33</v>
      </c>
      <c r="C51" s="14"/>
      <c r="D51" s="15">
        <f>+SUM(D46:D50)</f>
        <v>24961.756000000005</v>
      </c>
      <c r="E51" s="15">
        <f>+SUM(E46:E50)</f>
        <v>26748.690000000002</v>
      </c>
    </row>
    <row r="52" spans="2:11">
      <c r="B52" s="25"/>
    </row>
    <row r="53" spans="2:11">
      <c r="B53" s="10" t="s">
        <v>34</v>
      </c>
      <c r="D53" s="11">
        <v>54584.7</v>
      </c>
      <c r="E53" s="11">
        <v>55684.983999999997</v>
      </c>
      <c r="I53" s="12"/>
      <c r="J53" s="12"/>
      <c r="K53" s="12"/>
    </row>
    <row r="54" spans="2:11">
      <c r="B54" s="10" t="s">
        <v>35</v>
      </c>
      <c r="D54" s="11">
        <v>4378.482</v>
      </c>
      <c r="E54" s="11">
        <v>4504.37</v>
      </c>
      <c r="I54" s="12"/>
      <c r="J54" s="12"/>
      <c r="K54" s="12"/>
    </row>
    <row r="55" spans="2:11" ht="5.0999999999999996" customHeight="1">
      <c r="B55" s="25"/>
    </row>
    <row r="56" spans="2:11">
      <c r="B56" s="13" t="s">
        <v>36</v>
      </c>
      <c r="C56" s="14"/>
      <c r="D56" s="15">
        <f t="shared" ref="D56:E56" si="4">+SUM(D51:D55)</f>
        <v>83924.938000000009</v>
      </c>
      <c r="E56" s="15">
        <f t="shared" si="4"/>
        <v>86938.043999999994</v>
      </c>
    </row>
    <row r="57" spans="2:11">
      <c r="B57" s="25"/>
    </row>
    <row r="58" spans="2:11">
      <c r="B58" s="10" t="s">
        <v>37</v>
      </c>
      <c r="D58" s="11">
        <v>2805.817</v>
      </c>
      <c r="E58" s="11">
        <v>2360.71</v>
      </c>
      <c r="I58" s="12"/>
      <c r="J58" s="12"/>
      <c r="K58" s="12"/>
    </row>
    <row r="59" spans="2:11">
      <c r="B59" s="10" t="s">
        <v>38</v>
      </c>
      <c r="D59" s="11">
        <v>2383.933</v>
      </c>
      <c r="E59" s="11">
        <v>2788.038</v>
      </c>
      <c r="I59" s="12"/>
      <c r="J59" s="12"/>
      <c r="K59" s="12"/>
    </row>
    <row r="60" spans="2:11">
      <c r="B60" s="10" t="s">
        <v>39</v>
      </c>
      <c r="D60" s="11">
        <v>2057.9079999999999</v>
      </c>
      <c r="E60" s="11">
        <v>3202.0309999999999</v>
      </c>
      <c r="I60" s="12"/>
      <c r="J60" s="12"/>
      <c r="K60" s="12"/>
    </row>
    <row r="61" spans="2:11">
      <c r="B61" s="13" t="s">
        <v>40</v>
      </c>
      <c r="C61" s="14"/>
      <c r="D61" s="15">
        <f t="shared" ref="D61:E61" si="5">+SUM(D58:D60)</f>
        <v>7247.6579999999994</v>
      </c>
      <c r="E61" s="15">
        <f t="shared" si="5"/>
        <v>8350.7789999999986</v>
      </c>
    </row>
    <row r="62" spans="2:11">
      <c r="B62" s="25"/>
    </row>
    <row r="63" spans="2:11">
      <c r="B63" s="25" t="s">
        <v>41</v>
      </c>
      <c r="D63" s="11">
        <v>645.88300000000004</v>
      </c>
      <c r="E63" s="11">
        <v>1289.3</v>
      </c>
    </row>
    <row r="64" spans="2:11">
      <c r="B64" s="25" t="s">
        <v>42</v>
      </c>
      <c r="D64" s="11">
        <v>18943.222000000002</v>
      </c>
      <c r="E64" s="11">
        <v>12001.450999999999</v>
      </c>
    </row>
    <row r="65" spans="2:5">
      <c r="B65" s="25" t="s">
        <v>43</v>
      </c>
      <c r="D65" s="11">
        <v>545.33299999999997</v>
      </c>
      <c r="E65" s="11">
        <v>85.337999999999994</v>
      </c>
    </row>
    <row r="66" spans="2:5">
      <c r="B66" s="25" t="s">
        <v>44</v>
      </c>
      <c r="D66" s="11">
        <v>92.447999999999993</v>
      </c>
      <c r="E66" s="11">
        <v>12.667</v>
      </c>
    </row>
    <row r="67" spans="2:5">
      <c r="B67" s="25" t="s">
        <v>45</v>
      </c>
      <c r="D67" s="11">
        <v>417.87400000000002</v>
      </c>
      <c r="E67" s="11">
        <v>429.88799999999998</v>
      </c>
    </row>
    <row r="68" spans="2:5" ht="5.0999999999999996" customHeight="1">
      <c r="B68" s="25"/>
    </row>
    <row r="69" spans="2:5">
      <c r="B69" s="13" t="s">
        <v>46</v>
      </c>
      <c r="C69" s="14"/>
      <c r="D69" s="15">
        <f>+SUM(D61:D68)</f>
        <v>27892.417999999998</v>
      </c>
      <c r="E69" s="15">
        <f>+SUM(E61:E68)</f>
        <v>22169.422999999999</v>
      </c>
    </row>
    <row r="70" spans="2:5">
      <c r="B70" s="25"/>
    </row>
    <row r="71" spans="2:5">
      <c r="B71" s="10" t="s">
        <v>47</v>
      </c>
      <c r="D71" s="11">
        <v>7783.6338279007268</v>
      </c>
      <c r="E71" s="11">
        <v>8916.115715308184</v>
      </c>
    </row>
    <row r="72" spans="2:5">
      <c r="B72" s="10" t="s">
        <v>48</v>
      </c>
      <c r="D72" s="11">
        <v>48248.887000000002</v>
      </c>
      <c r="E72" s="11">
        <v>55852.504780500007</v>
      </c>
    </row>
    <row r="73" spans="2:5">
      <c r="B73" s="13" t="s">
        <v>49</v>
      </c>
      <c r="C73" s="14"/>
      <c r="D73" s="15">
        <f>+SUM(D71:D72)</f>
        <v>56032.520827900727</v>
      </c>
      <c r="E73" s="15">
        <f>+SUM(E71:E72)</f>
        <v>64768.620495808194</v>
      </c>
    </row>
    <row r="74" spans="2:5">
      <c r="B74" s="16"/>
      <c r="D74" s="11"/>
      <c r="E74" s="11"/>
    </row>
    <row r="75" spans="2:5" ht="5.0999999999999996" customHeight="1">
      <c r="B75" s="25"/>
    </row>
    <row r="76" spans="2:5">
      <c r="B76" s="13" t="s">
        <v>50</v>
      </c>
      <c r="C76" s="14"/>
      <c r="D76" s="15">
        <f>+D73+D69</f>
        <v>83924.938827900725</v>
      </c>
      <c r="E76" s="15">
        <f>+E73+E69</f>
        <v>86938.04349580819</v>
      </c>
    </row>
    <row r="77" spans="2:5">
      <c r="B77" s="16"/>
      <c r="D77" s="17"/>
      <c r="E77" s="17"/>
    </row>
    <row r="78" spans="2:5">
      <c r="B78" s="26" t="s">
        <v>51</v>
      </c>
      <c r="C78" s="26"/>
      <c r="D78" s="27">
        <f>D51-D61</f>
        <v>17714.098000000005</v>
      </c>
      <c r="E78" s="27">
        <f>E51-E61</f>
        <v>18397.911000000004</v>
      </c>
    </row>
    <row r="79" spans="2:5">
      <c r="B79" s="26" t="s">
        <v>52</v>
      </c>
      <c r="D79" s="27">
        <f>(D51-D46)-D61</f>
        <v>10608.446000000007</v>
      </c>
      <c r="E79" s="27">
        <f>(E51-E46)-E61</f>
        <v>15439.919000000005</v>
      </c>
    </row>
    <row r="80" spans="2:5">
      <c r="B80" s="25"/>
    </row>
    <row r="81" spans="2:5" hidden="1" outlineLevel="1">
      <c r="B81" s="28" t="s">
        <v>53</v>
      </c>
      <c r="C81" s="26"/>
      <c r="D81" s="27">
        <f>+D76-D56</f>
        <v>8.2790071610361338E-4</v>
      </c>
      <c r="E81" s="27">
        <f>+E76-E56</f>
        <v>-5.0419180479366332E-4</v>
      </c>
    </row>
    <row r="82" spans="2:5" hidden="1" outlineLevel="1">
      <c r="B82" s="25"/>
      <c r="E82" s="11"/>
    </row>
    <row r="83" spans="2:5" collapsed="1"/>
    <row r="85" spans="2:5">
      <c r="E85" s="11"/>
    </row>
    <row r="86" spans="2:5">
      <c r="D86" s="12"/>
      <c r="E86" s="12"/>
    </row>
    <row r="87" spans="2:5">
      <c r="E87" s="11"/>
    </row>
    <row r="88" spans="2:5">
      <c r="E88" s="11"/>
    </row>
    <row r="89" spans="2:5">
      <c r="E89" s="11"/>
    </row>
    <row r="90" spans="2:5">
      <c r="E90" s="12"/>
    </row>
    <row r="91" spans="2:5">
      <c r="E91" s="11"/>
    </row>
    <row r="92" spans="2:5">
      <c r="E92" s="11"/>
    </row>
    <row r="93" spans="2:5">
      <c r="E93" s="11"/>
    </row>
    <row r="94" spans="2:5">
      <c r="E94" s="11"/>
    </row>
  </sheetData>
  <conditionalFormatting sqref="B1">
    <cfRule type="cellIs" dxfId="2" priority="1" operator="equal">
      <formula>0</formula>
    </cfRule>
    <cfRule type="cellIs" dxfId="1" priority="2" operator="lessThan">
      <formula>0</formula>
    </cfRule>
    <cfRule type="cellIs" dxfId="0" priority="3" operator="greaterThan">
      <formula>0</formula>
    </cfRule>
  </conditionalFormatting>
  <pageMargins left="0.7" right="0.7" top="0.75" bottom="0.75" header="0.3" footer="0.3"/>
  <pageSetup scale="59" orientation="portrait" r:id="rId1"/>
  <ignoredErrors>
    <ignoredError sqref="D13:E13"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60E2E-DF97-40B3-BA9A-098A9D128BEC}">
  <sheetPr>
    <outlinePr summaryBelow="0"/>
    <pageSetUpPr fitToPage="1"/>
  </sheetPr>
  <dimension ref="A1:S11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4" width="11.710937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55</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t="s">
        <v>62</v>
      </c>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62"/>
      <c r="G13" s="62"/>
      <c r="H13" s="60"/>
      <c r="I13" s="60"/>
      <c r="J13" s="60"/>
      <c r="K13" s="60"/>
      <c r="L13" s="60"/>
      <c r="M13" s="60"/>
    </row>
    <row r="14" spans="2:13" ht="13.5" customHeight="1" outlineLevel="1">
      <c r="C14" s="63" t="s">
        <v>66</v>
      </c>
      <c r="D14" s="63"/>
      <c r="E14" s="63"/>
      <c r="F14" s="64"/>
      <c r="G14" s="64"/>
      <c r="H14" s="60"/>
      <c r="I14" s="60"/>
      <c r="J14" s="60"/>
      <c r="K14" s="60"/>
      <c r="L14" s="60"/>
      <c r="M14" s="60"/>
    </row>
    <row r="15" spans="2:13" ht="13.5" customHeight="1" outlineLevel="1">
      <c r="C15" s="65" t="s">
        <v>67</v>
      </c>
      <c r="D15" s="65"/>
      <c r="E15" s="65"/>
      <c r="F15" s="66">
        <f t="shared" ref="F15:G15" si="1">F13-F14</f>
        <v>0</v>
      </c>
      <c r="G15" s="66">
        <f t="shared" si="1"/>
        <v>0</v>
      </c>
      <c r="H15" s="60"/>
      <c r="I15" s="60"/>
      <c r="J15" s="60"/>
      <c r="K15" s="60"/>
      <c r="L15" s="60"/>
      <c r="M15" s="60"/>
    </row>
    <row r="16" spans="2:13" ht="13.5" customHeight="1" outlineLevel="1">
      <c r="C16" s="67" t="s">
        <v>68</v>
      </c>
      <c r="D16" s="68"/>
      <c r="E16" s="68"/>
      <c r="F16" s="69" t="str">
        <f>IFERROR(F15/F$13,"N/M")</f>
        <v>N/M</v>
      </c>
      <c r="G16" s="69" t="str">
        <f>IFERROR(G15/G$13,"N/M")</f>
        <v>N/M</v>
      </c>
      <c r="H16" s="60"/>
      <c r="I16" s="60"/>
      <c r="J16" s="60"/>
      <c r="K16" s="60"/>
      <c r="L16" s="60"/>
      <c r="M16" s="60"/>
    </row>
    <row r="17" spans="3:13" ht="13.5" customHeight="1" outlineLevel="1">
      <c r="C17" s="63" t="s">
        <v>69</v>
      </c>
      <c r="D17" s="63"/>
      <c r="E17" s="63"/>
      <c r="F17" s="64"/>
      <c r="G17" s="64"/>
      <c r="H17" s="60"/>
      <c r="I17" s="60"/>
      <c r="J17" s="60"/>
      <c r="K17" s="60"/>
      <c r="L17" s="60"/>
      <c r="M17" s="60"/>
    </row>
    <row r="18" spans="3:13" ht="13.5" customHeight="1" outlineLevel="1">
      <c r="C18" s="70" t="s">
        <v>70</v>
      </c>
      <c r="D18" s="70"/>
      <c r="E18" s="70"/>
      <c r="F18" s="71">
        <f t="shared" ref="F18:G18" si="2">F15-F17</f>
        <v>0</v>
      </c>
      <c r="G18" s="71">
        <f t="shared" si="2"/>
        <v>0</v>
      </c>
      <c r="H18" s="60"/>
      <c r="I18" s="60"/>
      <c r="J18" s="60"/>
      <c r="K18" s="60"/>
      <c r="L18" s="60"/>
      <c r="M18" s="60"/>
    </row>
    <row r="19" spans="3:13" ht="13.5" customHeight="1" outlineLevel="1">
      <c r="C19" s="67" t="s">
        <v>71</v>
      </c>
      <c r="D19" s="39"/>
      <c r="E19" s="39"/>
      <c r="F19" s="69" t="str">
        <f>IFERROR(F18/F$13,"N/M")</f>
        <v>N/M</v>
      </c>
      <c r="G19" s="69" t="str">
        <f>IFERROR(G18/G$13,"N/M")</f>
        <v>N/M</v>
      </c>
      <c r="H19" s="60"/>
      <c r="I19" s="60"/>
      <c r="J19" s="60"/>
      <c r="K19" s="60"/>
      <c r="L19" s="60"/>
      <c r="M19" s="60"/>
    </row>
    <row r="20" spans="3:13" ht="13.5" customHeight="1" outlineLevel="1">
      <c r="C20" s="63" t="s">
        <v>15</v>
      </c>
      <c r="D20" s="63"/>
      <c r="E20" s="63"/>
      <c r="F20" s="64"/>
      <c r="G20" s="64"/>
      <c r="H20" s="60"/>
      <c r="I20" s="60"/>
      <c r="J20" s="60"/>
      <c r="K20" s="60"/>
      <c r="L20" s="60"/>
      <c r="M20" s="60"/>
    </row>
    <row r="21" spans="3:13" ht="13.5" customHeight="1" outlineLevel="1">
      <c r="C21" s="63" t="s">
        <v>16</v>
      </c>
      <c r="D21" s="63"/>
      <c r="E21" s="63"/>
      <c r="F21" s="64"/>
      <c r="G21" s="64"/>
      <c r="H21" s="60"/>
      <c r="I21" s="60"/>
      <c r="J21" s="60"/>
      <c r="K21" s="60"/>
      <c r="L21" s="60"/>
      <c r="M21" s="60"/>
    </row>
    <row r="22" spans="3:13" ht="13.5" customHeight="1" outlineLevel="1">
      <c r="C22" s="70" t="s">
        <v>72</v>
      </c>
      <c r="D22" s="70"/>
      <c r="E22" s="70"/>
      <c r="F22" s="71">
        <f>F18-SUM(F20:F21)</f>
        <v>0</v>
      </c>
      <c r="G22" s="71">
        <f>G18-SUM(G20:G21)</f>
        <v>0</v>
      </c>
      <c r="H22" s="60"/>
      <c r="I22" s="60"/>
      <c r="J22" s="60"/>
      <c r="K22" s="60"/>
      <c r="L22" s="60"/>
      <c r="M22" s="60"/>
    </row>
    <row r="23" spans="3:13" ht="13.5" customHeight="1" outlineLevel="1">
      <c r="C23" s="72" t="s">
        <v>73</v>
      </c>
      <c r="D23" s="39"/>
      <c r="E23" s="39"/>
      <c r="F23" s="45"/>
      <c r="G23" s="73"/>
      <c r="H23" s="60"/>
      <c r="I23" s="60"/>
      <c r="J23" s="60"/>
      <c r="K23" s="60"/>
      <c r="L23" s="60"/>
      <c r="M23" s="60"/>
    </row>
    <row r="24" spans="3:13" ht="13.5" customHeight="1" outlineLevel="1">
      <c r="C24" s="74" t="s">
        <v>74</v>
      </c>
      <c r="D24" s="39"/>
      <c r="E24" s="39"/>
      <c r="F24" s="45"/>
      <c r="G24" s="75"/>
      <c r="H24" s="60"/>
      <c r="I24" s="60"/>
      <c r="J24" s="60"/>
      <c r="K24" s="60"/>
      <c r="L24" s="60"/>
      <c r="M24" s="60"/>
    </row>
    <row r="25" spans="3:13" ht="13.5" customHeight="1" outlineLevel="1">
      <c r="C25" s="74" t="s">
        <v>75</v>
      </c>
      <c r="D25" s="39"/>
      <c r="E25" s="39"/>
      <c r="F25" s="45"/>
      <c r="G25" s="75"/>
      <c r="H25" s="60"/>
      <c r="I25" s="60"/>
      <c r="J25" s="60"/>
      <c r="K25" s="60"/>
      <c r="L25" s="60"/>
      <c r="M25" s="60"/>
    </row>
    <row r="26" spans="3:13" ht="13.5" customHeight="1" outlineLevel="1">
      <c r="C26" s="74" t="str">
        <f>+C66</f>
        <v>Term Loan A</v>
      </c>
      <c r="D26" s="39"/>
      <c r="E26" s="39"/>
      <c r="F26" s="45"/>
      <c r="G26" s="75"/>
      <c r="H26" s="60"/>
      <c r="I26" s="60"/>
      <c r="J26" s="60"/>
      <c r="K26" s="60"/>
      <c r="L26" s="60"/>
      <c r="M26" s="60"/>
    </row>
    <row r="27" spans="3:13" ht="13.5" customHeight="1" outlineLevel="1">
      <c r="C27" s="74" t="str">
        <f>+C67</f>
        <v>Subordinated - Note 1</v>
      </c>
      <c r="D27" s="39"/>
      <c r="E27" s="39"/>
      <c r="F27" s="45"/>
      <c r="G27" s="75"/>
      <c r="H27" s="60"/>
      <c r="I27" s="60"/>
      <c r="J27" s="60"/>
      <c r="K27" s="60"/>
      <c r="L27" s="60"/>
      <c r="M27" s="60"/>
    </row>
    <row r="28" spans="3:13" ht="13.5" customHeight="1" outlineLevel="1">
      <c r="C28" s="74" t="str">
        <f>+C68</f>
        <v>Subordinated - Note 2</v>
      </c>
      <c r="D28" s="39"/>
      <c r="E28" s="39"/>
      <c r="F28" s="45"/>
      <c r="G28" s="75"/>
      <c r="H28" s="60"/>
      <c r="I28" s="60"/>
      <c r="J28" s="60"/>
      <c r="K28" s="60"/>
      <c r="L28" s="60"/>
      <c r="M28" s="60"/>
    </row>
    <row r="29" spans="3:13" ht="13.5" customHeight="1" outlineLevel="1">
      <c r="C29" s="76" t="s">
        <v>73</v>
      </c>
      <c r="D29" s="77"/>
      <c r="E29" s="77"/>
      <c r="F29" s="78"/>
      <c r="G29" s="78"/>
      <c r="H29" s="60"/>
      <c r="I29" s="60"/>
      <c r="J29" s="60"/>
      <c r="K29" s="60"/>
      <c r="L29" s="60"/>
      <c r="M29" s="60"/>
    </row>
    <row r="30" spans="3:13" ht="13.5" customHeight="1" outlineLevel="1">
      <c r="C30" s="63" t="s">
        <v>76</v>
      </c>
      <c r="D30" s="63"/>
      <c r="E30" s="63"/>
      <c r="F30" s="64"/>
      <c r="G30" s="64"/>
      <c r="H30" s="60"/>
      <c r="I30" s="60"/>
      <c r="J30" s="60"/>
      <c r="K30" s="60"/>
      <c r="L30" s="60"/>
      <c r="M30" s="60"/>
    </row>
    <row r="31" spans="3:13" ht="13.5" customHeight="1" outlineLevel="1">
      <c r="C31" s="65" t="s">
        <v>77</v>
      </c>
      <c r="D31" s="65"/>
      <c r="E31" s="65"/>
      <c r="F31" s="66">
        <f>F22-F29-F30</f>
        <v>0</v>
      </c>
      <c r="G31" s="66">
        <f>G22-G29-G30</f>
        <v>0</v>
      </c>
      <c r="H31" s="60"/>
      <c r="I31" s="60"/>
      <c r="J31" s="60"/>
      <c r="K31" s="60"/>
      <c r="L31" s="60"/>
      <c r="M31" s="60"/>
    </row>
    <row r="32" spans="3:13" ht="13.5" customHeight="1" outlineLevel="1">
      <c r="C32" s="63" t="s">
        <v>78</v>
      </c>
      <c r="D32" s="63"/>
      <c r="E32" s="63"/>
      <c r="F32" s="64"/>
      <c r="G32" s="64"/>
      <c r="H32" s="60"/>
      <c r="I32" s="60"/>
      <c r="J32" s="60"/>
      <c r="K32" s="60"/>
      <c r="L32" s="60"/>
      <c r="M32" s="60"/>
    </row>
    <row r="33" spans="1:13" ht="13.5" customHeight="1" outlineLevel="1">
      <c r="C33" s="79" t="s">
        <v>22</v>
      </c>
      <c r="D33" s="79"/>
      <c r="E33" s="79"/>
      <c r="F33" s="71">
        <f>F31-F32</f>
        <v>0</v>
      </c>
      <c r="G33" s="71">
        <f>G31-G32</f>
        <v>0</v>
      </c>
      <c r="H33" s="60"/>
      <c r="I33" s="60"/>
      <c r="J33" s="60"/>
      <c r="K33" s="60"/>
      <c r="L33" s="60"/>
      <c r="M33" s="60"/>
    </row>
    <row r="34" spans="1:13" ht="13.5" customHeight="1" outlineLevel="1">
      <c r="C34" s="67" t="s">
        <v>79</v>
      </c>
      <c r="D34" s="39"/>
      <c r="E34" s="39"/>
      <c r="F34" s="69" t="str">
        <f>IFERROR(F33/F$13,"N/M")</f>
        <v>N/M</v>
      </c>
      <c r="G34" s="69" t="str">
        <f>IFERROR(G33/G$13,"N/M")</f>
        <v>N/M</v>
      </c>
      <c r="H34" s="60"/>
      <c r="I34" s="60"/>
      <c r="J34" s="60"/>
      <c r="K34" s="60"/>
      <c r="L34" s="60"/>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thickBot="1"/>
    <row r="40" spans="1:13" ht="21.75" thickTop="1">
      <c r="A40" s="82"/>
      <c r="B40" s="46" t="s">
        <v>61</v>
      </c>
      <c r="C40" s="47" t="s">
        <v>26</v>
      </c>
      <c r="D40" s="48"/>
      <c r="E40" s="49"/>
      <c r="F40" s="49"/>
      <c r="G40" s="49"/>
      <c r="H40" s="49"/>
      <c r="I40" s="49"/>
      <c r="J40" s="49"/>
      <c r="K40" s="49"/>
      <c r="L40" s="49"/>
    </row>
    <row r="41" spans="1:13" ht="5.0999999999999996" customHeight="1" outlineLevel="1">
      <c r="A41" s="82"/>
      <c r="C41" s="51"/>
      <c r="D41" s="52"/>
    </row>
    <row r="42" spans="1:13" ht="13.5" customHeight="1" outlineLevel="1">
      <c r="A42" s="82"/>
      <c r="C42" s="53"/>
      <c r="D42" s="53"/>
      <c r="E42" s="53"/>
      <c r="F42" s="54" t="s">
        <v>63</v>
      </c>
      <c r="G42" s="54" t="s">
        <v>63</v>
      </c>
      <c r="H42" s="55" t="s">
        <v>64</v>
      </c>
      <c r="I42" s="55"/>
      <c r="J42" s="55"/>
      <c r="K42" s="55"/>
      <c r="L42" s="55"/>
    </row>
    <row r="43" spans="1:13" ht="13.5" customHeight="1" outlineLevel="1" thickBot="1">
      <c r="A43" s="82"/>
      <c r="C43" s="56" t="s">
        <v>65</v>
      </c>
      <c r="D43" s="57"/>
      <c r="E43" s="57"/>
      <c r="F43" s="58">
        <f>EOMONTH(G43,-12)</f>
        <v>45291</v>
      </c>
      <c r="G43" s="58">
        <f t="shared" ref="G43:L43" si="3">G$11</f>
        <v>45657</v>
      </c>
      <c r="H43" s="58">
        <f t="shared" si="3"/>
        <v>46022</v>
      </c>
      <c r="I43" s="58">
        <f t="shared" si="3"/>
        <v>46387</v>
      </c>
      <c r="J43" s="58">
        <f t="shared" si="3"/>
        <v>46752</v>
      </c>
      <c r="K43" s="58">
        <f t="shared" si="3"/>
        <v>47118</v>
      </c>
      <c r="L43" s="58">
        <f t="shared" si="3"/>
        <v>47483</v>
      </c>
    </row>
    <row r="44" spans="1:13" ht="5.0999999999999996" customHeight="1" outlineLevel="1">
      <c r="A44" s="82"/>
      <c r="C44" s="59"/>
      <c r="D44" s="59"/>
      <c r="E44" s="59"/>
      <c r="F44" s="60"/>
      <c r="G44" s="60"/>
      <c r="H44" s="60"/>
      <c r="I44" s="60"/>
      <c r="J44" s="60"/>
      <c r="K44" s="60"/>
    </row>
    <row r="45" spans="1:13" ht="13.5" customHeight="1" outlineLevel="1">
      <c r="A45" s="82"/>
      <c r="C45" s="84" t="s">
        <v>81</v>
      </c>
      <c r="D45" s="85"/>
      <c r="E45" s="86"/>
      <c r="F45" s="86"/>
      <c r="G45" s="86"/>
      <c r="H45" s="86"/>
      <c r="I45" s="86"/>
      <c r="J45" s="86"/>
      <c r="K45" s="86"/>
      <c r="L45" s="87"/>
    </row>
    <row r="46" spans="1:13" ht="13.5" customHeight="1" outlineLevel="1">
      <c r="A46" s="82"/>
      <c r="C46" s="59"/>
      <c r="D46" s="59"/>
      <c r="E46" s="59"/>
      <c r="F46" s="60"/>
      <c r="G46" s="60"/>
      <c r="H46" s="60"/>
      <c r="I46" s="60"/>
      <c r="J46" s="60"/>
      <c r="K46" s="60"/>
    </row>
    <row r="47" spans="1:13" ht="13.5" customHeight="1" outlineLevel="1">
      <c r="A47" s="82"/>
      <c r="C47" s="88" t="s">
        <v>82</v>
      </c>
      <c r="F47" s="89"/>
      <c r="G47" s="89"/>
      <c r="H47" s="90"/>
      <c r="I47" s="90"/>
      <c r="J47" s="90"/>
      <c r="K47" s="90"/>
      <c r="L47" s="90"/>
    </row>
    <row r="48" spans="1:13" ht="13.5" customHeight="1" outlineLevel="1">
      <c r="A48" s="82"/>
      <c r="C48" s="91" t="s">
        <v>83</v>
      </c>
      <c r="F48" s="92"/>
      <c r="G48" s="92"/>
      <c r="H48" s="90"/>
      <c r="I48" s="90"/>
      <c r="J48" s="90"/>
      <c r="K48" s="90"/>
      <c r="L48" s="90"/>
    </row>
    <row r="49" spans="1:12" ht="13.5" customHeight="1" outlineLevel="1">
      <c r="A49" s="82"/>
      <c r="C49" s="91" t="s">
        <v>31</v>
      </c>
      <c r="F49" s="92"/>
      <c r="G49" s="92"/>
      <c r="H49" s="90"/>
      <c r="I49" s="90"/>
      <c r="J49" s="90"/>
      <c r="K49" s="90"/>
      <c r="L49" s="90"/>
    </row>
    <row r="50" spans="1:12" ht="13.5" customHeight="1" outlineLevel="1">
      <c r="A50" s="82"/>
      <c r="C50" s="91" t="s">
        <v>84</v>
      </c>
      <c r="F50" s="92"/>
      <c r="G50" s="92"/>
      <c r="H50" s="90"/>
      <c r="I50" s="90"/>
      <c r="J50" s="90"/>
      <c r="K50" s="90"/>
      <c r="L50" s="90"/>
    </row>
    <row r="51" spans="1:12" ht="13.5" customHeight="1" outlineLevel="1">
      <c r="A51" s="82"/>
      <c r="C51" s="76" t="s">
        <v>33</v>
      </c>
      <c r="D51" s="77"/>
      <c r="E51" s="77"/>
      <c r="F51" s="93">
        <f>SUM(F47:F50)</f>
        <v>0</v>
      </c>
      <c r="G51" s="93">
        <f>SUM(G47:G50)</f>
        <v>0</v>
      </c>
      <c r="H51" s="94"/>
      <c r="I51" s="94"/>
      <c r="J51" s="94"/>
      <c r="K51" s="94"/>
      <c r="L51" s="94"/>
    </row>
    <row r="52" spans="1:12" ht="13.5" customHeight="1" outlineLevel="1">
      <c r="A52" s="82"/>
      <c r="C52" s="91" t="s">
        <v>85</v>
      </c>
      <c r="D52" s="95"/>
      <c r="E52" s="95"/>
      <c r="F52" s="96"/>
      <c r="G52" s="96"/>
      <c r="H52" s="97"/>
      <c r="I52" s="97"/>
      <c r="J52" s="97"/>
      <c r="K52" s="97"/>
      <c r="L52" s="97"/>
    </row>
    <row r="53" spans="1:12" ht="13.5" customHeight="1" outlineLevel="1">
      <c r="A53" s="82"/>
      <c r="C53" s="91" t="s">
        <v>86</v>
      </c>
      <c r="D53" s="95"/>
      <c r="E53" s="95"/>
      <c r="F53" s="96"/>
      <c r="G53" s="96"/>
      <c r="H53" s="94"/>
      <c r="I53" s="94"/>
      <c r="J53" s="94"/>
      <c r="K53" s="94"/>
      <c r="L53" s="94"/>
    </row>
    <row r="54" spans="1:12" ht="13.5" customHeight="1" outlineLevel="1">
      <c r="A54" s="82"/>
      <c r="C54" s="76" t="s">
        <v>34</v>
      </c>
      <c r="D54" s="77"/>
      <c r="E54" s="77"/>
      <c r="F54" s="78"/>
      <c r="G54" s="78"/>
      <c r="H54" s="94"/>
      <c r="I54" s="94"/>
      <c r="J54" s="94"/>
      <c r="K54" s="94"/>
      <c r="L54" s="94"/>
    </row>
    <row r="55" spans="1:12" ht="13.5" customHeight="1" outlineLevel="1">
      <c r="A55" s="82"/>
      <c r="C55" s="98" t="s">
        <v>87</v>
      </c>
      <c r="D55" s="95"/>
      <c r="E55" s="95"/>
      <c r="F55" s="99">
        <v>0</v>
      </c>
      <c r="G55" s="99">
        <v>0</v>
      </c>
      <c r="H55" s="94"/>
      <c r="I55" s="94"/>
      <c r="J55" s="94"/>
      <c r="K55" s="94"/>
      <c r="L55" s="94"/>
    </row>
    <row r="56" spans="1:12" ht="13.5" customHeight="1" outlineLevel="1">
      <c r="A56" s="82"/>
      <c r="C56" s="98" t="s">
        <v>88</v>
      </c>
      <c r="D56" s="95"/>
      <c r="E56" s="95"/>
      <c r="F56" s="92"/>
      <c r="G56" s="92"/>
      <c r="H56" s="94"/>
      <c r="I56" s="94"/>
      <c r="J56" s="94"/>
      <c r="K56" s="94"/>
      <c r="L56" s="94"/>
    </row>
    <row r="57" spans="1:12" ht="13.5" customHeight="1" outlineLevel="1">
      <c r="A57" s="82"/>
      <c r="C57" s="100" t="s">
        <v>36</v>
      </c>
      <c r="D57" s="101"/>
      <c r="E57" s="101"/>
      <c r="F57" s="102">
        <f>SUM(F51,F54:F56)</f>
        <v>0</v>
      </c>
      <c r="G57" s="102">
        <f>SUM(G51,G54:G56)</f>
        <v>0</v>
      </c>
      <c r="H57" s="103"/>
      <c r="I57" s="103"/>
      <c r="J57" s="103"/>
      <c r="K57" s="103"/>
      <c r="L57" s="103"/>
    </row>
    <row r="58" spans="1:12" ht="13.5" customHeight="1" outlineLevel="1">
      <c r="A58" s="82"/>
      <c r="H58" s="104"/>
      <c r="I58" s="104"/>
      <c r="J58" s="104"/>
      <c r="K58" s="104"/>
      <c r="L58" s="104"/>
    </row>
    <row r="59" spans="1:12" ht="13.5" customHeight="1" outlineLevel="1">
      <c r="A59" s="82"/>
      <c r="C59" s="84" t="s">
        <v>89</v>
      </c>
      <c r="D59" s="85"/>
      <c r="E59" s="86"/>
      <c r="F59" s="86"/>
      <c r="G59" s="86"/>
      <c r="H59" s="86"/>
      <c r="I59" s="86"/>
      <c r="J59" s="86"/>
      <c r="K59" s="86"/>
      <c r="L59" s="87"/>
    </row>
    <row r="60" spans="1:12" ht="13.5" customHeight="1" outlineLevel="1">
      <c r="A60" s="82"/>
      <c r="C60" s="59"/>
      <c r="D60" s="59"/>
      <c r="E60" s="59"/>
      <c r="F60" s="60"/>
      <c r="G60" s="60"/>
      <c r="H60" s="60"/>
      <c r="I60" s="60"/>
      <c r="J60" s="60"/>
      <c r="K60" s="60"/>
    </row>
    <row r="61" spans="1:12" ht="13.5" customHeight="1" outlineLevel="1">
      <c r="A61" s="82"/>
      <c r="C61" s="91" t="s">
        <v>37</v>
      </c>
      <c r="D61" s="95"/>
      <c r="E61" s="95"/>
      <c r="F61" s="92"/>
      <c r="G61" s="92"/>
      <c r="H61" s="90"/>
      <c r="I61" s="90"/>
      <c r="J61" s="90"/>
      <c r="K61" s="90"/>
      <c r="L61" s="90"/>
    </row>
    <row r="62" spans="1:12" ht="13.5" customHeight="1" outlineLevel="1">
      <c r="A62" s="82"/>
      <c r="C62" s="91" t="s">
        <v>38</v>
      </c>
      <c r="D62" s="95"/>
      <c r="E62" s="95"/>
      <c r="F62" s="92"/>
      <c r="G62" s="92"/>
      <c r="H62" s="90"/>
      <c r="I62" s="90"/>
      <c r="J62" s="90"/>
      <c r="K62" s="90"/>
      <c r="L62" s="90"/>
    </row>
    <row r="63" spans="1:12" ht="13.5" customHeight="1" outlineLevel="1">
      <c r="A63" s="82"/>
      <c r="C63" s="91" t="s">
        <v>39</v>
      </c>
      <c r="D63" s="95"/>
      <c r="E63" s="95"/>
      <c r="F63" s="92"/>
      <c r="G63" s="92"/>
      <c r="H63" s="90"/>
      <c r="I63" s="90"/>
      <c r="J63" s="90"/>
      <c r="K63" s="90"/>
      <c r="L63" s="90"/>
    </row>
    <row r="64" spans="1:12" ht="13.5" customHeight="1" outlineLevel="1">
      <c r="A64" s="82"/>
      <c r="C64" s="76" t="s">
        <v>40</v>
      </c>
      <c r="D64" s="77"/>
      <c r="E64" s="77"/>
      <c r="F64" s="93">
        <f>SUM(F61:F63)</f>
        <v>0</v>
      </c>
      <c r="G64" s="93">
        <f>SUM(G61:G63)</f>
        <v>0</v>
      </c>
      <c r="H64" s="94"/>
      <c r="I64" s="94"/>
      <c r="J64" s="94"/>
      <c r="K64" s="94"/>
      <c r="L64" s="94"/>
    </row>
    <row r="65" spans="1:19" ht="13.5" customHeight="1" outlineLevel="1">
      <c r="A65" s="82"/>
      <c r="C65" s="91" t="s">
        <v>41</v>
      </c>
      <c r="D65" s="95"/>
      <c r="E65" s="95"/>
      <c r="F65" s="92"/>
      <c r="G65" s="92"/>
      <c r="H65" s="97"/>
      <c r="I65" s="97"/>
      <c r="J65" s="97"/>
      <c r="K65" s="97"/>
      <c r="L65" s="97"/>
    </row>
    <row r="66" spans="1:19" ht="13.5" customHeight="1" outlineLevel="1">
      <c r="A66" s="82"/>
      <c r="C66" s="91" t="s">
        <v>42</v>
      </c>
      <c r="D66" s="95"/>
      <c r="E66" s="95"/>
      <c r="F66" s="92"/>
      <c r="G66" s="92"/>
      <c r="H66" s="94"/>
      <c r="I66" s="94"/>
      <c r="J66" s="94"/>
      <c r="K66" s="94"/>
      <c r="L66" s="94"/>
    </row>
    <row r="67" spans="1:19" ht="13.5" customHeight="1" outlineLevel="1">
      <c r="A67" s="82"/>
      <c r="C67" s="91" t="s">
        <v>90</v>
      </c>
      <c r="D67" s="95"/>
      <c r="E67" s="95"/>
      <c r="F67" s="92"/>
      <c r="G67" s="92"/>
      <c r="H67" s="97"/>
      <c r="I67" s="97"/>
      <c r="J67" s="97"/>
      <c r="K67" s="97"/>
      <c r="L67" s="97"/>
    </row>
    <row r="68" spans="1:19" ht="13.5" customHeight="1" outlineLevel="1">
      <c r="A68" s="82"/>
      <c r="C68" s="91" t="s">
        <v>91</v>
      </c>
      <c r="D68" s="95"/>
      <c r="E68" s="95"/>
      <c r="F68" s="92"/>
      <c r="G68" s="92"/>
      <c r="H68" s="97"/>
      <c r="I68" s="97"/>
      <c r="J68" s="97"/>
      <c r="K68" s="97"/>
      <c r="L68" s="97"/>
    </row>
    <row r="69" spans="1:19" ht="13.5" customHeight="1" outlineLevel="1">
      <c r="A69" s="82"/>
      <c r="C69" s="76" t="s">
        <v>92</v>
      </c>
      <c r="D69" s="77"/>
      <c r="E69" s="77"/>
      <c r="F69" s="93">
        <f>SUM(F65:F68)</f>
        <v>0</v>
      </c>
      <c r="G69" s="93">
        <f>SUM(G65:G68)</f>
        <v>0</v>
      </c>
      <c r="H69" s="94"/>
      <c r="I69" s="94"/>
      <c r="J69" s="94"/>
      <c r="K69" s="94"/>
      <c r="L69" s="94"/>
    </row>
    <row r="70" spans="1:19" ht="13.5" customHeight="1" outlineLevel="1">
      <c r="A70" s="82"/>
      <c r="C70" s="68" t="s">
        <v>93</v>
      </c>
      <c r="F70" s="92"/>
      <c r="G70" s="92"/>
      <c r="H70" s="97"/>
      <c r="I70" s="97"/>
      <c r="J70" s="97"/>
      <c r="K70" s="97"/>
      <c r="L70" s="97"/>
      <c r="M70" s="82"/>
    </row>
    <row r="71" spans="1:19" ht="13.5" customHeight="1" outlineLevel="1">
      <c r="A71" s="82"/>
      <c r="C71" s="76" t="s">
        <v>94</v>
      </c>
      <c r="D71" s="77"/>
      <c r="E71" s="77"/>
      <c r="F71" s="93">
        <f>SUM(F64,F69:F70)</f>
        <v>0</v>
      </c>
      <c r="G71" s="93">
        <f>SUM(G64,G69:G70)</f>
        <v>0</v>
      </c>
      <c r="H71" s="94"/>
      <c r="I71" s="94"/>
      <c r="J71" s="94"/>
      <c r="K71" s="94"/>
      <c r="L71" s="94"/>
      <c r="M71" s="82"/>
    </row>
    <row r="72" spans="1:19" ht="13.5" customHeight="1" outlineLevel="1">
      <c r="A72" s="82"/>
      <c r="C72" s="98" t="s">
        <v>47</v>
      </c>
      <c r="F72" s="92"/>
      <c r="G72" s="92"/>
      <c r="H72" s="97"/>
      <c r="I72" s="97"/>
      <c r="J72" s="97"/>
      <c r="K72" s="97"/>
      <c r="L72" s="97"/>
      <c r="M72" s="82"/>
    </row>
    <row r="73" spans="1:19" ht="13.5" customHeight="1" outlineLevel="1">
      <c r="A73" s="82"/>
      <c r="C73" s="98" t="s">
        <v>48</v>
      </c>
      <c r="F73" s="92"/>
      <c r="G73" s="92"/>
      <c r="H73" s="97"/>
      <c r="I73" s="97"/>
      <c r="J73" s="97"/>
      <c r="K73" s="97"/>
      <c r="L73" s="97"/>
      <c r="M73" s="82"/>
    </row>
    <row r="74" spans="1:19" ht="13.5" customHeight="1" outlineLevel="1">
      <c r="A74" s="82"/>
      <c r="C74" s="100" t="s">
        <v>95</v>
      </c>
      <c r="D74" s="101"/>
      <c r="E74" s="101"/>
      <c r="F74" s="105">
        <f>SUM(F71:F73)</f>
        <v>0</v>
      </c>
      <c r="G74" s="105">
        <f>SUM(G71:G73)</f>
        <v>0</v>
      </c>
      <c r="H74" s="103"/>
      <c r="I74" s="103"/>
      <c r="J74" s="103"/>
      <c r="K74" s="103"/>
      <c r="L74" s="103"/>
      <c r="M74" s="82"/>
    </row>
    <row r="75" spans="1:19" s="106" customFormat="1" ht="13.5" customHeight="1" outlineLevel="1">
      <c r="A75" s="82"/>
      <c r="C75" s="107"/>
      <c r="D75" s="108"/>
      <c r="E75" s="108"/>
      <c r="F75" s="109"/>
      <c r="G75" s="109"/>
      <c r="H75" s="109"/>
      <c r="I75" s="109"/>
      <c r="J75" s="109"/>
      <c r="K75" s="109"/>
      <c r="L75" s="109"/>
      <c r="M75" s="82"/>
    </row>
    <row r="76" spans="1:19" s="114" customFormat="1" ht="13.5" customHeight="1" outlineLevel="1">
      <c r="A76" s="82"/>
      <c r="B76" s="110"/>
      <c r="C76" s="111"/>
      <c r="D76" s="111"/>
      <c r="E76" s="111"/>
      <c r="F76" s="112"/>
      <c r="G76" s="113"/>
      <c r="H76" s="113"/>
      <c r="I76" s="113"/>
      <c r="J76" s="113"/>
      <c r="K76" s="113"/>
      <c r="L76" s="113"/>
      <c r="M76" s="82"/>
    </row>
    <row r="77" spans="1:19" ht="5.0999999999999996" customHeight="1" outlineLevel="1" thickBot="1">
      <c r="A77" s="82"/>
      <c r="C77" s="115"/>
      <c r="D77" s="115"/>
      <c r="E77" s="115"/>
      <c r="F77" s="116"/>
      <c r="G77" s="116"/>
      <c r="H77" s="117"/>
      <c r="I77" s="117"/>
      <c r="J77" s="117"/>
      <c r="K77" s="117"/>
      <c r="L77" s="117"/>
    </row>
    <row r="78" spans="1:19" ht="13.5" customHeight="1" outlineLevel="1" thickBot="1">
      <c r="A78" s="82"/>
      <c r="C78" s="118"/>
      <c r="D78" s="118"/>
      <c r="E78" s="118"/>
    </row>
    <row r="79" spans="1:19" ht="13.5" customHeight="1" thickTop="1">
      <c r="A79" s="82"/>
      <c r="B79" s="46" t="s">
        <v>61</v>
      </c>
      <c r="C79" s="119" t="s">
        <v>96</v>
      </c>
      <c r="D79" s="82"/>
      <c r="E79" s="82"/>
      <c r="F79" s="82"/>
      <c r="G79" s="82"/>
      <c r="H79" s="82"/>
      <c r="I79" s="82"/>
      <c r="J79" s="82"/>
      <c r="K79" s="82"/>
      <c r="L79" s="82"/>
      <c r="M79" s="82"/>
      <c r="N79" s="82"/>
      <c r="O79" s="82"/>
      <c r="P79" s="82"/>
      <c r="Q79" s="82"/>
      <c r="R79" s="82"/>
      <c r="S79" s="82"/>
    </row>
    <row r="80" spans="1:19" ht="15" outlineLevel="1">
      <c r="A80" s="82"/>
      <c r="B80" s="82"/>
      <c r="C80" s="120" t="s">
        <v>3</v>
      </c>
      <c r="D80" s="82"/>
      <c r="E80" s="82"/>
      <c r="F80" s="82"/>
      <c r="G80" s="82"/>
      <c r="H80" s="82"/>
      <c r="I80" s="82"/>
      <c r="J80" s="82"/>
      <c r="K80" s="82"/>
      <c r="L80" s="82"/>
      <c r="M80" s="82"/>
      <c r="N80" s="82"/>
      <c r="O80" s="82"/>
      <c r="P80" s="82"/>
      <c r="Q80" s="82"/>
      <c r="R80" s="82"/>
      <c r="S80" s="82"/>
    </row>
    <row r="81" spans="1:19" ht="15" outlineLevel="1">
      <c r="A81" s="82"/>
      <c r="B81" s="82"/>
      <c r="C81" s="121" t="s">
        <v>97</v>
      </c>
      <c r="D81" s="82"/>
      <c r="E81" s="82"/>
      <c r="F81" s="122"/>
      <c r="G81" s="122"/>
      <c r="H81" s="82"/>
      <c r="I81" s="82"/>
      <c r="J81" s="82"/>
      <c r="K81" s="82"/>
      <c r="L81" s="82"/>
      <c r="M81" s="82"/>
      <c r="N81" s="82"/>
      <c r="O81" s="82"/>
      <c r="P81" s="82"/>
      <c r="Q81" s="82"/>
      <c r="R81" s="82"/>
      <c r="S81" s="82"/>
    </row>
    <row r="82" spans="1:19" ht="15" outlineLevel="1">
      <c r="A82" s="82"/>
      <c r="B82" s="82"/>
      <c r="C82" s="121" t="s">
        <v>67</v>
      </c>
      <c r="D82" s="82"/>
      <c r="E82" s="82"/>
      <c r="F82" s="122"/>
      <c r="G82" s="122"/>
      <c r="H82" s="82"/>
      <c r="I82" s="82"/>
      <c r="J82" s="82"/>
      <c r="K82" s="82"/>
      <c r="L82" s="82"/>
      <c r="M82" s="82"/>
      <c r="N82" s="82"/>
      <c r="O82" s="82"/>
      <c r="P82" s="82"/>
      <c r="Q82" s="82"/>
      <c r="R82" s="82"/>
      <c r="S82" s="82"/>
    </row>
    <row r="83" spans="1:19" ht="15" outlineLevel="1">
      <c r="A83" s="82"/>
      <c r="B83" s="82"/>
      <c r="C83" s="121" t="s">
        <v>70</v>
      </c>
      <c r="D83" s="82"/>
      <c r="E83" s="82"/>
      <c r="F83" s="122"/>
      <c r="G83" s="122"/>
      <c r="H83" s="82"/>
      <c r="I83" s="82"/>
      <c r="J83" s="82"/>
      <c r="K83" s="82"/>
      <c r="L83" s="82"/>
      <c r="M83" s="82"/>
      <c r="N83" s="82"/>
      <c r="O83" s="82"/>
      <c r="P83" s="82"/>
      <c r="Q83" s="82"/>
      <c r="R83" s="82"/>
      <c r="S83" s="82"/>
    </row>
    <row r="84" spans="1:19" ht="15" outlineLevel="1">
      <c r="A84" s="82"/>
      <c r="B84" s="82"/>
      <c r="C84" s="121" t="s">
        <v>22</v>
      </c>
      <c r="D84" s="82"/>
      <c r="E84" s="82"/>
      <c r="F84" s="122"/>
      <c r="G84" s="122"/>
      <c r="H84" s="82"/>
      <c r="I84" s="82"/>
      <c r="J84" s="82"/>
      <c r="K84" s="82"/>
      <c r="L84" s="82"/>
      <c r="M84" s="82"/>
      <c r="N84" s="82"/>
      <c r="O84" s="82"/>
      <c r="P84" s="82"/>
      <c r="Q84" s="82"/>
      <c r="R84" s="82"/>
      <c r="S84" s="82"/>
    </row>
    <row r="85" spans="1:19" ht="15" outlineLevel="1">
      <c r="A85" s="82"/>
      <c r="B85" s="82"/>
      <c r="C85" s="121"/>
      <c r="D85" s="82"/>
      <c r="E85" s="82"/>
      <c r="F85" s="122"/>
      <c r="G85" s="122"/>
      <c r="H85" s="82"/>
      <c r="I85" s="82"/>
      <c r="J85" s="82"/>
      <c r="K85" s="82"/>
      <c r="L85" s="82"/>
      <c r="M85" s="82"/>
      <c r="N85" s="82"/>
      <c r="O85" s="82"/>
      <c r="P85" s="82"/>
      <c r="Q85" s="82"/>
      <c r="R85" s="82"/>
      <c r="S85" s="82"/>
    </row>
    <row r="86" spans="1:19" ht="15" outlineLevel="1">
      <c r="A86" s="82"/>
      <c r="B86" s="82"/>
      <c r="C86" s="120" t="s">
        <v>26</v>
      </c>
      <c r="D86" s="82"/>
      <c r="E86" s="82"/>
      <c r="F86" s="122"/>
      <c r="G86" s="122"/>
      <c r="H86" s="82"/>
      <c r="I86" s="82"/>
      <c r="J86" s="82"/>
      <c r="K86" s="82"/>
      <c r="L86" s="82"/>
      <c r="M86" s="82"/>
      <c r="N86" s="82"/>
      <c r="O86" s="82"/>
      <c r="P86" s="82"/>
      <c r="Q86" s="82"/>
      <c r="R86" s="82"/>
      <c r="S86" s="82"/>
    </row>
    <row r="87" spans="1:19" ht="15" outlineLevel="1">
      <c r="A87" s="82"/>
      <c r="B87" s="82"/>
      <c r="C87" s="121" t="s">
        <v>98</v>
      </c>
      <c r="D87" s="82"/>
      <c r="E87" s="82"/>
      <c r="F87" s="122"/>
      <c r="G87" s="122"/>
      <c r="H87" s="82"/>
      <c r="I87" s="82"/>
      <c r="J87" s="82"/>
      <c r="K87" s="82"/>
      <c r="L87" s="82"/>
      <c r="M87" s="82"/>
      <c r="N87" s="82"/>
      <c r="O87" s="82"/>
      <c r="P87" s="82"/>
      <c r="Q87" s="82"/>
      <c r="R87" s="82"/>
      <c r="S87" s="82"/>
    </row>
    <row r="88" spans="1:19" ht="15" outlineLevel="1">
      <c r="A88" s="82"/>
      <c r="B88" s="82"/>
      <c r="C88" s="121" t="s">
        <v>99</v>
      </c>
      <c r="D88" s="82"/>
      <c r="E88" s="82"/>
      <c r="F88" s="122"/>
      <c r="G88" s="122"/>
      <c r="H88" s="82"/>
      <c r="I88" s="82"/>
      <c r="J88" s="82"/>
      <c r="K88" s="82"/>
      <c r="L88" s="82"/>
      <c r="M88" s="82"/>
      <c r="N88" s="82"/>
      <c r="O88" s="82"/>
      <c r="P88" s="82"/>
      <c r="Q88" s="82"/>
      <c r="R88" s="82"/>
      <c r="S88" s="82"/>
    </row>
    <row r="89" spans="1:19" ht="15" outlineLevel="1">
      <c r="A89" s="82"/>
      <c r="B89" s="82"/>
      <c r="C89" s="121" t="s">
        <v>36</v>
      </c>
      <c r="D89" s="82"/>
      <c r="E89" s="82"/>
      <c r="F89" s="122"/>
      <c r="G89" s="122"/>
      <c r="H89" s="82"/>
      <c r="I89" s="82"/>
      <c r="J89" s="82"/>
      <c r="K89" s="82"/>
      <c r="L89" s="82"/>
      <c r="M89" s="82"/>
      <c r="N89" s="82"/>
      <c r="O89" s="82"/>
      <c r="P89" s="82"/>
      <c r="Q89" s="82"/>
      <c r="R89" s="82"/>
      <c r="S89" s="82"/>
    </row>
    <row r="90" spans="1:19" ht="15" outlineLevel="1">
      <c r="A90" s="82"/>
      <c r="B90" s="82"/>
      <c r="C90" s="121" t="s">
        <v>100</v>
      </c>
      <c r="D90" s="82"/>
      <c r="E90" s="82"/>
      <c r="F90" s="122"/>
      <c r="G90" s="122"/>
      <c r="H90" s="82"/>
      <c r="I90" s="82"/>
      <c r="J90" s="82"/>
      <c r="K90" s="82"/>
      <c r="L90" s="82"/>
      <c r="M90" s="82"/>
      <c r="N90" s="82"/>
      <c r="O90" s="82"/>
      <c r="P90" s="82"/>
      <c r="Q90" s="82"/>
      <c r="R90" s="82"/>
      <c r="S90" s="82"/>
    </row>
    <row r="91" spans="1:19" ht="15" outlineLevel="1">
      <c r="A91" s="82"/>
      <c r="B91" s="82"/>
      <c r="C91" s="121" t="s">
        <v>101</v>
      </c>
      <c r="D91" s="82"/>
      <c r="E91" s="82"/>
      <c r="F91" s="122"/>
      <c r="G91" s="122"/>
      <c r="H91" s="82"/>
      <c r="I91" s="82"/>
      <c r="J91" s="82"/>
      <c r="K91" s="82"/>
      <c r="L91" s="82"/>
      <c r="M91" s="82"/>
      <c r="N91" s="82"/>
      <c r="O91" s="82"/>
      <c r="P91" s="82"/>
      <c r="Q91" s="82"/>
      <c r="R91" s="82"/>
      <c r="S91" s="82"/>
    </row>
    <row r="92" spans="1:19" ht="15" outlineLevel="1">
      <c r="A92" s="82"/>
      <c r="B92" s="82"/>
      <c r="C92" s="121" t="s">
        <v>49</v>
      </c>
      <c r="D92" s="82"/>
      <c r="E92" s="82"/>
      <c r="F92" s="122"/>
      <c r="G92" s="122"/>
      <c r="H92" s="82"/>
      <c r="I92" s="82"/>
      <c r="J92" s="82"/>
      <c r="K92" s="82"/>
      <c r="L92" s="82"/>
      <c r="M92" s="82"/>
      <c r="N92" s="82"/>
      <c r="O92" s="82"/>
      <c r="P92" s="82"/>
      <c r="Q92" s="82"/>
      <c r="R92" s="82"/>
      <c r="S92" s="82"/>
    </row>
    <row r="93" spans="1:19" ht="15" outlineLevel="1">
      <c r="A93" s="82"/>
      <c r="B93" s="82"/>
      <c r="C93" s="121"/>
      <c r="D93" s="82"/>
      <c r="E93" s="82"/>
      <c r="F93" s="122"/>
      <c r="G93" s="122"/>
      <c r="H93" s="82"/>
      <c r="I93" s="82"/>
      <c r="J93" s="82"/>
      <c r="K93" s="82"/>
      <c r="L93" s="82"/>
      <c r="M93" s="82"/>
      <c r="N93" s="82"/>
      <c r="O93" s="82"/>
      <c r="P93" s="82"/>
      <c r="Q93" s="82"/>
      <c r="R93" s="82"/>
      <c r="S93" s="82"/>
    </row>
    <row r="94" spans="1:19" ht="15" outlineLevel="1">
      <c r="A94" s="82"/>
      <c r="B94" s="82"/>
      <c r="C94" s="119" t="s">
        <v>102</v>
      </c>
      <c r="D94" s="82"/>
      <c r="E94" s="82"/>
      <c r="F94" s="122"/>
      <c r="G94" s="122"/>
      <c r="H94" s="82"/>
      <c r="I94" s="82"/>
      <c r="J94" s="82"/>
      <c r="K94" s="82"/>
      <c r="L94" s="82"/>
      <c r="M94" s="82"/>
      <c r="N94" s="82"/>
      <c r="O94" s="82"/>
      <c r="P94" s="82"/>
      <c r="Q94" s="82"/>
      <c r="R94" s="82"/>
      <c r="S94" s="82"/>
    </row>
    <row r="95" spans="1:19" ht="15" outlineLevel="1">
      <c r="A95" s="82"/>
      <c r="B95" s="82"/>
      <c r="C95" s="121" t="s">
        <v>103</v>
      </c>
      <c r="D95" s="82"/>
      <c r="E95" s="82"/>
      <c r="F95" s="122"/>
      <c r="G95" s="122"/>
      <c r="H95" s="82"/>
      <c r="I95" s="82"/>
      <c r="J95" s="82"/>
      <c r="K95" s="82"/>
      <c r="L95" s="82"/>
      <c r="M95" s="82"/>
      <c r="N95" s="82"/>
      <c r="O95" s="82"/>
      <c r="P95" s="82"/>
      <c r="Q95" s="82"/>
      <c r="R95" s="82"/>
      <c r="S95" s="82"/>
    </row>
    <row r="96" spans="1:19" ht="19.5" customHeight="1" outlineLevel="1">
      <c r="A96" s="82"/>
      <c r="B96" s="82"/>
      <c r="C96" s="121"/>
      <c r="D96" s="82"/>
      <c r="E96" s="82"/>
      <c r="F96" s="122"/>
      <c r="G96" s="122"/>
      <c r="H96" s="82"/>
      <c r="I96" s="82"/>
      <c r="J96" s="82"/>
      <c r="K96" s="82"/>
      <c r="L96" s="82"/>
      <c r="M96" s="82"/>
      <c r="N96" s="82"/>
      <c r="O96" s="82"/>
      <c r="P96" s="82"/>
      <c r="Q96" s="82"/>
      <c r="R96" s="82"/>
      <c r="S96" s="82"/>
    </row>
    <row r="97" spans="1:19" ht="19.5" customHeight="1">
      <c r="A97" s="82"/>
      <c r="B97" s="82"/>
      <c r="C97" s="121"/>
      <c r="D97" s="82"/>
      <c r="E97" s="82"/>
      <c r="F97" s="82"/>
      <c r="G97" s="82"/>
      <c r="H97" s="82"/>
      <c r="I97" s="82"/>
      <c r="J97" s="82"/>
      <c r="K97" s="82"/>
      <c r="L97" s="82"/>
      <c r="M97" s="82"/>
      <c r="N97" s="82"/>
      <c r="O97" s="82"/>
      <c r="P97" s="82"/>
      <c r="Q97" s="82"/>
      <c r="R97" s="82"/>
      <c r="S97" s="82"/>
    </row>
    <row r="98" spans="1:19" ht="19.5" customHeight="1">
      <c r="A98" s="82"/>
      <c r="B98" s="82"/>
      <c r="C98" s="121"/>
      <c r="D98" s="82"/>
      <c r="E98" s="82"/>
      <c r="F98" s="82"/>
      <c r="G98" s="82"/>
      <c r="H98" s="82"/>
      <c r="I98" s="82"/>
      <c r="J98" s="82"/>
      <c r="K98" s="82"/>
      <c r="L98" s="82"/>
      <c r="M98" s="82"/>
      <c r="N98" s="82"/>
      <c r="O98" s="82"/>
      <c r="P98" s="82"/>
      <c r="Q98" s="82"/>
      <c r="R98" s="82"/>
      <c r="S98" s="82"/>
    </row>
    <row r="99" spans="1:19" ht="5.0999999999999996" customHeight="1">
      <c r="A99" s="82"/>
      <c r="B99" s="82"/>
      <c r="C99" s="82"/>
      <c r="D99" s="82"/>
      <c r="E99" s="82"/>
      <c r="F99" s="82"/>
      <c r="G99" s="82"/>
      <c r="H99" s="82"/>
      <c r="I99" s="82"/>
      <c r="J99" s="82"/>
      <c r="K99" s="82"/>
      <c r="L99" s="82"/>
      <c r="M99" s="82"/>
      <c r="N99" s="82"/>
      <c r="O99" s="82"/>
      <c r="P99" s="82"/>
      <c r="Q99" s="82"/>
      <c r="R99" s="82"/>
      <c r="S99" s="82"/>
    </row>
    <row r="100" spans="1:19" ht="13.5" customHeight="1">
      <c r="A100" s="82"/>
      <c r="B100" s="82"/>
      <c r="C100" s="123"/>
      <c r="D100" s="82"/>
      <c r="E100" s="82"/>
      <c r="F100" s="82"/>
      <c r="G100" s="82"/>
      <c r="H100" s="82"/>
      <c r="I100" s="82"/>
      <c r="J100" s="82"/>
      <c r="K100" s="82"/>
      <c r="L100" s="82"/>
      <c r="M100" s="82"/>
      <c r="N100" s="82"/>
      <c r="O100" s="82"/>
      <c r="P100" s="82"/>
      <c r="Q100" s="82"/>
      <c r="R100" s="82"/>
      <c r="S100" s="82"/>
    </row>
    <row r="101" spans="1:19" ht="13.5" customHeight="1">
      <c r="A101" s="82"/>
      <c r="B101" s="82"/>
      <c r="C101" s="82"/>
      <c r="D101" s="82"/>
      <c r="E101" s="82"/>
      <c r="F101" s="124"/>
      <c r="G101" s="124"/>
      <c r="H101" s="82"/>
      <c r="I101" s="82"/>
      <c r="J101" s="82"/>
      <c r="K101" s="82"/>
      <c r="L101" s="82"/>
      <c r="M101" s="82"/>
      <c r="N101" s="82"/>
      <c r="O101" s="82"/>
      <c r="P101" s="82"/>
      <c r="Q101" s="82"/>
      <c r="R101" s="82"/>
      <c r="S101" s="82"/>
    </row>
    <row r="102" spans="1:19" ht="13.5" customHeight="1">
      <c r="A102" s="82"/>
      <c r="B102" s="82"/>
      <c r="C102" s="82"/>
      <c r="D102" s="82"/>
      <c r="E102" s="82"/>
      <c r="F102" s="124"/>
      <c r="G102" s="124"/>
      <c r="H102" s="82"/>
      <c r="I102" s="82"/>
      <c r="J102" s="82"/>
      <c r="K102" s="82"/>
      <c r="L102" s="82"/>
      <c r="M102" s="82"/>
      <c r="N102" s="82"/>
      <c r="O102" s="82"/>
      <c r="P102" s="82"/>
      <c r="Q102" s="82"/>
      <c r="R102" s="82"/>
      <c r="S102" s="82"/>
    </row>
    <row r="103" spans="1:19" ht="13.5" customHeight="1">
      <c r="A103" s="82"/>
      <c r="B103" s="82"/>
      <c r="C103" s="82"/>
      <c r="D103" s="82"/>
      <c r="E103" s="82"/>
      <c r="F103" s="124"/>
      <c r="G103" s="124"/>
      <c r="H103" s="82"/>
      <c r="I103" s="82"/>
      <c r="J103" s="82"/>
      <c r="K103" s="82"/>
      <c r="L103" s="82"/>
      <c r="M103" s="82"/>
      <c r="N103" s="82"/>
      <c r="O103" s="82"/>
      <c r="P103" s="82"/>
      <c r="Q103" s="82"/>
      <c r="R103" s="82"/>
      <c r="S103" s="82"/>
    </row>
    <row r="104" spans="1:19" ht="13.5" customHeight="1">
      <c r="A104" s="82"/>
      <c r="B104" s="82"/>
      <c r="C104" s="82"/>
      <c r="D104" s="82"/>
      <c r="E104" s="82"/>
      <c r="F104" s="124"/>
      <c r="G104" s="124"/>
      <c r="H104" s="82"/>
      <c r="I104" s="82"/>
      <c r="J104" s="82"/>
      <c r="K104" s="82"/>
      <c r="L104" s="82"/>
      <c r="M104" s="82"/>
      <c r="N104" s="82"/>
      <c r="O104" s="82"/>
      <c r="P104" s="82"/>
      <c r="Q104" s="82"/>
      <c r="R104" s="82"/>
      <c r="S104" s="82"/>
    </row>
    <row r="105" spans="1:19" ht="13.5" customHeight="1">
      <c r="A105" s="82"/>
      <c r="B105" s="82"/>
      <c r="C105" s="82"/>
      <c r="D105" s="82"/>
      <c r="E105" s="82"/>
      <c r="F105" s="82"/>
      <c r="G105" s="82"/>
      <c r="H105" s="82"/>
      <c r="I105" s="82"/>
      <c r="J105" s="82"/>
      <c r="K105" s="82"/>
      <c r="L105" s="82"/>
      <c r="M105" s="82"/>
      <c r="N105" s="82"/>
      <c r="O105" s="82"/>
      <c r="P105" s="82"/>
      <c r="Q105" s="82"/>
      <c r="R105" s="82"/>
      <c r="S105" s="82"/>
    </row>
    <row r="106" spans="1:19" ht="13.5" customHeight="1">
      <c r="A106" s="82"/>
      <c r="B106" s="82"/>
      <c r="C106" s="123"/>
      <c r="D106" s="82"/>
      <c r="E106" s="82"/>
      <c r="F106" s="82"/>
      <c r="G106" s="82"/>
      <c r="H106" s="82"/>
      <c r="I106" s="82"/>
      <c r="J106" s="82"/>
      <c r="K106" s="82"/>
      <c r="L106" s="82"/>
      <c r="M106" s="82"/>
      <c r="N106" s="82"/>
      <c r="O106" s="82"/>
      <c r="P106" s="82"/>
      <c r="Q106" s="82"/>
      <c r="R106" s="82"/>
      <c r="S106" s="82"/>
    </row>
    <row r="107" spans="1:19" ht="13.5" customHeight="1">
      <c r="A107" s="82"/>
      <c r="B107" s="82"/>
      <c r="C107" s="82"/>
      <c r="D107" s="82"/>
      <c r="E107" s="82"/>
      <c r="F107" s="124"/>
      <c r="G107" s="124"/>
      <c r="H107" s="82"/>
      <c r="I107" s="82"/>
      <c r="J107" s="82"/>
      <c r="K107" s="82"/>
      <c r="L107" s="82"/>
      <c r="M107" s="82"/>
      <c r="N107" s="82"/>
      <c r="O107" s="82"/>
      <c r="P107" s="82"/>
      <c r="Q107" s="82"/>
      <c r="R107" s="82"/>
      <c r="S107" s="82"/>
    </row>
    <row r="108" spans="1:19" ht="13.5" customHeight="1">
      <c r="A108" s="82"/>
      <c r="B108" s="82"/>
      <c r="C108" s="82"/>
      <c r="D108" s="82"/>
      <c r="E108" s="82"/>
      <c r="F108" s="124"/>
      <c r="G108" s="124"/>
      <c r="H108" s="82"/>
      <c r="I108" s="82"/>
      <c r="J108" s="82"/>
      <c r="K108" s="82"/>
      <c r="L108" s="82"/>
      <c r="M108" s="82"/>
      <c r="N108" s="82"/>
      <c r="O108" s="82"/>
      <c r="P108" s="82"/>
      <c r="Q108" s="82"/>
      <c r="R108" s="82"/>
      <c r="S108" s="82"/>
    </row>
    <row r="109" spans="1:19" ht="13.5" customHeight="1">
      <c r="A109" s="82"/>
      <c r="B109" s="82"/>
      <c r="C109" s="82"/>
      <c r="D109" s="82"/>
      <c r="E109" s="82"/>
      <c r="F109" s="124"/>
      <c r="G109" s="124"/>
      <c r="H109" s="82"/>
      <c r="I109" s="82"/>
      <c r="J109" s="82"/>
      <c r="K109" s="82"/>
      <c r="L109" s="82"/>
      <c r="M109" s="82"/>
      <c r="N109" s="82"/>
      <c r="O109" s="82"/>
      <c r="P109" s="82"/>
      <c r="Q109" s="82"/>
      <c r="R109" s="82"/>
      <c r="S109" s="82"/>
    </row>
    <row r="110" spans="1:19" ht="13.5" customHeight="1">
      <c r="A110" s="82"/>
      <c r="B110" s="82"/>
      <c r="C110" s="82"/>
      <c r="D110" s="82"/>
      <c r="E110" s="82"/>
      <c r="F110" s="124"/>
      <c r="G110" s="124"/>
      <c r="H110" s="82"/>
      <c r="I110" s="82"/>
      <c r="J110" s="82"/>
      <c r="K110" s="82"/>
      <c r="L110" s="82"/>
      <c r="M110" s="82"/>
      <c r="N110" s="82"/>
      <c r="O110" s="82"/>
      <c r="P110" s="82"/>
      <c r="Q110" s="82"/>
      <c r="R110" s="82"/>
      <c r="S110" s="82"/>
    </row>
    <row r="111" spans="1:19" ht="5.0999999999999996" customHeight="1">
      <c r="A111" s="82"/>
      <c r="B111" s="82"/>
      <c r="C111" s="82"/>
      <c r="D111" s="82"/>
      <c r="E111" s="82"/>
      <c r="F111" s="82"/>
      <c r="G111" s="82"/>
      <c r="H111" s="82"/>
      <c r="I111" s="82"/>
      <c r="J111" s="82"/>
      <c r="K111" s="82"/>
      <c r="L111" s="82"/>
      <c r="M111" s="82"/>
      <c r="N111" s="82"/>
      <c r="O111" s="82"/>
      <c r="P111" s="82"/>
      <c r="Q111" s="82"/>
      <c r="R111" s="82"/>
      <c r="S111" s="82"/>
    </row>
    <row r="112" spans="1:19" ht="13.5" customHeight="1">
      <c r="A112" s="82"/>
      <c r="B112" s="82"/>
      <c r="C112" s="82"/>
      <c r="D112" s="82"/>
      <c r="E112" s="82"/>
      <c r="F112" s="124"/>
      <c r="G112" s="124"/>
      <c r="H112" s="82"/>
      <c r="I112" s="82"/>
      <c r="J112" s="82"/>
      <c r="K112" s="82"/>
      <c r="L112" s="82"/>
      <c r="M112" s="82"/>
      <c r="N112" s="82"/>
      <c r="O112" s="82"/>
      <c r="P112" s="82"/>
      <c r="Q112" s="82"/>
      <c r="R112" s="82"/>
      <c r="S112" s="82"/>
    </row>
    <row r="113" spans="1:19" ht="13.5" customHeight="1">
      <c r="A113" s="82"/>
      <c r="B113" s="82"/>
      <c r="C113" s="82"/>
      <c r="D113" s="82"/>
      <c r="E113" s="82"/>
      <c r="F113" s="124"/>
      <c r="G113" s="124"/>
      <c r="H113" s="82"/>
      <c r="I113" s="82"/>
      <c r="J113" s="82"/>
      <c r="K113" s="82"/>
      <c r="L113" s="82"/>
      <c r="M113" s="82"/>
      <c r="N113" s="82"/>
      <c r="O113" s="82"/>
      <c r="P113" s="82"/>
      <c r="Q113" s="82"/>
      <c r="R113" s="82"/>
      <c r="S113" s="82"/>
    </row>
    <row r="114" spans="1:19" ht="13.5" customHeight="1">
      <c r="A114" s="82"/>
      <c r="B114" s="82"/>
      <c r="C114" s="82"/>
      <c r="D114" s="82"/>
      <c r="E114" s="82"/>
      <c r="F114" s="82"/>
      <c r="G114" s="82"/>
      <c r="H114" s="82"/>
      <c r="I114" s="82"/>
      <c r="J114" s="82"/>
      <c r="K114" s="82"/>
      <c r="L114" s="82"/>
      <c r="M114" s="82"/>
      <c r="N114" s="82"/>
      <c r="O114" s="82"/>
      <c r="P114" s="82"/>
      <c r="Q114" s="82"/>
      <c r="R114" s="82"/>
      <c r="S114" s="82"/>
    </row>
    <row r="115" spans="1:19" ht="13.5" customHeight="1">
      <c r="F115" s="124"/>
      <c r="G115" s="124"/>
    </row>
  </sheetData>
  <pageMargins left="0.25" right="0.25" top="0.75" bottom="0.75" header="0.3" footer="0.3"/>
  <pageSetup scale="47" orientation="landscape" r:id="rId1"/>
  <headerFooter alignWithMargins="0">
    <oddHeader>&amp;A</oddHead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8FBEC-8EEE-4548-9B29-89D1651F8910}">
  <sheetPr>
    <tabColor rgb="FF416D89"/>
    <outlinePr summaryBelow="0"/>
    <pageSetUpPr fitToPage="1"/>
  </sheetPr>
  <dimension ref="A1:S115"/>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4" width="11.7109375" style="29" customWidth="1"/>
    <col min="5" max="5" width="14.85546875" style="29" customWidth="1"/>
    <col min="6" max="7" width="11.7109375" style="29" customWidth="1"/>
    <col min="8" max="12" width="13" style="29" customWidth="1"/>
    <col min="13" max="16384" width="9.140625" style="29"/>
  </cols>
  <sheetData>
    <row r="1" spans="1:13" ht="13.5" customHeight="1">
      <c r="C1" s="30"/>
      <c r="E1" s="31"/>
      <c r="F1" s="31"/>
      <c r="G1" s="31"/>
    </row>
    <row r="2" spans="1:13" ht="21" outlineLevel="1">
      <c r="B2" s="32"/>
      <c r="C2" s="33" t="s">
        <v>54</v>
      </c>
      <c r="D2" s="34"/>
      <c r="E2" s="35"/>
      <c r="F2" s="35"/>
      <c r="G2" s="36"/>
      <c r="H2" s="36"/>
      <c r="I2" s="36"/>
      <c r="J2" s="36"/>
      <c r="K2" s="36"/>
      <c r="L2" s="36"/>
    </row>
    <row r="3" spans="1:13" ht="13.5" customHeight="1" outlineLevel="1">
      <c r="C3" s="37" t="s">
        <v>55</v>
      </c>
      <c r="D3" s="34"/>
      <c r="E3" s="38"/>
      <c r="F3" s="38"/>
      <c r="G3" s="38"/>
      <c r="H3" s="34"/>
      <c r="I3" s="34"/>
      <c r="J3" s="34"/>
      <c r="K3" s="34"/>
      <c r="L3" s="34"/>
    </row>
    <row r="4" spans="1:13" ht="13.5" customHeight="1" outlineLevel="1">
      <c r="C4" s="37"/>
      <c r="D4" s="34"/>
      <c r="E4" s="38"/>
      <c r="F4" s="38"/>
      <c r="G4" s="38"/>
      <c r="H4" s="34"/>
      <c r="I4" s="34"/>
      <c r="J4" s="34"/>
      <c r="K4" s="34"/>
      <c r="L4" s="34"/>
    </row>
    <row r="5" spans="1:13" ht="13.5" customHeight="1" outlineLevel="1">
      <c r="C5" s="30"/>
      <c r="E5" s="31"/>
      <c r="F5" s="31"/>
      <c r="G5" s="31"/>
      <c r="I5" s="39"/>
      <c r="J5" s="39" t="s">
        <v>56</v>
      </c>
    </row>
    <row r="6" spans="1:13" ht="13.5" customHeight="1" outlineLevel="1">
      <c r="C6" s="40" t="s">
        <v>57</v>
      </c>
      <c r="D6" s="41"/>
      <c r="E6" s="42"/>
      <c r="F6" s="43" t="s">
        <v>58</v>
      </c>
      <c r="G6" s="43"/>
      <c r="I6" s="44"/>
      <c r="J6" s="44" t="s">
        <v>59</v>
      </c>
    </row>
    <row r="7" spans="1:13" ht="13.5" customHeight="1" outlineLevel="1" thickBot="1">
      <c r="C7" s="30"/>
      <c r="E7" s="31"/>
      <c r="F7" s="31"/>
      <c r="G7" s="31"/>
      <c r="I7" s="45"/>
      <c r="J7" s="45" t="s">
        <v>60</v>
      </c>
    </row>
    <row r="8" spans="1:13" ht="21.75" thickTop="1">
      <c r="B8" s="46" t="s">
        <v>61</v>
      </c>
      <c r="C8" s="47" t="s">
        <v>3</v>
      </c>
      <c r="D8" s="48"/>
      <c r="E8" s="49"/>
      <c r="F8" s="49"/>
      <c r="G8" s="49"/>
      <c r="H8" s="49"/>
      <c r="I8" s="49"/>
      <c r="J8" s="49"/>
      <c r="K8" s="49"/>
      <c r="L8" s="49"/>
      <c r="M8" s="50" t="s">
        <v>62</v>
      </c>
    </row>
    <row r="9" spans="1:13" ht="5.0999999999999996" customHeight="1" outlineLevel="1">
      <c r="C9" s="51"/>
      <c r="D9" s="52"/>
    </row>
    <row r="10" spans="1:13" ht="13.5" customHeight="1" outlineLevel="1">
      <c r="C10" s="53"/>
      <c r="D10" s="53"/>
      <c r="E10" s="53"/>
      <c r="F10" s="54" t="s">
        <v>63</v>
      </c>
      <c r="G10" s="54" t="s">
        <v>63</v>
      </c>
      <c r="H10" s="55" t="s">
        <v>64</v>
      </c>
      <c r="I10" s="55"/>
      <c r="J10" s="55"/>
      <c r="K10" s="55"/>
      <c r="L10" s="55"/>
    </row>
    <row r="11" spans="1: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1:13" ht="5.0999999999999996" customHeight="1" outlineLevel="1">
      <c r="A12" s="125"/>
      <c r="C12" s="59"/>
      <c r="D12" s="59"/>
      <c r="E12" s="59"/>
      <c r="F12" s="60"/>
      <c r="G12" s="60"/>
      <c r="H12" s="60"/>
      <c r="I12" s="60"/>
      <c r="J12" s="60"/>
      <c r="K12" s="60"/>
    </row>
    <row r="13" spans="1:13" ht="13.5" customHeight="1" outlineLevel="1">
      <c r="A13" s="125"/>
      <c r="C13" s="61" t="s">
        <v>7</v>
      </c>
      <c r="D13" s="61"/>
      <c r="E13" s="61"/>
      <c r="F13" s="62">
        <f>'Financials from CIP'!D13/1000</f>
        <v>78.565675999999996</v>
      </c>
      <c r="G13" s="62">
        <f>'Financials from CIP'!E13/1000</f>
        <v>90.614007999999998</v>
      </c>
      <c r="H13" s="60"/>
      <c r="I13" s="60"/>
      <c r="J13" s="60"/>
      <c r="K13" s="60"/>
      <c r="L13" s="60"/>
      <c r="M13" s="60"/>
    </row>
    <row r="14" spans="1:13" ht="13.5" customHeight="1" outlineLevel="1">
      <c r="A14" s="125"/>
      <c r="C14" s="63" t="s">
        <v>66</v>
      </c>
      <c r="D14" s="63"/>
      <c r="E14" s="63"/>
      <c r="F14" s="64">
        <f>SUM('Financials from CIP'!D15:D17)/1000</f>
        <v>51.562188999999996</v>
      </c>
      <c r="G14" s="64">
        <f>SUM('Financials from CIP'!E15:E17)/1000</f>
        <v>61.618676000000001</v>
      </c>
      <c r="H14" s="60"/>
      <c r="I14" s="60"/>
      <c r="J14" s="60"/>
      <c r="K14" s="60"/>
      <c r="L14" s="60"/>
      <c r="M14" s="60"/>
    </row>
    <row r="15" spans="1:13" ht="13.5" customHeight="1" outlineLevel="1">
      <c r="A15" s="125"/>
      <c r="C15" s="65" t="s">
        <v>67</v>
      </c>
      <c r="D15" s="65"/>
      <c r="E15" s="65"/>
      <c r="F15" s="66">
        <f t="shared" ref="F15:G15" si="1">F13-F14</f>
        <v>27.003487</v>
      </c>
      <c r="G15" s="66">
        <f t="shared" si="1"/>
        <v>28.995331999999998</v>
      </c>
      <c r="H15" s="60"/>
      <c r="I15" s="60"/>
      <c r="J15" s="60"/>
      <c r="K15" s="60"/>
      <c r="L15" s="60"/>
      <c r="M15" s="60"/>
    </row>
    <row r="16" spans="1:13" ht="13.5" customHeight="1" outlineLevel="1">
      <c r="A16" s="125"/>
      <c r="C16" s="67" t="s">
        <v>68</v>
      </c>
      <c r="D16" s="68"/>
      <c r="E16" s="68"/>
      <c r="F16" s="69">
        <f>IFERROR(F15/F$13,"N/M")</f>
        <v>0.34370590790818117</v>
      </c>
      <c r="G16" s="69">
        <f>IFERROR(G15/G$13,"N/M")</f>
        <v>0.31998730262543951</v>
      </c>
      <c r="H16" s="60"/>
      <c r="I16" s="60"/>
      <c r="J16" s="60"/>
      <c r="K16" s="60"/>
      <c r="L16" s="60"/>
      <c r="M16" s="60"/>
    </row>
    <row r="17" spans="1:13" ht="13.5" customHeight="1" outlineLevel="1">
      <c r="A17" s="125"/>
      <c r="C17" s="63" t="s">
        <v>69</v>
      </c>
      <c r="D17" s="63"/>
      <c r="E17" s="63"/>
      <c r="F17" s="64">
        <f>SUM('Financials from CIP'!D23:D24,'Financials from CIP'!D28)/1000</f>
        <v>14.179914999999999</v>
      </c>
      <c r="G17" s="64">
        <f>SUM('Financials from CIP'!E23:E24,'Financials from CIP'!E28)/1000</f>
        <v>15.4366889395</v>
      </c>
      <c r="H17" s="60"/>
      <c r="I17" s="60"/>
      <c r="J17" s="60"/>
      <c r="K17" s="60"/>
      <c r="L17" s="60"/>
      <c r="M17" s="60"/>
    </row>
    <row r="18" spans="1:13" ht="13.5" customHeight="1" outlineLevel="1">
      <c r="A18" s="125"/>
      <c r="C18" s="70" t="s">
        <v>70</v>
      </c>
      <c r="D18" s="70"/>
      <c r="E18" s="70"/>
      <c r="F18" s="71">
        <f t="shared" ref="F18:G18" si="2">F15-F17</f>
        <v>12.823572</v>
      </c>
      <c r="G18" s="71">
        <f t="shared" si="2"/>
        <v>13.558643060499998</v>
      </c>
      <c r="H18" s="60"/>
      <c r="I18" s="60"/>
      <c r="J18" s="60"/>
      <c r="K18" s="60"/>
      <c r="L18" s="60"/>
      <c r="M18" s="60"/>
    </row>
    <row r="19" spans="1:13" ht="13.5" customHeight="1" outlineLevel="1">
      <c r="A19" s="125"/>
      <c r="C19" s="67" t="s">
        <v>71</v>
      </c>
      <c r="D19" s="39"/>
      <c r="E19" s="39"/>
      <c r="F19" s="69">
        <f>IFERROR(F18/F$13,"N/M")</f>
        <v>0.16322104833668077</v>
      </c>
      <c r="G19" s="69">
        <f>IFERROR(G18/G$13,"N/M")</f>
        <v>0.1496307619512868</v>
      </c>
      <c r="H19" s="60"/>
      <c r="I19" s="60"/>
      <c r="J19" s="60"/>
      <c r="K19" s="60"/>
      <c r="L19" s="60"/>
      <c r="M19" s="60"/>
    </row>
    <row r="20" spans="1:13" ht="13.5" customHeight="1" outlineLevel="1">
      <c r="A20" s="125"/>
      <c r="C20" s="63" t="s">
        <v>15</v>
      </c>
      <c r="D20" s="63"/>
      <c r="E20" s="63"/>
      <c r="F20" s="64">
        <f>'Financials from CIP'!D25/1000</f>
        <v>1.1801621</v>
      </c>
      <c r="G20" s="64">
        <f>'Financials from CIP'!E25/1000</f>
        <v>1.1617642799999999</v>
      </c>
      <c r="H20" s="60"/>
      <c r="I20" s="60"/>
      <c r="J20" s="60"/>
      <c r="K20" s="60"/>
      <c r="L20" s="60"/>
      <c r="M20" s="60"/>
    </row>
    <row r="21" spans="1:13" ht="13.5" customHeight="1" outlineLevel="1">
      <c r="A21" s="125"/>
      <c r="C21" s="63" t="s">
        <v>16</v>
      </c>
      <c r="D21" s="63"/>
      <c r="E21" s="63"/>
      <c r="F21" s="64">
        <f>'Financials from CIP'!D26/1000</f>
        <v>0.208264</v>
      </c>
      <c r="G21" s="64">
        <f>'Financials from CIP'!E26/1000</f>
        <v>0.237952</v>
      </c>
      <c r="H21" s="60"/>
      <c r="I21" s="60"/>
      <c r="J21" s="60"/>
      <c r="K21" s="60"/>
      <c r="L21" s="60"/>
      <c r="M21" s="60"/>
    </row>
    <row r="22" spans="1:13" ht="13.5" customHeight="1" outlineLevel="1">
      <c r="A22" s="125"/>
      <c r="C22" s="70" t="s">
        <v>72</v>
      </c>
      <c r="D22" s="70"/>
      <c r="E22" s="70"/>
      <c r="F22" s="71">
        <f>F18-SUM(F20:F21)</f>
        <v>11.4351459</v>
      </c>
      <c r="G22" s="71">
        <f>G18-SUM(G20:G21)</f>
        <v>12.158926780499998</v>
      </c>
      <c r="H22" s="60"/>
      <c r="I22" s="60"/>
      <c r="J22" s="60"/>
      <c r="K22" s="60"/>
      <c r="L22" s="60"/>
      <c r="M22" s="60"/>
    </row>
    <row r="23" spans="1:13" ht="13.5" customHeight="1" outlineLevel="1">
      <c r="A23" s="125"/>
      <c r="C23" s="72" t="s">
        <v>73</v>
      </c>
      <c r="D23" s="39"/>
      <c r="E23" s="39"/>
      <c r="F23" s="45"/>
      <c r="G23" s="73"/>
      <c r="H23" s="60"/>
      <c r="I23" s="60"/>
      <c r="J23" s="60"/>
      <c r="K23" s="60"/>
      <c r="L23" s="60"/>
      <c r="M23" s="60"/>
    </row>
    <row r="24" spans="1:13" ht="13.5" customHeight="1" outlineLevel="1">
      <c r="A24" s="125"/>
      <c r="C24" s="74" t="s">
        <v>74</v>
      </c>
      <c r="D24" s="39"/>
      <c r="E24" s="39"/>
      <c r="F24" s="45"/>
      <c r="G24" s="75"/>
      <c r="H24" s="60"/>
      <c r="I24" s="60"/>
      <c r="J24" s="60"/>
      <c r="K24" s="60"/>
      <c r="L24" s="60"/>
      <c r="M24" s="60"/>
    </row>
    <row r="25" spans="1:13" ht="13.5" customHeight="1" outlineLevel="1">
      <c r="A25" s="125"/>
      <c r="C25" s="74" t="s">
        <v>75</v>
      </c>
      <c r="D25" s="39"/>
      <c r="E25" s="39"/>
      <c r="F25" s="45"/>
      <c r="G25" s="75"/>
      <c r="H25" s="60"/>
      <c r="I25" s="60"/>
      <c r="J25" s="60"/>
      <c r="K25" s="60"/>
      <c r="L25" s="60"/>
      <c r="M25" s="60"/>
    </row>
    <row r="26" spans="1:13" ht="13.5" customHeight="1" outlineLevel="1">
      <c r="A26" s="125"/>
      <c r="C26" s="74" t="str">
        <f>+C66</f>
        <v>Term Loan A</v>
      </c>
      <c r="D26" s="39"/>
      <c r="E26" s="39"/>
      <c r="F26" s="45"/>
      <c r="G26" s="75"/>
      <c r="H26" s="60"/>
      <c r="I26" s="60"/>
      <c r="J26" s="60"/>
      <c r="K26" s="60"/>
      <c r="L26" s="60"/>
      <c r="M26" s="60"/>
    </row>
    <row r="27" spans="1:13" ht="13.5" customHeight="1" outlineLevel="1">
      <c r="A27" s="125"/>
      <c r="C27" s="74" t="str">
        <f>+C67</f>
        <v>Subordinated - Note 1</v>
      </c>
      <c r="D27" s="39"/>
      <c r="E27" s="39"/>
      <c r="F27" s="45"/>
      <c r="G27" s="75"/>
      <c r="H27" s="60"/>
      <c r="I27" s="60"/>
      <c r="J27" s="60"/>
      <c r="K27" s="60"/>
      <c r="L27" s="60"/>
      <c r="M27" s="60"/>
    </row>
    <row r="28" spans="1:13" ht="13.5" customHeight="1" outlineLevel="1">
      <c r="A28" s="125"/>
      <c r="C28" s="74" t="str">
        <f>+C68</f>
        <v>Subordinated - Note 2</v>
      </c>
      <c r="D28" s="39"/>
      <c r="E28" s="39"/>
      <c r="F28" s="45"/>
      <c r="G28" s="75"/>
      <c r="H28" s="60"/>
      <c r="I28" s="60"/>
      <c r="J28" s="60"/>
      <c r="K28" s="60"/>
      <c r="L28" s="60"/>
      <c r="M28" s="60"/>
    </row>
    <row r="29" spans="1:13" ht="13.5" customHeight="1" outlineLevel="1">
      <c r="A29" s="125"/>
      <c r="C29" s="76" t="s">
        <v>73</v>
      </c>
      <c r="D29" s="77"/>
      <c r="E29" s="77"/>
      <c r="F29" s="78">
        <f>'Financials from CIP'!D27/1000</f>
        <v>2.224955</v>
      </c>
      <c r="G29" s="78">
        <f>'Financials from CIP'!E27/1000</f>
        <v>1.4727629999999998</v>
      </c>
      <c r="H29" s="60"/>
      <c r="I29" s="60"/>
      <c r="J29" s="60"/>
      <c r="K29" s="60"/>
      <c r="L29" s="60"/>
      <c r="M29" s="60"/>
    </row>
    <row r="30" spans="1:13" ht="13.5" customHeight="1" outlineLevel="1">
      <c r="A30" s="125"/>
      <c r="C30" s="63" t="s">
        <v>76</v>
      </c>
      <c r="D30" s="63"/>
      <c r="E30" s="63"/>
      <c r="F30" s="64">
        <f>'Financials from CIP'!D32/1000</f>
        <v>0.147371</v>
      </c>
      <c r="G30" s="64">
        <f>'Financials from CIP'!E32/1000</f>
        <v>0.27343900000000004</v>
      </c>
      <c r="H30" s="60"/>
      <c r="I30" s="60"/>
      <c r="J30" s="60"/>
      <c r="K30" s="60"/>
      <c r="L30" s="60"/>
      <c r="M30" s="60"/>
    </row>
    <row r="31" spans="1:13" ht="13.5" customHeight="1" outlineLevel="1">
      <c r="A31" s="125"/>
      <c r="C31" s="65" t="s">
        <v>77</v>
      </c>
      <c r="D31" s="65"/>
      <c r="E31" s="65"/>
      <c r="F31" s="66">
        <f>F22-F29-F30</f>
        <v>9.0628199000000009</v>
      </c>
      <c r="G31" s="66">
        <f>G22-G29-G30</f>
        <v>10.412724780499998</v>
      </c>
      <c r="H31" s="60"/>
      <c r="I31" s="60"/>
      <c r="J31" s="60"/>
      <c r="K31" s="60"/>
      <c r="L31" s="60"/>
      <c r="M31" s="60"/>
    </row>
    <row r="32" spans="1:13" ht="13.5" customHeight="1" outlineLevel="1">
      <c r="A32" s="125"/>
      <c r="C32" s="63" t="s">
        <v>78</v>
      </c>
      <c r="D32" s="63"/>
      <c r="E32" s="63"/>
      <c r="F32" s="64">
        <f>'Financials from CIP'!D29/1000</f>
        <v>3.2010390000000002</v>
      </c>
      <c r="G32" s="64">
        <f>'Financials from CIP'!E29/1000</f>
        <v>2.809107</v>
      </c>
      <c r="H32" s="60"/>
      <c r="I32" s="60"/>
      <c r="J32" s="60"/>
      <c r="K32" s="60"/>
      <c r="L32" s="60"/>
      <c r="M32" s="60"/>
    </row>
    <row r="33" spans="1:13" ht="13.5" customHeight="1" outlineLevel="1">
      <c r="A33" s="125"/>
      <c r="C33" s="79" t="s">
        <v>22</v>
      </c>
      <c r="D33" s="79"/>
      <c r="E33" s="79"/>
      <c r="F33" s="71">
        <f>F31-F32</f>
        <v>5.8617809000000012</v>
      </c>
      <c r="G33" s="71">
        <f>G31-G32</f>
        <v>7.6036177804999978</v>
      </c>
      <c r="H33" s="60"/>
      <c r="I33" s="60"/>
      <c r="J33" s="60"/>
      <c r="K33" s="60"/>
      <c r="L33" s="60"/>
      <c r="M33" s="60"/>
    </row>
    <row r="34" spans="1:13" ht="13.5" customHeight="1" outlineLevel="1">
      <c r="A34" s="125"/>
      <c r="C34" s="67" t="s">
        <v>79</v>
      </c>
      <c r="D34" s="39"/>
      <c r="E34" s="39"/>
      <c r="F34" s="69">
        <f>IFERROR(F33/F$13,"N/M")</f>
        <v>7.4609946715153336E-2</v>
      </c>
      <c r="G34" s="69">
        <f>IFERROR(G33/G$13,"N/M")</f>
        <v>8.3912167095621659E-2</v>
      </c>
      <c r="H34" s="60"/>
      <c r="I34" s="60"/>
      <c r="J34" s="60"/>
      <c r="K34" s="60"/>
      <c r="L34" s="60"/>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thickBot="1"/>
    <row r="40" spans="1:13" ht="21.75" thickTop="1">
      <c r="A40" s="82"/>
      <c r="B40" s="46" t="s">
        <v>61</v>
      </c>
      <c r="C40" s="47" t="s">
        <v>26</v>
      </c>
      <c r="D40" s="48"/>
      <c r="E40" s="49"/>
      <c r="F40" s="49"/>
      <c r="G40" s="49"/>
      <c r="H40" s="49"/>
      <c r="I40" s="49"/>
      <c r="J40" s="49"/>
      <c r="K40" s="49"/>
      <c r="L40" s="49"/>
    </row>
    <row r="41" spans="1:13" ht="5.0999999999999996" customHeight="1" outlineLevel="1">
      <c r="A41" s="82"/>
      <c r="C41" s="51"/>
      <c r="D41" s="52"/>
    </row>
    <row r="42" spans="1:13" ht="13.5" customHeight="1" outlineLevel="1">
      <c r="A42" s="82"/>
      <c r="C42" s="53"/>
      <c r="D42" s="53"/>
      <c r="E42" s="53"/>
      <c r="F42" s="54" t="s">
        <v>63</v>
      </c>
      <c r="G42" s="54" t="s">
        <v>63</v>
      </c>
      <c r="H42" s="55" t="s">
        <v>64</v>
      </c>
      <c r="I42" s="55"/>
      <c r="J42" s="55"/>
      <c r="K42" s="55"/>
      <c r="L42" s="55"/>
    </row>
    <row r="43" spans="1:13" ht="13.5" customHeight="1" outlineLevel="1" thickBot="1">
      <c r="A43" s="82"/>
      <c r="C43" s="56" t="s">
        <v>65</v>
      </c>
      <c r="D43" s="57"/>
      <c r="E43" s="57"/>
      <c r="F43" s="58">
        <f>EOMONTH(G43,-12)</f>
        <v>45291</v>
      </c>
      <c r="G43" s="58">
        <f t="shared" ref="G43:L43" si="3">G$11</f>
        <v>45657</v>
      </c>
      <c r="H43" s="58">
        <f t="shared" si="3"/>
        <v>46022</v>
      </c>
      <c r="I43" s="58">
        <f t="shared" si="3"/>
        <v>46387</v>
      </c>
      <c r="J43" s="58">
        <f t="shared" si="3"/>
        <v>46752</v>
      </c>
      <c r="K43" s="58">
        <f t="shared" si="3"/>
        <v>47118</v>
      </c>
      <c r="L43" s="58">
        <f t="shared" si="3"/>
        <v>47483</v>
      </c>
    </row>
    <row r="44" spans="1:13" ht="5.0999999999999996" customHeight="1" outlineLevel="1">
      <c r="A44" s="82"/>
      <c r="C44" s="59"/>
      <c r="D44" s="59"/>
      <c r="E44" s="59"/>
      <c r="F44" s="60"/>
      <c r="G44" s="60"/>
      <c r="H44" s="60"/>
      <c r="I44" s="60"/>
      <c r="J44" s="60"/>
      <c r="K44" s="60"/>
    </row>
    <row r="45" spans="1:13" ht="13.5" customHeight="1" outlineLevel="1">
      <c r="A45" s="82"/>
      <c r="C45" s="84" t="s">
        <v>81</v>
      </c>
      <c r="D45" s="85"/>
      <c r="E45" s="86"/>
      <c r="F45" s="86"/>
      <c r="G45" s="86"/>
      <c r="H45" s="86"/>
      <c r="I45" s="86"/>
      <c r="J45" s="86"/>
      <c r="K45" s="86"/>
      <c r="L45" s="87"/>
    </row>
    <row r="46" spans="1:13" ht="13.5" customHeight="1" outlineLevel="1">
      <c r="A46" s="82"/>
      <c r="C46" s="59"/>
      <c r="D46" s="59"/>
      <c r="E46" s="59"/>
      <c r="F46" s="60"/>
      <c r="G46" s="60"/>
      <c r="H46" s="60"/>
      <c r="I46" s="60"/>
      <c r="J46" s="60"/>
      <c r="K46" s="60"/>
    </row>
    <row r="47" spans="1:13" ht="13.5" customHeight="1" outlineLevel="1">
      <c r="A47" s="125"/>
      <c r="C47" s="88" t="s">
        <v>82</v>
      </c>
      <c r="F47" s="89">
        <f>'Financials from CIP'!D46/1000</f>
        <v>7.1056520000000001</v>
      </c>
      <c r="G47" s="89">
        <f>'Financials from CIP'!E46/1000</f>
        <v>2.9579920000000004</v>
      </c>
      <c r="H47" s="90"/>
      <c r="I47" s="90"/>
      <c r="J47" s="90"/>
      <c r="K47" s="90"/>
      <c r="L47" s="90"/>
    </row>
    <row r="48" spans="1:13" ht="13.5" customHeight="1" outlineLevel="1">
      <c r="A48" s="125"/>
      <c r="C48" s="91" t="s">
        <v>83</v>
      </c>
      <c r="F48" s="92">
        <f>SUM('Financials from CIP'!D47:D48)/1000</f>
        <v>16.781419000000003</v>
      </c>
      <c r="G48" s="92">
        <f>SUM('Financials from CIP'!E47:E48)/1000</f>
        <v>22.284721999999999</v>
      </c>
      <c r="H48" s="90"/>
      <c r="I48" s="90"/>
      <c r="J48" s="90"/>
      <c r="K48" s="90"/>
      <c r="L48" s="90"/>
    </row>
    <row r="49" spans="1:12" ht="13.5" customHeight="1" outlineLevel="1">
      <c r="A49" s="125"/>
      <c r="C49" s="91" t="s">
        <v>31</v>
      </c>
      <c r="F49" s="92">
        <f>'Financials from CIP'!D49/1000</f>
        <v>0.80490099999999998</v>
      </c>
      <c r="G49" s="92">
        <f>'Financials from CIP'!E49/1000</f>
        <v>1.161057</v>
      </c>
      <c r="H49" s="90"/>
      <c r="I49" s="90"/>
      <c r="J49" s="90"/>
      <c r="K49" s="90"/>
      <c r="L49" s="90"/>
    </row>
    <row r="50" spans="1:12" ht="13.5" customHeight="1" outlineLevel="1">
      <c r="A50" s="125"/>
      <c r="C50" s="91" t="s">
        <v>84</v>
      </c>
      <c r="F50" s="92">
        <f>'Financials from CIP'!D50/1000</f>
        <v>0.26978399999999997</v>
      </c>
      <c r="G50" s="92">
        <f>'Financials from CIP'!E50/1000</f>
        <v>0.34491899999999998</v>
      </c>
      <c r="H50" s="90"/>
      <c r="I50" s="90"/>
      <c r="J50" s="90"/>
      <c r="K50" s="90"/>
      <c r="L50" s="90"/>
    </row>
    <row r="51" spans="1:12" ht="13.5" customHeight="1" outlineLevel="1">
      <c r="A51" s="125"/>
      <c r="C51" s="76" t="s">
        <v>33</v>
      </c>
      <c r="D51" s="77"/>
      <c r="E51" s="77"/>
      <c r="F51" s="93">
        <f>SUM(F47:F50)</f>
        <v>24.961756000000005</v>
      </c>
      <c r="G51" s="93">
        <f>SUM(G47:G50)</f>
        <v>26.74869</v>
      </c>
      <c r="H51" s="94"/>
      <c r="I51" s="94"/>
      <c r="J51" s="94"/>
      <c r="K51" s="94"/>
      <c r="L51" s="94"/>
    </row>
    <row r="52" spans="1:12" ht="13.5" customHeight="1" outlineLevel="1">
      <c r="A52" s="125"/>
      <c r="C52" s="91" t="s">
        <v>85</v>
      </c>
      <c r="D52" s="95"/>
      <c r="E52" s="95"/>
      <c r="F52" s="96"/>
      <c r="G52" s="96"/>
      <c r="H52" s="97"/>
      <c r="I52" s="97"/>
      <c r="J52" s="97"/>
      <c r="K52" s="97"/>
      <c r="L52" s="97"/>
    </row>
    <row r="53" spans="1:12" ht="13.5" customHeight="1" outlineLevel="1">
      <c r="A53" s="125"/>
      <c r="C53" s="91" t="s">
        <v>86</v>
      </c>
      <c r="D53" s="95"/>
      <c r="E53" s="95"/>
      <c r="F53" s="96"/>
      <c r="G53" s="96"/>
      <c r="H53" s="94"/>
      <c r="I53" s="94"/>
      <c r="J53" s="94"/>
      <c r="K53" s="94"/>
      <c r="L53" s="94"/>
    </row>
    <row r="54" spans="1:12" ht="13.5" customHeight="1" outlineLevel="1">
      <c r="A54" s="125"/>
      <c r="C54" s="76" t="s">
        <v>34</v>
      </c>
      <c r="D54" s="77"/>
      <c r="E54" s="77"/>
      <c r="F54" s="78">
        <f>'Financials from CIP'!D53/1000</f>
        <v>54.584699999999998</v>
      </c>
      <c r="G54" s="78">
        <f>'Financials from CIP'!E53/1000</f>
        <v>55.684984</v>
      </c>
      <c r="H54" s="94"/>
      <c r="I54" s="94"/>
      <c r="J54" s="94"/>
      <c r="K54" s="94"/>
      <c r="L54" s="94"/>
    </row>
    <row r="55" spans="1:12" ht="13.5" customHeight="1" outlineLevel="1">
      <c r="A55" s="125"/>
      <c r="C55" s="98" t="s">
        <v>87</v>
      </c>
      <c r="D55" s="95"/>
      <c r="E55" s="95"/>
      <c r="F55" s="99">
        <v>0</v>
      </c>
      <c r="G55" s="99">
        <v>0</v>
      </c>
      <c r="H55" s="94"/>
      <c r="I55" s="94"/>
      <c r="J55" s="94"/>
      <c r="K55" s="94"/>
      <c r="L55" s="94"/>
    </row>
    <row r="56" spans="1:12" ht="13.5" customHeight="1" outlineLevel="1">
      <c r="A56" s="125"/>
      <c r="C56" s="98" t="s">
        <v>88</v>
      </c>
      <c r="D56" s="95"/>
      <c r="E56" s="95"/>
      <c r="F56" s="92">
        <f>'Financials from CIP'!D54/1000</f>
        <v>4.378482</v>
      </c>
      <c r="G56" s="92">
        <f>'Financials from CIP'!E54/1000</f>
        <v>4.5043699999999998</v>
      </c>
      <c r="H56" s="94"/>
      <c r="I56" s="94"/>
      <c r="J56" s="94"/>
      <c r="K56" s="94"/>
      <c r="L56" s="94"/>
    </row>
    <row r="57" spans="1:12" ht="13.5" customHeight="1" outlineLevel="1">
      <c r="A57" s="125"/>
      <c r="C57" s="100" t="s">
        <v>36</v>
      </c>
      <c r="D57" s="101"/>
      <c r="E57" s="101"/>
      <c r="F57" s="102">
        <f>SUM(F51,F54:F56)</f>
        <v>83.924938000000012</v>
      </c>
      <c r="G57" s="102">
        <f>SUM(G51,G54:G56)</f>
        <v>86.938043999999991</v>
      </c>
      <c r="H57" s="103"/>
      <c r="I57" s="103"/>
      <c r="J57" s="103"/>
      <c r="K57" s="103"/>
      <c r="L57" s="103"/>
    </row>
    <row r="58" spans="1:12" ht="13.5" customHeight="1" outlineLevel="1">
      <c r="A58" s="125"/>
      <c r="H58" s="104"/>
      <c r="I58" s="104"/>
      <c r="J58" s="104"/>
      <c r="K58" s="104"/>
      <c r="L58" s="104"/>
    </row>
    <row r="59" spans="1:12" ht="13.5" customHeight="1" outlineLevel="1">
      <c r="A59" s="125"/>
      <c r="C59" s="84" t="s">
        <v>89</v>
      </c>
      <c r="D59" s="85"/>
      <c r="E59" s="86"/>
      <c r="F59" s="86"/>
      <c r="G59" s="86"/>
      <c r="H59" s="86"/>
      <c r="I59" s="86"/>
      <c r="J59" s="86"/>
      <c r="K59" s="86"/>
      <c r="L59" s="87"/>
    </row>
    <row r="60" spans="1:12" ht="13.5" customHeight="1" outlineLevel="1">
      <c r="A60" s="125"/>
      <c r="C60" s="59"/>
      <c r="D60" s="59"/>
      <c r="E60" s="59"/>
      <c r="F60" s="60"/>
      <c r="G60" s="60"/>
      <c r="H60" s="60"/>
      <c r="I60" s="60"/>
      <c r="J60" s="60"/>
      <c r="K60" s="60"/>
    </row>
    <row r="61" spans="1:12" ht="13.5" customHeight="1" outlineLevel="1">
      <c r="A61" s="125"/>
      <c r="C61" s="91" t="s">
        <v>37</v>
      </c>
      <c r="D61" s="95"/>
      <c r="E61" s="95"/>
      <c r="F61" s="92">
        <f>'Financials from CIP'!D58/1000</f>
        <v>2.8058170000000002</v>
      </c>
      <c r="G61" s="92">
        <f>'Financials from CIP'!E58/1000</f>
        <v>2.3607100000000001</v>
      </c>
      <c r="H61" s="90"/>
      <c r="I61" s="90"/>
      <c r="J61" s="90"/>
      <c r="K61" s="90"/>
      <c r="L61" s="90"/>
    </row>
    <row r="62" spans="1:12" ht="13.5" customHeight="1" outlineLevel="1">
      <c r="A62" s="125"/>
      <c r="C62" s="91" t="s">
        <v>38</v>
      </c>
      <c r="D62" s="95"/>
      <c r="E62" s="95"/>
      <c r="F62" s="92">
        <f>'Financials from CIP'!D59/1000</f>
        <v>2.3839329999999999</v>
      </c>
      <c r="G62" s="92">
        <f>'Financials from CIP'!E59/1000</f>
        <v>2.7880379999999998</v>
      </c>
      <c r="H62" s="90"/>
      <c r="I62" s="90"/>
      <c r="J62" s="90"/>
      <c r="K62" s="90"/>
      <c r="L62" s="90"/>
    </row>
    <row r="63" spans="1:12" ht="13.5" customHeight="1" outlineLevel="1">
      <c r="A63" s="125"/>
      <c r="C63" s="91" t="s">
        <v>39</v>
      </c>
      <c r="D63" s="95"/>
      <c r="E63" s="95"/>
      <c r="F63" s="92">
        <f>'Financials from CIP'!D60/1000</f>
        <v>2.0579079999999998</v>
      </c>
      <c r="G63" s="92">
        <f>'Financials from CIP'!E60/1000</f>
        <v>3.2020309999999998</v>
      </c>
      <c r="H63" s="90"/>
      <c r="I63" s="90"/>
      <c r="J63" s="90"/>
      <c r="K63" s="90"/>
      <c r="L63" s="90"/>
    </row>
    <row r="64" spans="1:12" ht="13.5" customHeight="1" outlineLevel="1">
      <c r="A64" s="125"/>
      <c r="C64" s="76" t="s">
        <v>40</v>
      </c>
      <c r="D64" s="77"/>
      <c r="E64" s="77"/>
      <c r="F64" s="93">
        <f>SUM(F61:F63)</f>
        <v>7.2476579999999995</v>
      </c>
      <c r="G64" s="93">
        <f>SUM(G61:G63)</f>
        <v>8.3507789999999993</v>
      </c>
      <c r="H64" s="94"/>
      <c r="I64" s="94"/>
      <c r="J64" s="94"/>
      <c r="K64" s="94"/>
      <c r="L64" s="94"/>
    </row>
    <row r="65" spans="1:19" ht="13.5" customHeight="1" outlineLevel="1">
      <c r="A65" s="125"/>
      <c r="C65" s="91" t="s">
        <v>41</v>
      </c>
      <c r="D65" s="95"/>
      <c r="E65" s="95"/>
      <c r="F65" s="92">
        <f>'Financials from CIP'!D63/1000</f>
        <v>0.64588299999999998</v>
      </c>
      <c r="G65" s="92">
        <f>'Financials from CIP'!E63/1000</f>
        <v>1.2892999999999999</v>
      </c>
      <c r="H65" s="97"/>
      <c r="I65" s="97"/>
      <c r="J65" s="97"/>
      <c r="K65" s="97"/>
      <c r="L65" s="97"/>
    </row>
    <row r="66" spans="1:19" ht="13.5" customHeight="1" outlineLevel="1">
      <c r="A66" s="125"/>
      <c r="C66" s="91" t="s">
        <v>42</v>
      </c>
      <c r="D66" s="95"/>
      <c r="E66" s="95"/>
      <c r="F66" s="92">
        <f>'Financials from CIP'!D64/1000</f>
        <v>18.943222000000002</v>
      </c>
      <c r="G66" s="92">
        <f>'Financials from CIP'!E64/1000</f>
        <v>12.001450999999999</v>
      </c>
      <c r="H66" s="94"/>
      <c r="I66" s="94"/>
      <c r="J66" s="94"/>
      <c r="K66" s="94"/>
      <c r="L66" s="94"/>
    </row>
    <row r="67" spans="1:19" ht="13.5" customHeight="1" outlineLevel="1">
      <c r="A67" s="125"/>
      <c r="C67" s="91" t="s">
        <v>90</v>
      </c>
      <c r="D67" s="95"/>
      <c r="E67" s="95"/>
      <c r="F67" s="92">
        <f>'Financials from CIP'!D65/1000</f>
        <v>0.54533299999999996</v>
      </c>
      <c r="G67" s="92">
        <f>'Financials from CIP'!E65/1000</f>
        <v>8.5337999999999997E-2</v>
      </c>
      <c r="H67" s="97"/>
      <c r="I67" s="97"/>
      <c r="J67" s="97"/>
      <c r="K67" s="97"/>
      <c r="L67" s="97"/>
    </row>
    <row r="68" spans="1:19" ht="13.5" customHeight="1" outlineLevel="1">
      <c r="A68" s="125"/>
      <c r="C68" s="91" t="s">
        <v>91</v>
      </c>
      <c r="D68" s="95"/>
      <c r="E68" s="95"/>
      <c r="F68" s="92">
        <f>'Financials from CIP'!D66/1000</f>
        <v>9.2447999999999989E-2</v>
      </c>
      <c r="G68" s="92">
        <f>'Financials from CIP'!E66/1000</f>
        <v>1.2666999999999999E-2</v>
      </c>
      <c r="H68" s="97"/>
      <c r="I68" s="97"/>
      <c r="J68" s="97"/>
      <c r="K68" s="97"/>
      <c r="L68" s="97"/>
    </row>
    <row r="69" spans="1:19" ht="13.5" customHeight="1" outlineLevel="1">
      <c r="A69" s="125"/>
      <c r="C69" s="76" t="s">
        <v>92</v>
      </c>
      <c r="D69" s="77"/>
      <c r="E69" s="77"/>
      <c r="F69" s="93">
        <f>SUM(F65:F68)</f>
        <v>20.226886000000004</v>
      </c>
      <c r="G69" s="93">
        <f>SUM(G65:G68)</f>
        <v>13.388756000000001</v>
      </c>
      <c r="H69" s="94"/>
      <c r="I69" s="94"/>
      <c r="J69" s="94"/>
      <c r="K69" s="94"/>
      <c r="L69" s="94"/>
    </row>
    <row r="70" spans="1:19" ht="13.5" customHeight="1" outlineLevel="1">
      <c r="A70" s="125"/>
      <c r="C70" s="68" t="s">
        <v>93</v>
      </c>
      <c r="F70" s="92">
        <f>'Financials from CIP'!D67/1000</f>
        <v>0.41787400000000002</v>
      </c>
      <c r="G70" s="92">
        <f>'Financials from CIP'!E67/1000</f>
        <v>0.42988799999999999</v>
      </c>
      <c r="H70" s="97"/>
      <c r="I70" s="97"/>
      <c r="J70" s="97"/>
      <c r="K70" s="97"/>
      <c r="L70" s="97"/>
      <c r="M70" s="82"/>
    </row>
    <row r="71" spans="1:19" ht="13.5" customHeight="1" outlineLevel="1">
      <c r="A71" s="125"/>
      <c r="C71" s="76" t="s">
        <v>94</v>
      </c>
      <c r="D71" s="77"/>
      <c r="E71" s="77"/>
      <c r="F71" s="93">
        <f>SUM(F64,F69:F70)</f>
        <v>27.892418000000003</v>
      </c>
      <c r="G71" s="93">
        <f>SUM(G64,G69:G70)</f>
        <v>22.169422999999998</v>
      </c>
      <c r="H71" s="94"/>
      <c r="I71" s="94"/>
      <c r="J71" s="94"/>
      <c r="K71" s="94"/>
      <c r="L71" s="94"/>
      <c r="M71" s="82"/>
    </row>
    <row r="72" spans="1:19" ht="13.5" customHeight="1" outlineLevel="1">
      <c r="A72" s="125"/>
      <c r="C72" s="98" t="s">
        <v>47</v>
      </c>
      <c r="F72" s="92">
        <f>'Financials from CIP'!D71/1000</f>
        <v>7.7836338279007267</v>
      </c>
      <c r="G72" s="92">
        <f>'Financials from CIP'!E71/1000</f>
        <v>8.9161157153081838</v>
      </c>
      <c r="H72" s="97"/>
      <c r="I72" s="97"/>
      <c r="J72" s="97"/>
      <c r="K72" s="97"/>
      <c r="L72" s="97"/>
      <c r="M72" s="82"/>
    </row>
    <row r="73" spans="1:19" ht="13.5" customHeight="1" outlineLevel="1">
      <c r="A73" s="125"/>
      <c r="C73" s="98" t="s">
        <v>48</v>
      </c>
      <c r="F73" s="92">
        <f>'Financials from CIP'!D72/1000</f>
        <v>48.248887000000003</v>
      </c>
      <c r="G73" s="92">
        <f>'Financials from CIP'!E72/1000</f>
        <v>55.852504780500006</v>
      </c>
      <c r="H73" s="97"/>
      <c r="I73" s="97"/>
      <c r="J73" s="97"/>
      <c r="K73" s="97"/>
      <c r="L73" s="97"/>
      <c r="M73" s="82"/>
    </row>
    <row r="74" spans="1:19" ht="13.5" customHeight="1" outlineLevel="1">
      <c r="A74" s="125"/>
      <c r="C74" s="100" t="s">
        <v>95</v>
      </c>
      <c r="D74" s="101"/>
      <c r="E74" s="101"/>
      <c r="F74" s="105">
        <f>SUM(F71:F73)</f>
        <v>83.924938827900732</v>
      </c>
      <c r="G74" s="105">
        <f>SUM(G71:G73)</f>
        <v>86.938043495808188</v>
      </c>
      <c r="H74" s="103"/>
      <c r="I74" s="103"/>
      <c r="J74" s="103"/>
      <c r="K74" s="103"/>
      <c r="L74" s="103"/>
      <c r="M74" s="82"/>
    </row>
    <row r="75" spans="1:19" s="106" customFormat="1" ht="13.5" customHeight="1" outlineLevel="1">
      <c r="A75" s="82"/>
      <c r="C75" s="107"/>
      <c r="D75" s="108"/>
      <c r="E75" s="108"/>
      <c r="F75" s="109"/>
      <c r="G75" s="109"/>
      <c r="H75" s="109"/>
      <c r="I75" s="109"/>
      <c r="J75" s="109"/>
      <c r="K75" s="109"/>
      <c r="L75" s="109"/>
      <c r="M75" s="82"/>
    </row>
    <row r="76" spans="1:19" s="114" customFormat="1" ht="13.5" customHeight="1" outlineLevel="1">
      <c r="A76" s="82"/>
      <c r="B76" s="110"/>
      <c r="C76" s="111"/>
      <c r="D76" s="111"/>
      <c r="E76" s="111"/>
      <c r="F76" s="112"/>
      <c r="G76" s="113"/>
      <c r="H76" s="113"/>
      <c r="I76" s="113"/>
      <c r="J76" s="113"/>
      <c r="K76" s="113"/>
      <c r="L76" s="113"/>
      <c r="M76" s="82"/>
    </row>
    <row r="77" spans="1:19" ht="5.0999999999999996" customHeight="1" outlineLevel="1" thickBot="1">
      <c r="A77" s="82"/>
      <c r="C77" s="115"/>
      <c r="D77" s="115"/>
      <c r="E77" s="115"/>
      <c r="F77" s="116"/>
      <c r="G77" s="116"/>
      <c r="H77" s="117"/>
      <c r="I77" s="117"/>
      <c r="J77" s="117"/>
      <c r="K77" s="117"/>
      <c r="L77" s="117"/>
    </row>
    <row r="78" spans="1:19" ht="13.5" customHeight="1" outlineLevel="1" thickBot="1">
      <c r="A78" s="82"/>
      <c r="C78" s="118"/>
      <c r="D78" s="118"/>
      <c r="E78" s="118"/>
    </row>
    <row r="79" spans="1:19" ht="15.75" thickTop="1">
      <c r="A79" s="82"/>
      <c r="B79" s="46" t="s">
        <v>61</v>
      </c>
      <c r="C79" s="119" t="s">
        <v>96</v>
      </c>
      <c r="D79" s="82"/>
      <c r="E79" s="82"/>
      <c r="F79" s="82"/>
      <c r="G79" s="82"/>
      <c r="H79" s="82"/>
      <c r="I79" s="82"/>
      <c r="J79" s="82"/>
      <c r="K79" s="82"/>
      <c r="L79" s="82"/>
      <c r="M79" s="82"/>
      <c r="N79" s="82"/>
      <c r="O79" s="82"/>
      <c r="P79" s="82"/>
      <c r="Q79" s="82"/>
      <c r="R79" s="82"/>
      <c r="S79" s="82"/>
    </row>
    <row r="80" spans="1:19" ht="15" outlineLevel="1">
      <c r="A80" s="82"/>
      <c r="B80" s="82"/>
      <c r="C80" s="120" t="s">
        <v>3</v>
      </c>
      <c r="D80" s="82"/>
      <c r="E80" s="82"/>
      <c r="F80" s="82"/>
      <c r="G80" s="82"/>
      <c r="H80" s="82"/>
      <c r="I80" s="82"/>
      <c r="J80" s="82"/>
      <c r="K80" s="82"/>
      <c r="L80" s="82"/>
      <c r="M80" s="82"/>
      <c r="N80" s="82"/>
      <c r="O80" s="82"/>
      <c r="P80" s="82"/>
      <c r="Q80" s="82"/>
      <c r="R80" s="82"/>
      <c r="S80" s="82"/>
    </row>
    <row r="81" spans="1:19" ht="15" outlineLevel="1">
      <c r="A81" s="82"/>
      <c r="B81" s="82"/>
      <c r="C81" s="121" t="s">
        <v>97</v>
      </c>
      <c r="D81" s="82"/>
      <c r="E81" s="82"/>
      <c r="F81" s="122">
        <f>'Financials from CIP'!D13/1000-'Step 1 Answer Key'!F13</f>
        <v>0</v>
      </c>
      <c r="G81" s="122">
        <f>'Financials from CIP'!E13/1000-'Step 1 Answer Key'!G13</f>
        <v>0</v>
      </c>
      <c r="H81" s="82"/>
      <c r="I81" s="82"/>
      <c r="J81" s="82"/>
      <c r="K81" s="82"/>
      <c r="L81" s="82"/>
      <c r="M81" s="82"/>
      <c r="N81" s="82"/>
      <c r="O81" s="82"/>
      <c r="P81" s="82"/>
      <c r="Q81" s="82"/>
      <c r="R81" s="82"/>
      <c r="S81" s="82"/>
    </row>
    <row r="82" spans="1:19" ht="15" outlineLevel="1">
      <c r="A82" s="82"/>
      <c r="B82" s="82"/>
      <c r="C82" s="121" t="s">
        <v>67</v>
      </c>
      <c r="D82" s="82"/>
      <c r="E82" s="82"/>
      <c r="F82" s="122">
        <f>'Financials from CIP'!D19/1000-'Step 1 Answer Key'!F15</f>
        <v>0</v>
      </c>
      <c r="G82" s="122">
        <f>'Financials from CIP'!E19/1000-'Step 1 Answer Key'!G15</f>
        <v>0</v>
      </c>
      <c r="H82" s="82"/>
      <c r="I82" s="82"/>
      <c r="J82" s="82"/>
      <c r="K82" s="82"/>
      <c r="L82" s="82"/>
      <c r="M82" s="82"/>
      <c r="N82" s="82"/>
      <c r="O82" s="82"/>
      <c r="P82" s="82"/>
      <c r="Q82" s="82"/>
      <c r="R82" s="82"/>
      <c r="S82" s="82"/>
    </row>
    <row r="83" spans="1:19" ht="15" outlineLevel="1">
      <c r="A83" s="82"/>
      <c r="B83" s="82"/>
      <c r="C83" s="121" t="s">
        <v>70</v>
      </c>
      <c r="D83" s="82"/>
      <c r="E83" s="82"/>
      <c r="F83" s="122">
        <f>'Financials from CIP'!D36/1000-'Step 1 Answer Key'!F18</f>
        <v>0</v>
      </c>
      <c r="G83" s="122">
        <f>'Financials from CIP'!E36/1000-'Step 1 Answer Key'!G18</f>
        <v>0</v>
      </c>
      <c r="H83" s="82"/>
      <c r="I83" s="82"/>
      <c r="J83" s="82"/>
      <c r="K83" s="82"/>
      <c r="L83" s="82"/>
      <c r="M83" s="82"/>
      <c r="N83" s="82"/>
      <c r="O83" s="82"/>
      <c r="P83" s="82"/>
      <c r="Q83" s="82"/>
      <c r="R83" s="82"/>
      <c r="S83" s="82"/>
    </row>
    <row r="84" spans="1:19" ht="15" outlineLevel="1">
      <c r="A84" s="82"/>
      <c r="B84" s="82"/>
      <c r="C84" s="121" t="s">
        <v>22</v>
      </c>
      <c r="D84" s="82"/>
      <c r="E84" s="82"/>
      <c r="F84" s="122">
        <f>'Financials from CIP'!D34/1000-'Step 1 Answer Key'!F33</f>
        <v>0</v>
      </c>
      <c r="G84" s="122">
        <f>'Financials from CIP'!E34/1000-'Step 1 Answer Key'!G33</f>
        <v>0</v>
      </c>
      <c r="H84" s="82"/>
      <c r="I84" s="82"/>
      <c r="J84" s="82"/>
      <c r="K84" s="82"/>
      <c r="L84" s="82"/>
      <c r="M84" s="82"/>
      <c r="N84" s="82"/>
      <c r="O84" s="82"/>
      <c r="P84" s="82"/>
      <c r="Q84" s="82"/>
      <c r="R84" s="82"/>
      <c r="S84" s="82"/>
    </row>
    <row r="85" spans="1:19" ht="15" outlineLevel="1">
      <c r="A85" s="82"/>
      <c r="B85" s="82"/>
      <c r="C85" s="121"/>
      <c r="D85" s="82"/>
      <c r="E85" s="82"/>
      <c r="F85" s="122"/>
      <c r="G85" s="122"/>
      <c r="H85" s="82"/>
      <c r="I85" s="82"/>
      <c r="J85" s="82"/>
      <c r="K85" s="82"/>
      <c r="L85" s="82"/>
      <c r="M85" s="82"/>
      <c r="N85" s="82"/>
      <c r="O85" s="82"/>
      <c r="P85" s="82"/>
      <c r="Q85" s="82"/>
      <c r="R85" s="82"/>
      <c r="S85" s="82"/>
    </row>
    <row r="86" spans="1:19" ht="15" outlineLevel="1">
      <c r="A86" s="82"/>
      <c r="B86" s="82"/>
      <c r="C86" s="120" t="s">
        <v>26</v>
      </c>
      <c r="D86" s="82"/>
      <c r="E86" s="82"/>
      <c r="F86" s="122"/>
      <c r="G86" s="122"/>
      <c r="H86" s="82"/>
      <c r="I86" s="82"/>
      <c r="J86" s="82"/>
      <c r="K86" s="82"/>
      <c r="L86" s="82"/>
      <c r="M86" s="82"/>
      <c r="N86" s="82"/>
      <c r="O86" s="82"/>
      <c r="P86" s="82"/>
      <c r="Q86" s="82"/>
      <c r="R86" s="82"/>
      <c r="S86" s="82"/>
    </row>
    <row r="87" spans="1:19" ht="15" outlineLevel="1">
      <c r="A87" s="82"/>
      <c r="B87" s="82"/>
      <c r="C87" s="121" t="s">
        <v>98</v>
      </c>
      <c r="D87" s="82"/>
      <c r="E87" s="82"/>
      <c r="F87" s="122">
        <f>'Financials from CIP'!D46/1000-'Step 1 Answer Key'!F47</f>
        <v>0</v>
      </c>
      <c r="G87" s="122">
        <f>'Financials from CIP'!E46/1000-'Step 1 Answer Key'!G47</f>
        <v>0</v>
      </c>
      <c r="H87" s="82"/>
      <c r="I87" s="82"/>
      <c r="J87" s="82"/>
      <c r="K87" s="82"/>
      <c r="L87" s="82"/>
      <c r="M87" s="82"/>
      <c r="N87" s="82"/>
      <c r="O87" s="82"/>
      <c r="P87" s="82"/>
      <c r="Q87" s="82"/>
      <c r="R87" s="82"/>
      <c r="S87" s="82"/>
    </row>
    <row r="88" spans="1:19" ht="15" outlineLevel="1">
      <c r="A88" s="82"/>
      <c r="B88" s="82"/>
      <c r="C88" s="121" t="s">
        <v>99</v>
      </c>
      <c r="D88" s="82"/>
      <c r="E88" s="82"/>
      <c r="F88" s="122">
        <f>'Financials from CIP'!D51/1000-'Step 1 Answer Key'!F51</f>
        <v>0</v>
      </c>
      <c r="G88" s="122">
        <f>'Financials from CIP'!E51/1000-'Step 1 Answer Key'!G51</f>
        <v>0</v>
      </c>
      <c r="H88" s="82"/>
      <c r="I88" s="82"/>
      <c r="J88" s="82"/>
      <c r="K88" s="82"/>
      <c r="L88" s="82"/>
      <c r="M88" s="82"/>
      <c r="N88" s="82"/>
      <c r="O88" s="82"/>
      <c r="P88" s="82"/>
      <c r="Q88" s="82"/>
      <c r="R88" s="82"/>
      <c r="S88" s="82"/>
    </row>
    <row r="89" spans="1:19" ht="15" outlineLevel="1">
      <c r="A89" s="82"/>
      <c r="B89" s="82"/>
      <c r="C89" s="121" t="s">
        <v>36</v>
      </c>
      <c r="D89" s="82"/>
      <c r="E89" s="82"/>
      <c r="F89" s="122">
        <f>'Financials from CIP'!D56/1000-'Step 1 Answer Key'!F57</f>
        <v>0</v>
      </c>
      <c r="G89" s="122">
        <f>'Financials from CIP'!E56/1000-'Step 1 Answer Key'!G57</f>
        <v>0</v>
      </c>
      <c r="H89" s="82"/>
      <c r="I89" s="82"/>
      <c r="J89" s="82"/>
      <c r="K89" s="82"/>
      <c r="L89" s="82"/>
      <c r="M89" s="82"/>
      <c r="N89" s="82"/>
      <c r="O89" s="82"/>
      <c r="P89" s="82"/>
      <c r="Q89" s="82"/>
      <c r="R89" s="82"/>
      <c r="S89" s="82"/>
    </row>
    <row r="90" spans="1:19" ht="15" outlineLevel="1">
      <c r="A90" s="82"/>
      <c r="B90" s="82"/>
      <c r="C90" s="121" t="s">
        <v>100</v>
      </c>
      <c r="D90" s="82"/>
      <c r="E90" s="82"/>
      <c r="F90" s="122">
        <f>'Financials from CIP'!D61/1000-'Step 1 Answer Key'!F64</f>
        <v>0</v>
      </c>
      <c r="G90" s="122">
        <f>'Financials from CIP'!E61/1000-'Step 1 Answer Key'!G64</f>
        <v>0</v>
      </c>
      <c r="H90" s="82"/>
      <c r="I90" s="82"/>
      <c r="J90" s="82"/>
      <c r="K90" s="82"/>
      <c r="L90" s="82"/>
      <c r="M90" s="82"/>
      <c r="N90" s="82"/>
      <c r="O90" s="82"/>
      <c r="P90" s="82"/>
      <c r="Q90" s="82"/>
      <c r="R90" s="82"/>
      <c r="S90" s="82"/>
    </row>
    <row r="91" spans="1:19" ht="15" outlineLevel="1">
      <c r="A91" s="82"/>
      <c r="B91" s="82"/>
      <c r="C91" s="121" t="s">
        <v>101</v>
      </c>
      <c r="D91" s="82"/>
      <c r="E91" s="82"/>
      <c r="F91" s="122">
        <f>'Financials from CIP'!D69/1000-'Step 1 Answer Key'!F71</f>
        <v>0</v>
      </c>
      <c r="G91" s="122">
        <f>'Financials from CIP'!E69/1000-'Step 1 Answer Key'!G71</f>
        <v>0</v>
      </c>
      <c r="H91" s="82"/>
      <c r="I91" s="82"/>
      <c r="J91" s="82"/>
      <c r="K91" s="82"/>
      <c r="L91" s="82"/>
      <c r="M91" s="82"/>
      <c r="N91" s="82"/>
      <c r="O91" s="82"/>
      <c r="P91" s="82"/>
      <c r="Q91" s="82"/>
      <c r="R91" s="82"/>
      <c r="S91" s="82"/>
    </row>
    <row r="92" spans="1:19" ht="15" outlineLevel="1">
      <c r="A92" s="82"/>
      <c r="B92" s="82"/>
      <c r="C92" s="121" t="s">
        <v>49</v>
      </c>
      <c r="D92" s="82"/>
      <c r="E92" s="82"/>
      <c r="F92" s="122">
        <f>'Financials from CIP'!D73/1000-SUM('Step 1 Answer Key'!F72:F73)</f>
        <v>0</v>
      </c>
      <c r="G92" s="122">
        <f>'Financials from CIP'!E73/1000-SUM('Step 1 Answer Key'!G72:G73)</f>
        <v>0</v>
      </c>
      <c r="H92" s="82"/>
      <c r="I92" s="82"/>
      <c r="J92" s="82"/>
      <c r="K92" s="82"/>
      <c r="L92" s="82"/>
      <c r="M92" s="82"/>
      <c r="N92" s="82"/>
      <c r="O92" s="82"/>
      <c r="P92" s="82"/>
      <c r="Q92" s="82"/>
      <c r="R92" s="82"/>
      <c r="S92" s="82"/>
    </row>
    <row r="93" spans="1:19" ht="15" outlineLevel="1">
      <c r="A93" s="82"/>
      <c r="B93" s="82"/>
      <c r="C93" s="121"/>
      <c r="D93" s="82"/>
      <c r="E93" s="82"/>
      <c r="F93" s="122"/>
      <c r="G93" s="122"/>
      <c r="H93" s="82"/>
      <c r="I93" s="82"/>
      <c r="J93" s="82"/>
      <c r="K93" s="82"/>
      <c r="L93" s="82"/>
      <c r="M93" s="82"/>
      <c r="N93" s="82"/>
      <c r="O93" s="82"/>
      <c r="P93" s="82"/>
      <c r="Q93" s="82"/>
      <c r="R93" s="82"/>
      <c r="S93" s="82"/>
    </row>
    <row r="94" spans="1:19" ht="15" outlineLevel="1">
      <c r="A94" s="82"/>
      <c r="B94" s="82"/>
      <c r="C94" s="119" t="s">
        <v>102</v>
      </c>
      <c r="D94" s="82"/>
      <c r="E94" s="82"/>
      <c r="F94" s="122"/>
      <c r="G94" s="122"/>
      <c r="H94" s="82"/>
      <c r="I94" s="82"/>
      <c r="J94" s="82"/>
      <c r="K94" s="82"/>
      <c r="L94" s="82"/>
      <c r="M94" s="82"/>
      <c r="N94" s="82"/>
      <c r="O94" s="82"/>
      <c r="P94" s="82"/>
      <c r="Q94" s="82"/>
      <c r="R94" s="82"/>
      <c r="S94" s="82"/>
    </row>
    <row r="95" spans="1:19" ht="15" outlineLevel="1">
      <c r="A95" s="82"/>
      <c r="B95" s="82"/>
      <c r="C95" s="121" t="s">
        <v>103</v>
      </c>
      <c r="D95" s="82"/>
      <c r="E95" s="82"/>
      <c r="F95" s="122">
        <f>F57-F74</f>
        <v>-8.2790072042371321E-7</v>
      </c>
      <c r="G95" s="122">
        <f>G57-G74</f>
        <v>5.0419180297467392E-7</v>
      </c>
      <c r="H95" s="82"/>
      <c r="I95" s="82"/>
      <c r="J95" s="82"/>
      <c r="K95" s="82"/>
      <c r="L95" s="82"/>
      <c r="M95" s="82"/>
      <c r="N95" s="82"/>
      <c r="O95" s="82"/>
      <c r="P95" s="82"/>
      <c r="Q95" s="82"/>
      <c r="R95" s="82"/>
      <c r="S95" s="82"/>
    </row>
    <row r="96" spans="1:19" ht="19.5" customHeight="1" outlineLevel="1">
      <c r="A96" s="82"/>
      <c r="B96" s="82"/>
      <c r="C96" s="121"/>
      <c r="D96" s="82"/>
      <c r="E96" s="82"/>
      <c r="F96" s="122"/>
      <c r="G96" s="122"/>
      <c r="H96" s="82"/>
      <c r="I96" s="82"/>
      <c r="J96" s="82"/>
      <c r="K96" s="82"/>
      <c r="L96" s="82"/>
      <c r="M96" s="82"/>
      <c r="N96" s="82"/>
      <c r="O96" s="82"/>
      <c r="P96" s="82"/>
      <c r="Q96" s="82"/>
      <c r="R96" s="82"/>
      <c r="S96" s="82"/>
    </row>
    <row r="97" spans="1:19" ht="19.5" customHeight="1">
      <c r="A97" s="82"/>
      <c r="B97" s="82"/>
      <c r="C97" s="121"/>
      <c r="D97" s="82"/>
      <c r="E97" s="82"/>
      <c r="F97" s="82"/>
      <c r="G97" s="82"/>
      <c r="H97" s="82"/>
      <c r="I97" s="82"/>
      <c r="J97" s="82"/>
      <c r="K97" s="82"/>
      <c r="L97" s="82"/>
      <c r="M97" s="82"/>
      <c r="N97" s="82"/>
      <c r="O97" s="82"/>
      <c r="P97" s="82"/>
      <c r="Q97" s="82"/>
      <c r="R97" s="82"/>
      <c r="S97" s="82"/>
    </row>
    <row r="98" spans="1:19" ht="19.5" customHeight="1">
      <c r="A98" s="82"/>
      <c r="B98" s="82"/>
      <c r="C98" s="121"/>
      <c r="D98" s="82"/>
      <c r="E98" s="82"/>
      <c r="F98" s="82"/>
      <c r="G98" s="82"/>
      <c r="H98" s="82"/>
      <c r="I98" s="82"/>
      <c r="J98" s="82"/>
      <c r="K98" s="82"/>
      <c r="L98" s="82"/>
      <c r="M98" s="82"/>
      <c r="N98" s="82"/>
      <c r="O98" s="82"/>
      <c r="P98" s="82"/>
      <c r="Q98" s="82"/>
      <c r="R98" s="82"/>
      <c r="S98" s="82"/>
    </row>
    <row r="99" spans="1:19" ht="5.0999999999999996" customHeight="1">
      <c r="A99" s="82"/>
      <c r="B99" s="82"/>
      <c r="C99" s="82"/>
      <c r="D99" s="82"/>
      <c r="E99" s="82"/>
      <c r="F99" s="82"/>
      <c r="G99" s="82"/>
      <c r="H99" s="82"/>
      <c r="I99" s="82"/>
      <c r="J99" s="82"/>
      <c r="K99" s="82"/>
      <c r="L99" s="82"/>
      <c r="M99" s="82"/>
      <c r="N99" s="82"/>
      <c r="O99" s="82"/>
      <c r="P99" s="82"/>
      <c r="Q99" s="82"/>
      <c r="R99" s="82"/>
      <c r="S99" s="82"/>
    </row>
    <row r="100" spans="1:19" ht="13.5" customHeight="1">
      <c r="A100" s="82"/>
      <c r="B100" s="82"/>
      <c r="C100" s="123"/>
      <c r="D100" s="82"/>
      <c r="E100" s="82"/>
      <c r="F100" s="82"/>
      <c r="G100" s="82"/>
      <c r="H100" s="82"/>
      <c r="I100" s="82"/>
      <c r="J100" s="82"/>
      <c r="K100" s="82"/>
      <c r="L100" s="82"/>
      <c r="M100" s="82"/>
      <c r="N100" s="82"/>
      <c r="O100" s="82"/>
      <c r="P100" s="82"/>
      <c r="Q100" s="82"/>
      <c r="R100" s="82"/>
      <c r="S100" s="82"/>
    </row>
    <row r="101" spans="1:19" ht="13.5" customHeight="1">
      <c r="A101" s="82"/>
      <c r="B101" s="82"/>
      <c r="C101" s="82"/>
      <c r="D101" s="82"/>
      <c r="E101" s="82"/>
      <c r="F101" s="124"/>
      <c r="G101" s="124"/>
      <c r="H101" s="82"/>
      <c r="I101" s="82"/>
      <c r="J101" s="82"/>
      <c r="K101" s="82"/>
      <c r="L101" s="82"/>
      <c r="M101" s="82"/>
      <c r="N101" s="82"/>
      <c r="O101" s="82"/>
      <c r="P101" s="82"/>
      <c r="Q101" s="82"/>
      <c r="R101" s="82"/>
      <c r="S101" s="82"/>
    </row>
    <row r="102" spans="1:19" ht="13.5" customHeight="1">
      <c r="A102" s="82"/>
      <c r="B102" s="82"/>
      <c r="C102" s="82"/>
      <c r="D102" s="82"/>
      <c r="E102" s="82"/>
      <c r="F102" s="124"/>
      <c r="G102" s="124"/>
      <c r="H102" s="82"/>
      <c r="I102" s="82"/>
      <c r="J102" s="82"/>
      <c r="K102" s="82"/>
      <c r="L102" s="82"/>
      <c r="M102" s="82"/>
      <c r="N102" s="82"/>
      <c r="O102" s="82"/>
      <c r="P102" s="82"/>
      <c r="Q102" s="82"/>
      <c r="R102" s="82"/>
      <c r="S102" s="82"/>
    </row>
    <row r="103" spans="1:19" ht="13.5" customHeight="1">
      <c r="A103" s="82"/>
      <c r="B103" s="82"/>
      <c r="C103" s="82"/>
      <c r="D103" s="82"/>
      <c r="E103" s="82"/>
      <c r="F103" s="124"/>
      <c r="G103" s="124"/>
      <c r="H103" s="82"/>
      <c r="I103" s="82"/>
      <c r="J103" s="82"/>
      <c r="K103" s="82"/>
      <c r="L103" s="82"/>
      <c r="M103" s="82"/>
      <c r="N103" s="82"/>
      <c r="O103" s="82"/>
      <c r="P103" s="82"/>
      <c r="Q103" s="82"/>
      <c r="R103" s="82"/>
      <c r="S103" s="82"/>
    </row>
    <row r="104" spans="1:19" ht="13.5" customHeight="1">
      <c r="A104" s="82"/>
      <c r="B104" s="82"/>
      <c r="C104" s="82"/>
      <c r="D104" s="82"/>
      <c r="E104" s="82"/>
      <c r="F104" s="124"/>
      <c r="G104" s="124"/>
      <c r="H104" s="82"/>
      <c r="I104" s="82"/>
      <c r="J104" s="82"/>
      <c r="K104" s="82"/>
      <c r="L104" s="82"/>
      <c r="M104" s="82"/>
      <c r="N104" s="82"/>
      <c r="O104" s="82"/>
      <c r="P104" s="82"/>
      <c r="Q104" s="82"/>
      <c r="R104" s="82"/>
      <c r="S104" s="82"/>
    </row>
    <row r="105" spans="1:19" ht="13.5" customHeight="1">
      <c r="A105" s="82"/>
      <c r="B105" s="82"/>
      <c r="C105" s="82"/>
      <c r="D105" s="82"/>
      <c r="E105" s="82"/>
      <c r="F105" s="82"/>
      <c r="G105" s="82"/>
      <c r="H105" s="82"/>
      <c r="I105" s="82"/>
      <c r="J105" s="82"/>
      <c r="K105" s="82"/>
      <c r="L105" s="82"/>
      <c r="M105" s="82"/>
      <c r="N105" s="82"/>
      <c r="O105" s="82"/>
      <c r="P105" s="82"/>
      <c r="Q105" s="82"/>
      <c r="R105" s="82"/>
      <c r="S105" s="82"/>
    </row>
    <row r="106" spans="1:19" ht="13.5" customHeight="1">
      <c r="A106" s="82"/>
      <c r="B106" s="82"/>
      <c r="C106" s="123"/>
      <c r="D106" s="82"/>
      <c r="E106" s="82"/>
      <c r="F106" s="82"/>
      <c r="G106" s="82"/>
      <c r="H106" s="82"/>
      <c r="I106" s="82"/>
      <c r="J106" s="82"/>
      <c r="K106" s="82"/>
      <c r="L106" s="82"/>
      <c r="M106" s="82"/>
      <c r="N106" s="82"/>
      <c r="O106" s="82"/>
      <c r="P106" s="82"/>
      <c r="Q106" s="82"/>
      <c r="R106" s="82"/>
      <c r="S106" s="82"/>
    </row>
    <row r="107" spans="1:19" ht="13.5" customHeight="1">
      <c r="A107" s="82"/>
      <c r="B107" s="82"/>
      <c r="C107" s="82"/>
      <c r="D107" s="82"/>
      <c r="E107" s="82"/>
      <c r="F107" s="124"/>
      <c r="G107" s="124"/>
      <c r="H107" s="82"/>
      <c r="I107" s="82"/>
      <c r="J107" s="82"/>
      <c r="K107" s="82"/>
      <c r="L107" s="82"/>
      <c r="M107" s="82"/>
      <c r="N107" s="82"/>
      <c r="O107" s="82"/>
      <c r="P107" s="82"/>
      <c r="Q107" s="82"/>
      <c r="R107" s="82"/>
      <c r="S107" s="82"/>
    </row>
    <row r="108" spans="1:19" ht="13.5" customHeight="1">
      <c r="A108" s="82"/>
      <c r="B108" s="82"/>
      <c r="C108" s="82"/>
      <c r="D108" s="82"/>
      <c r="E108" s="82"/>
      <c r="F108" s="124"/>
      <c r="G108" s="124"/>
      <c r="H108" s="82"/>
      <c r="I108" s="82"/>
      <c r="J108" s="82"/>
      <c r="K108" s="82"/>
      <c r="L108" s="82"/>
      <c r="M108" s="82"/>
      <c r="N108" s="82"/>
      <c r="O108" s="82"/>
      <c r="P108" s="82"/>
      <c r="Q108" s="82"/>
      <c r="R108" s="82"/>
      <c r="S108" s="82"/>
    </row>
    <row r="109" spans="1:19" ht="13.5" customHeight="1">
      <c r="A109" s="82"/>
      <c r="B109" s="82"/>
      <c r="C109" s="82"/>
      <c r="D109" s="82"/>
      <c r="E109" s="82"/>
      <c r="F109" s="124"/>
      <c r="G109" s="124"/>
      <c r="H109" s="82"/>
      <c r="I109" s="82"/>
      <c r="J109" s="82"/>
      <c r="K109" s="82"/>
      <c r="L109" s="82"/>
      <c r="M109" s="82"/>
      <c r="N109" s="82"/>
      <c r="O109" s="82"/>
      <c r="P109" s="82"/>
      <c r="Q109" s="82"/>
      <c r="R109" s="82"/>
      <c r="S109" s="82"/>
    </row>
    <row r="110" spans="1:19" ht="13.5" customHeight="1">
      <c r="A110" s="82"/>
      <c r="B110" s="82"/>
      <c r="C110" s="82"/>
      <c r="D110" s="82"/>
      <c r="E110" s="82"/>
      <c r="F110" s="124"/>
      <c r="G110" s="124"/>
      <c r="H110" s="82"/>
      <c r="I110" s="82"/>
      <c r="J110" s="82"/>
      <c r="K110" s="82"/>
      <c r="L110" s="82"/>
      <c r="M110" s="82"/>
      <c r="N110" s="82"/>
      <c r="O110" s="82"/>
      <c r="P110" s="82"/>
      <c r="Q110" s="82"/>
      <c r="R110" s="82"/>
      <c r="S110" s="82"/>
    </row>
    <row r="111" spans="1:19" ht="5.0999999999999996" customHeight="1">
      <c r="A111" s="82"/>
      <c r="B111" s="82"/>
      <c r="C111" s="82"/>
      <c r="D111" s="82"/>
      <c r="E111" s="82"/>
      <c r="F111" s="82"/>
      <c r="G111" s="82"/>
      <c r="H111" s="82"/>
      <c r="I111" s="82"/>
      <c r="J111" s="82"/>
      <c r="K111" s="82"/>
      <c r="L111" s="82"/>
      <c r="M111" s="82"/>
      <c r="N111" s="82"/>
      <c r="O111" s="82"/>
      <c r="P111" s="82"/>
      <c r="Q111" s="82"/>
      <c r="R111" s="82"/>
      <c r="S111" s="82"/>
    </row>
    <row r="112" spans="1:19" ht="13.5" customHeight="1">
      <c r="A112" s="82"/>
      <c r="B112" s="82"/>
      <c r="C112" s="82"/>
      <c r="D112" s="82"/>
      <c r="E112" s="82"/>
      <c r="F112" s="124"/>
      <c r="G112" s="124"/>
      <c r="H112" s="82"/>
      <c r="I112" s="82"/>
      <c r="J112" s="82"/>
      <c r="K112" s="82"/>
      <c r="L112" s="82"/>
      <c r="M112" s="82"/>
      <c r="N112" s="82"/>
      <c r="O112" s="82"/>
      <c r="P112" s="82"/>
      <c r="Q112" s="82"/>
      <c r="R112" s="82"/>
      <c r="S112" s="82"/>
    </row>
    <row r="113" spans="1:19" ht="13.5" customHeight="1">
      <c r="A113" s="82"/>
      <c r="B113" s="82"/>
      <c r="C113" s="82"/>
      <c r="D113" s="82"/>
      <c r="E113" s="82"/>
      <c r="F113" s="124"/>
      <c r="G113" s="124"/>
      <c r="H113" s="82"/>
      <c r="I113" s="82"/>
      <c r="J113" s="82"/>
      <c r="K113" s="82"/>
      <c r="L113" s="82"/>
      <c r="M113" s="82"/>
      <c r="N113" s="82"/>
      <c r="O113" s="82"/>
      <c r="P113" s="82"/>
      <c r="Q113" s="82"/>
      <c r="R113" s="82"/>
      <c r="S113" s="82"/>
    </row>
    <row r="114" spans="1:19" ht="13.5" customHeight="1">
      <c r="A114" s="82"/>
      <c r="B114" s="82"/>
      <c r="C114" s="82"/>
      <c r="D114" s="82"/>
      <c r="E114" s="82"/>
      <c r="F114" s="82"/>
      <c r="G114" s="82"/>
      <c r="H114" s="82"/>
      <c r="I114" s="82"/>
      <c r="J114" s="82"/>
      <c r="K114" s="82"/>
      <c r="L114" s="82"/>
      <c r="M114" s="82"/>
      <c r="N114" s="82"/>
      <c r="O114" s="82"/>
      <c r="P114" s="82"/>
      <c r="Q114" s="82"/>
      <c r="R114" s="82"/>
      <c r="S114" s="82"/>
    </row>
    <row r="115" spans="1:19" ht="13.5" customHeight="1">
      <c r="F115" s="124"/>
      <c r="G115" s="124"/>
    </row>
  </sheetData>
  <pageMargins left="0.25" right="0.25" top="0.75" bottom="0.75" header="0.3" footer="0.3"/>
  <pageSetup scale="47" orientation="landscape" r:id="rId1"/>
  <headerFooter alignWithMargins="0">
    <oddHeader>&amp;A</oddHead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80885-9FD1-4B09-BF73-87A2FCC85FCF}">
  <sheetPr>
    <outlinePr summaryBelow="0"/>
    <pageSetUpPr fitToPage="1"/>
  </sheetPr>
  <dimension ref="A1:S14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1:13" ht="13.5" customHeight="1">
      <c r="C1" s="30"/>
      <c r="E1" s="31"/>
      <c r="F1" s="31"/>
      <c r="G1" s="31"/>
    </row>
    <row r="2" spans="1:13" ht="21" outlineLevel="1">
      <c r="B2" s="32"/>
      <c r="C2" s="33" t="s">
        <v>54</v>
      </c>
      <c r="D2" s="34"/>
      <c r="E2" s="35"/>
      <c r="F2" s="35"/>
      <c r="G2" s="36"/>
      <c r="H2" s="36"/>
      <c r="I2" s="36"/>
      <c r="J2" s="36"/>
      <c r="K2" s="36"/>
      <c r="L2" s="36"/>
    </row>
    <row r="3" spans="1:13" ht="13.5" customHeight="1" outlineLevel="1">
      <c r="C3" s="37" t="s">
        <v>104</v>
      </c>
      <c r="D3" s="34"/>
      <c r="E3" s="38"/>
      <c r="F3" s="38"/>
      <c r="G3" s="38"/>
      <c r="H3" s="34"/>
      <c r="I3" s="34"/>
      <c r="J3" s="34"/>
      <c r="K3" s="34"/>
      <c r="L3" s="34"/>
    </row>
    <row r="4" spans="1:13" ht="13.5" customHeight="1" outlineLevel="1">
      <c r="C4" s="37"/>
      <c r="D4" s="34"/>
      <c r="E4" s="38"/>
      <c r="F4" s="38"/>
      <c r="G4" s="38"/>
      <c r="H4" s="34"/>
      <c r="I4" s="34"/>
      <c r="J4" s="34"/>
      <c r="K4" s="34"/>
      <c r="L4" s="34"/>
    </row>
    <row r="5" spans="1:13" ht="13.5" customHeight="1" outlineLevel="1">
      <c r="C5" s="30"/>
      <c r="E5" s="31"/>
      <c r="F5" s="31"/>
      <c r="G5" s="31"/>
      <c r="I5" s="39"/>
      <c r="J5" s="39" t="s">
        <v>56</v>
      </c>
    </row>
    <row r="6" spans="1:13" ht="13.5" customHeight="1" outlineLevel="1">
      <c r="C6" s="40" t="s">
        <v>57</v>
      </c>
      <c r="D6" s="41"/>
      <c r="E6" s="42"/>
      <c r="F6" s="43" t="s">
        <v>58</v>
      </c>
      <c r="G6" s="43"/>
      <c r="I6" s="44"/>
      <c r="J6" s="44" t="s">
        <v>59</v>
      </c>
    </row>
    <row r="7" spans="1:13" ht="13.5" customHeight="1" outlineLevel="1" thickBot="1">
      <c r="C7" s="30"/>
      <c r="E7" s="31"/>
      <c r="F7" s="31"/>
      <c r="G7" s="31"/>
      <c r="I7" s="45"/>
      <c r="J7" s="45" t="s">
        <v>60</v>
      </c>
    </row>
    <row r="8" spans="1:13" ht="21.75" thickTop="1">
      <c r="B8" s="46" t="s">
        <v>61</v>
      </c>
      <c r="C8" s="47" t="s">
        <v>3</v>
      </c>
      <c r="D8" s="48"/>
      <c r="E8" s="49"/>
      <c r="F8" s="49"/>
      <c r="G8" s="49"/>
      <c r="H8" s="49"/>
      <c r="I8" s="49"/>
      <c r="J8" s="49"/>
      <c r="K8" s="49"/>
      <c r="L8" s="49"/>
      <c r="M8" s="50"/>
    </row>
    <row r="9" spans="1:13" ht="5.0999999999999996" customHeight="1" outlineLevel="1">
      <c r="C9" s="51"/>
      <c r="D9" s="52"/>
    </row>
    <row r="10" spans="1:13" ht="13.5" customHeight="1" outlineLevel="1">
      <c r="C10" s="53"/>
      <c r="D10" s="53"/>
      <c r="E10" s="53"/>
      <c r="F10" s="54" t="s">
        <v>63</v>
      </c>
      <c r="G10" s="54" t="s">
        <v>63</v>
      </c>
      <c r="H10" s="55" t="s">
        <v>64</v>
      </c>
      <c r="I10" s="55"/>
      <c r="J10" s="55"/>
      <c r="K10" s="55"/>
      <c r="L10" s="55"/>
    </row>
    <row r="11" spans="1: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1:13" ht="5.0999999999999996" customHeight="1" outlineLevel="1">
      <c r="C12" s="59"/>
      <c r="D12" s="59"/>
      <c r="E12" s="59"/>
      <c r="F12" s="60"/>
      <c r="G12" s="60"/>
      <c r="H12" s="60"/>
      <c r="I12" s="60"/>
      <c r="J12" s="60"/>
      <c r="K12" s="60"/>
    </row>
    <row r="13" spans="1:13" ht="13.5" customHeight="1" outlineLevel="1">
      <c r="A13" s="125"/>
      <c r="C13" s="61" t="s">
        <v>7</v>
      </c>
      <c r="D13" s="61"/>
      <c r="E13" s="61"/>
      <c r="F13" s="126">
        <f>'Financials from CIP'!D13/1000</f>
        <v>78.565675999999996</v>
      </c>
      <c r="G13" s="126">
        <f>'Financials from CIP'!E13/1000</f>
        <v>90.614007999999998</v>
      </c>
      <c r="H13" s="127"/>
      <c r="I13" s="127"/>
      <c r="J13" s="127"/>
      <c r="K13" s="127"/>
      <c r="L13" s="127"/>
      <c r="M13" s="50" t="s">
        <v>105</v>
      </c>
    </row>
    <row r="14" spans="1:13" ht="13.5" customHeight="1" outlineLevel="1">
      <c r="A14" s="125"/>
      <c r="C14" s="63" t="s">
        <v>66</v>
      </c>
      <c r="D14" s="63"/>
      <c r="E14" s="63"/>
      <c r="F14" s="128">
        <f>SUM('Financials from CIP'!D15:D17)/1000</f>
        <v>51.562188999999996</v>
      </c>
      <c r="G14" s="128">
        <f>SUM('Financials from CIP'!E15:E17)/1000</f>
        <v>61.618676000000001</v>
      </c>
      <c r="H14" s="129"/>
      <c r="I14" s="129"/>
      <c r="J14" s="129"/>
      <c r="K14" s="129"/>
      <c r="L14" s="129"/>
      <c r="M14" s="50" t="s">
        <v>106</v>
      </c>
    </row>
    <row r="15" spans="1:13" ht="13.5" customHeight="1" outlineLevel="1">
      <c r="A15" s="125"/>
      <c r="C15" s="65" t="s">
        <v>67</v>
      </c>
      <c r="D15" s="65"/>
      <c r="E15" s="65"/>
      <c r="F15" s="66">
        <f t="shared" ref="F15:L15" si="1">F13-F14</f>
        <v>27.003487</v>
      </c>
      <c r="G15" s="66">
        <f t="shared" si="1"/>
        <v>28.995331999999998</v>
      </c>
      <c r="H15" s="66">
        <f t="shared" si="1"/>
        <v>0</v>
      </c>
      <c r="I15" s="66">
        <f t="shared" si="1"/>
        <v>0</v>
      </c>
      <c r="J15" s="66">
        <f t="shared" si="1"/>
        <v>0</v>
      </c>
      <c r="K15" s="66">
        <f t="shared" si="1"/>
        <v>0</v>
      </c>
      <c r="L15" s="66">
        <f t="shared" si="1"/>
        <v>0</v>
      </c>
      <c r="M15" s="50"/>
    </row>
    <row r="16" spans="1:13" ht="13.5" customHeight="1" outlineLevel="1">
      <c r="A16" s="125"/>
      <c r="C16" s="67" t="s">
        <v>68</v>
      </c>
      <c r="D16" s="68"/>
      <c r="E16" s="68"/>
      <c r="F16" s="69">
        <f>IFERROR(F15/F$13,"N/M")</f>
        <v>0.34370590790818117</v>
      </c>
      <c r="G16" s="69">
        <f>IFERROR(G15/G$13,"N/M")</f>
        <v>0.31998730262543951</v>
      </c>
      <c r="H16" s="69" t="str">
        <f t="shared" ref="H16:L16" si="2">IFERROR(H15/H$13,"N/M")</f>
        <v>N/M</v>
      </c>
      <c r="I16" s="69" t="str">
        <f t="shared" si="2"/>
        <v>N/M</v>
      </c>
      <c r="J16" s="69" t="str">
        <f t="shared" si="2"/>
        <v>N/M</v>
      </c>
      <c r="K16" s="69" t="str">
        <f t="shared" si="2"/>
        <v>N/M</v>
      </c>
      <c r="L16" s="69" t="str">
        <f t="shared" si="2"/>
        <v>N/M</v>
      </c>
      <c r="M16" s="50" t="s">
        <v>107</v>
      </c>
    </row>
    <row r="17" spans="1:13" ht="13.5" customHeight="1" outlineLevel="1">
      <c r="A17" s="125"/>
      <c r="C17" s="63" t="s">
        <v>69</v>
      </c>
      <c r="D17" s="63"/>
      <c r="E17" s="63"/>
      <c r="F17" s="128">
        <f>SUM('Financials from CIP'!D23:D24,'Financials from CIP'!D28)/1000</f>
        <v>14.179914999999999</v>
      </c>
      <c r="G17" s="128">
        <f>SUM('Financials from CIP'!E23:E24,'Financials from CIP'!E28)/1000</f>
        <v>15.4366889395</v>
      </c>
      <c r="H17" s="129"/>
      <c r="I17" s="129"/>
      <c r="J17" s="129"/>
      <c r="K17" s="129"/>
      <c r="L17" s="129"/>
      <c r="M17" s="50" t="s">
        <v>108</v>
      </c>
    </row>
    <row r="18" spans="1:13" ht="13.5" customHeight="1" outlineLevel="1">
      <c r="A18" s="125"/>
      <c r="C18" s="70" t="s">
        <v>70</v>
      </c>
      <c r="D18" s="70"/>
      <c r="E18" s="70"/>
      <c r="F18" s="71">
        <f t="shared" ref="F18:L18" si="3">F15-F17</f>
        <v>12.823572</v>
      </c>
      <c r="G18" s="71">
        <f t="shared" si="3"/>
        <v>13.558643060499998</v>
      </c>
      <c r="H18" s="71">
        <f t="shared" si="3"/>
        <v>0</v>
      </c>
      <c r="I18" s="71">
        <f t="shared" si="3"/>
        <v>0</v>
      </c>
      <c r="J18" s="71">
        <f t="shared" si="3"/>
        <v>0</v>
      </c>
      <c r="K18" s="71">
        <f t="shared" si="3"/>
        <v>0</v>
      </c>
      <c r="L18" s="71">
        <f t="shared" si="3"/>
        <v>0</v>
      </c>
      <c r="M18" s="50"/>
    </row>
    <row r="19" spans="1:13" ht="13.5" customHeight="1" outlineLevel="1">
      <c r="A19" s="125"/>
      <c r="C19" s="67" t="s">
        <v>71</v>
      </c>
      <c r="D19" s="39"/>
      <c r="E19" s="39"/>
      <c r="F19" s="69">
        <f>IFERROR(F18/F$13,"N/M")</f>
        <v>0.16322104833668077</v>
      </c>
      <c r="G19" s="69">
        <f>IFERROR(G18/G$13,"N/M")</f>
        <v>0.1496307619512868</v>
      </c>
      <c r="H19" s="69" t="str">
        <f t="shared" ref="H19:L19" si="4">IFERROR(H18/H$13,"N/M")</f>
        <v>N/M</v>
      </c>
      <c r="I19" s="69" t="str">
        <f t="shared" si="4"/>
        <v>N/M</v>
      </c>
      <c r="J19" s="69" t="str">
        <f t="shared" si="4"/>
        <v>N/M</v>
      </c>
      <c r="K19" s="69" t="str">
        <f t="shared" si="4"/>
        <v>N/M</v>
      </c>
      <c r="L19" s="69" t="str">
        <f t="shared" si="4"/>
        <v>N/M</v>
      </c>
      <c r="M19" s="50" t="s">
        <v>109</v>
      </c>
    </row>
    <row r="20" spans="1:13" ht="13.5" customHeight="1" outlineLevel="1">
      <c r="A20" s="125"/>
      <c r="C20" s="63" t="s">
        <v>15</v>
      </c>
      <c r="D20" s="63"/>
      <c r="E20" s="63"/>
      <c r="F20" s="128">
        <f>'Financials from CIP'!D25/1000</f>
        <v>1.1801621</v>
      </c>
      <c r="G20" s="128">
        <f>'Financials from CIP'!E25/1000</f>
        <v>1.1617642799999999</v>
      </c>
      <c r="H20" s="129"/>
      <c r="I20" s="129"/>
      <c r="J20" s="129"/>
      <c r="K20" s="129"/>
      <c r="L20" s="129"/>
      <c r="M20" s="50" t="s">
        <v>110</v>
      </c>
    </row>
    <row r="21" spans="1:13" ht="13.5" customHeight="1" outlineLevel="1">
      <c r="A21" s="125"/>
      <c r="C21" s="63" t="s">
        <v>16</v>
      </c>
      <c r="D21" s="63"/>
      <c r="E21" s="63"/>
      <c r="F21" s="128">
        <f>'Financials from CIP'!D26/1000</f>
        <v>0.208264</v>
      </c>
      <c r="G21" s="128">
        <f>'Financials from CIP'!E26/1000</f>
        <v>0.237952</v>
      </c>
      <c r="H21" s="130"/>
      <c r="I21" s="130"/>
      <c r="J21" s="130"/>
      <c r="K21" s="130"/>
      <c r="L21" s="130"/>
      <c r="M21" s="50" t="s">
        <v>111</v>
      </c>
    </row>
    <row r="22" spans="1:13" ht="13.5" customHeight="1" outlineLevel="1">
      <c r="A22" s="125"/>
      <c r="C22" s="70" t="s">
        <v>72</v>
      </c>
      <c r="D22" s="70"/>
      <c r="E22" s="70"/>
      <c r="F22" s="71">
        <f>F18-SUM(F20:F21)</f>
        <v>11.4351459</v>
      </c>
      <c r="G22" s="71">
        <f>G18-SUM(G20:G21)</f>
        <v>12.158926780499998</v>
      </c>
      <c r="H22" s="71">
        <f t="shared" ref="H22:L22" si="5">H18-SUM(H20:H21)</f>
        <v>0</v>
      </c>
      <c r="I22" s="71">
        <f t="shared" si="5"/>
        <v>0</v>
      </c>
      <c r="J22" s="71">
        <f t="shared" si="5"/>
        <v>0</v>
      </c>
      <c r="K22" s="71">
        <f t="shared" si="5"/>
        <v>0</v>
      </c>
      <c r="L22" s="71">
        <f t="shared" si="5"/>
        <v>0</v>
      </c>
      <c r="M22" s="60"/>
    </row>
    <row r="23" spans="1:13" ht="13.5" customHeight="1" outlineLevel="1">
      <c r="A23" s="125"/>
      <c r="C23" s="72" t="s">
        <v>73</v>
      </c>
      <c r="D23" s="39"/>
      <c r="E23" s="39"/>
      <c r="F23" s="45"/>
      <c r="G23" s="73"/>
      <c r="H23" s="73"/>
      <c r="I23" s="73"/>
      <c r="J23" s="73"/>
      <c r="K23" s="73"/>
      <c r="L23" s="73"/>
      <c r="M23" s="60"/>
    </row>
    <row r="24" spans="1:13" ht="13.5" customHeight="1" outlineLevel="1">
      <c r="A24" s="125"/>
      <c r="C24" s="74" t="s">
        <v>74</v>
      </c>
      <c r="D24" s="39"/>
      <c r="E24" s="39"/>
      <c r="F24" s="45"/>
      <c r="G24" s="75"/>
      <c r="H24" s="43"/>
      <c r="I24" s="43"/>
      <c r="J24" s="43"/>
      <c r="K24" s="43"/>
      <c r="L24" s="43"/>
      <c r="M24" s="60"/>
    </row>
    <row r="25" spans="1:13" ht="13.5" customHeight="1" outlineLevel="1">
      <c r="A25" s="125"/>
      <c r="C25" s="74" t="s">
        <v>75</v>
      </c>
      <c r="D25" s="39"/>
      <c r="E25" s="39"/>
      <c r="F25" s="45"/>
      <c r="G25" s="75"/>
      <c r="H25" s="43"/>
      <c r="I25" s="43"/>
      <c r="J25" s="43"/>
      <c r="K25" s="43"/>
      <c r="L25" s="43"/>
      <c r="M25" s="60"/>
    </row>
    <row r="26" spans="1:13" ht="13.5" customHeight="1" outlineLevel="1">
      <c r="A26" s="125"/>
      <c r="C26" s="74" t="str">
        <f>+C79</f>
        <v>Term Loan A</v>
      </c>
      <c r="D26" s="39"/>
      <c r="E26" s="39"/>
      <c r="F26" s="45"/>
      <c r="G26" s="75"/>
      <c r="H26" s="43"/>
      <c r="I26" s="43"/>
      <c r="J26" s="43"/>
      <c r="K26" s="43"/>
      <c r="L26" s="43"/>
      <c r="M26" s="60"/>
    </row>
    <row r="27" spans="1:13" ht="13.5" customHeight="1" outlineLevel="1">
      <c r="A27" s="125"/>
      <c r="C27" s="74" t="str">
        <f t="shared" ref="C27:C28" si="6">+C80</f>
        <v>Subordinated - Note 1</v>
      </c>
      <c r="D27" s="39"/>
      <c r="E27" s="39"/>
      <c r="F27" s="45"/>
      <c r="G27" s="75"/>
      <c r="H27" s="43"/>
      <c r="I27" s="43"/>
      <c r="J27" s="43"/>
      <c r="K27" s="43"/>
      <c r="L27" s="43"/>
      <c r="M27" s="60"/>
    </row>
    <row r="28" spans="1:13" ht="13.5" customHeight="1" outlineLevel="1">
      <c r="A28" s="125"/>
      <c r="C28" s="74" t="str">
        <f t="shared" si="6"/>
        <v>Subordinated - Note 2</v>
      </c>
      <c r="D28" s="39"/>
      <c r="E28" s="39"/>
      <c r="F28" s="45"/>
      <c r="G28" s="75"/>
      <c r="H28" s="43"/>
      <c r="I28" s="43"/>
      <c r="J28" s="43"/>
      <c r="K28" s="43"/>
      <c r="L28" s="43"/>
      <c r="M28" s="60"/>
    </row>
    <row r="29" spans="1:13" ht="13.5" customHeight="1" outlineLevel="1">
      <c r="A29" s="125"/>
      <c r="C29" s="76" t="s">
        <v>73</v>
      </c>
      <c r="D29" s="77"/>
      <c r="E29" s="77"/>
      <c r="F29" s="131">
        <f>'Financials from CIP'!D27/1000</f>
        <v>2.224955</v>
      </c>
      <c r="G29" s="131">
        <f>'Financials from CIP'!E27/1000</f>
        <v>1.4727629999999998</v>
      </c>
      <c r="H29" s="93">
        <f>SUM(H24:H28)</f>
        <v>0</v>
      </c>
      <c r="I29" s="93">
        <f t="shared" ref="I29:L29" si="7">SUM(I24:I28)</f>
        <v>0</v>
      </c>
      <c r="J29" s="93">
        <f t="shared" si="7"/>
        <v>0</v>
      </c>
      <c r="K29" s="93">
        <f t="shared" si="7"/>
        <v>0</v>
      </c>
      <c r="L29" s="93">
        <f t="shared" si="7"/>
        <v>0</v>
      </c>
      <c r="M29" s="60"/>
    </row>
    <row r="30" spans="1:13" ht="13.5" customHeight="1" outlineLevel="1">
      <c r="A30" s="125"/>
      <c r="C30" s="63" t="s">
        <v>76</v>
      </c>
      <c r="D30" s="63"/>
      <c r="E30" s="63"/>
      <c r="F30" s="128">
        <f>'Financials from CIP'!D32/1000</f>
        <v>0.147371</v>
      </c>
      <c r="G30" s="128">
        <f>'Financials from CIP'!E32/1000</f>
        <v>0.27343900000000004</v>
      </c>
      <c r="H30" s="130"/>
      <c r="I30" s="130"/>
      <c r="J30" s="130"/>
      <c r="K30" s="130"/>
      <c r="L30" s="130"/>
      <c r="M30" s="50" t="s">
        <v>112</v>
      </c>
    </row>
    <row r="31" spans="1:13" ht="13.5" customHeight="1" outlineLevel="1">
      <c r="A31" s="125"/>
      <c r="C31" s="65" t="s">
        <v>77</v>
      </c>
      <c r="D31" s="65"/>
      <c r="E31" s="65"/>
      <c r="F31" s="66">
        <f>F22-F29-F30</f>
        <v>9.0628199000000009</v>
      </c>
      <c r="G31" s="66">
        <f>G22-G29-G30</f>
        <v>10.412724780499998</v>
      </c>
      <c r="H31" s="66">
        <f t="shared" ref="H31:L31" si="8">H22-H29-H30</f>
        <v>0</v>
      </c>
      <c r="I31" s="66">
        <f t="shared" si="8"/>
        <v>0</v>
      </c>
      <c r="J31" s="66">
        <f t="shared" si="8"/>
        <v>0</v>
      </c>
      <c r="K31" s="66">
        <f t="shared" si="8"/>
        <v>0</v>
      </c>
      <c r="L31" s="66">
        <f t="shared" si="8"/>
        <v>0</v>
      </c>
      <c r="M31" s="50"/>
    </row>
    <row r="32" spans="1:13" ht="13.5" customHeight="1" outlineLevel="1">
      <c r="A32" s="125"/>
      <c r="C32" s="63" t="s">
        <v>78</v>
      </c>
      <c r="D32" s="63"/>
      <c r="E32" s="63"/>
      <c r="F32" s="128">
        <f>'Financials from CIP'!D29/1000</f>
        <v>3.2010390000000002</v>
      </c>
      <c r="G32" s="128">
        <f>'Financials from CIP'!E29/1000</f>
        <v>2.809107</v>
      </c>
      <c r="H32" s="129"/>
      <c r="I32" s="129"/>
      <c r="J32" s="129"/>
      <c r="K32" s="129"/>
      <c r="L32" s="129"/>
      <c r="M32" s="50" t="s">
        <v>113</v>
      </c>
    </row>
    <row r="33" spans="1:13" ht="13.5" customHeight="1" outlineLevel="1">
      <c r="A33" s="125"/>
      <c r="C33" s="79" t="s">
        <v>22</v>
      </c>
      <c r="D33" s="79"/>
      <c r="E33" s="79"/>
      <c r="F33" s="71">
        <f>F31-F32</f>
        <v>5.8617809000000012</v>
      </c>
      <c r="G33" s="71">
        <f>G31-G32</f>
        <v>7.6036177804999978</v>
      </c>
      <c r="H33" s="71">
        <f t="shared" ref="H33:L33" si="9">H31-H32</f>
        <v>0</v>
      </c>
      <c r="I33" s="71">
        <f t="shared" si="9"/>
        <v>0</v>
      </c>
      <c r="J33" s="71">
        <f t="shared" si="9"/>
        <v>0</v>
      </c>
      <c r="K33" s="71">
        <f t="shared" si="9"/>
        <v>0</v>
      </c>
      <c r="L33" s="71">
        <f t="shared" si="9"/>
        <v>0</v>
      </c>
      <c r="M33" s="60"/>
    </row>
    <row r="34" spans="1:13" ht="13.5" customHeight="1" outlineLevel="1">
      <c r="C34" s="67" t="s">
        <v>79</v>
      </c>
      <c r="D34" s="39"/>
      <c r="E34" s="39"/>
      <c r="F34" s="69">
        <f>IFERROR(F33/F$13,"N/M")</f>
        <v>7.4609946715153336E-2</v>
      </c>
      <c r="G34" s="69">
        <f>IFERROR(G33/G$13,"N/M")</f>
        <v>8.3912167095621659E-2</v>
      </c>
      <c r="H34" s="69" t="str">
        <f t="shared" ref="H34:L34" si="10">IFERROR(H33/H$13,"N/M")</f>
        <v>N/M</v>
      </c>
      <c r="I34" s="69" t="str">
        <f t="shared" si="10"/>
        <v>N/M</v>
      </c>
      <c r="J34" s="69" t="str">
        <f t="shared" si="10"/>
        <v>N/M</v>
      </c>
      <c r="K34" s="69" t="str">
        <f t="shared" si="10"/>
        <v>N/M</v>
      </c>
      <c r="L34" s="69" t="str">
        <f t="shared" si="10"/>
        <v>N/M</v>
      </c>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A39" s="125"/>
      <c r="C39" s="84" t="s">
        <v>114</v>
      </c>
      <c r="D39" s="85"/>
      <c r="E39" s="86"/>
      <c r="F39" s="86"/>
      <c r="G39" s="86"/>
      <c r="H39" s="86"/>
      <c r="I39" s="86"/>
      <c r="J39" s="86"/>
      <c r="K39" s="86"/>
      <c r="L39" s="87"/>
      <c r="M39" s="50"/>
    </row>
    <row r="40" spans="1:13" ht="13.5" customHeight="1" outlineLevel="1">
      <c r="A40" s="125"/>
      <c r="C40" s="80"/>
      <c r="D40" s="80"/>
      <c r="E40" s="80"/>
      <c r="G40" s="81"/>
      <c r="H40" s="132"/>
      <c r="I40" s="132"/>
      <c r="J40" s="132"/>
      <c r="K40" s="132"/>
      <c r="L40" s="132"/>
      <c r="M40" s="50"/>
    </row>
    <row r="41" spans="1:13" ht="13.5" customHeight="1" outlineLevel="1">
      <c r="A41" s="125"/>
      <c r="C41" s="68" t="s">
        <v>115</v>
      </c>
      <c r="D41" s="133"/>
      <c r="E41" s="133"/>
      <c r="F41" s="134"/>
      <c r="G41" s="134"/>
      <c r="H41" s="135"/>
      <c r="I41" s="135"/>
      <c r="J41" s="135"/>
      <c r="K41" s="135"/>
      <c r="L41" s="135"/>
      <c r="M41" s="50" t="s">
        <v>116</v>
      </c>
    </row>
    <row r="42" spans="1:13" ht="13.5" customHeight="1" outlineLevel="1">
      <c r="A42" s="125"/>
      <c r="C42" s="80"/>
      <c r="D42" s="80"/>
      <c r="E42" s="80"/>
      <c r="F42" s="136"/>
      <c r="G42" s="136"/>
      <c r="H42" s="137"/>
      <c r="I42" s="137"/>
      <c r="J42" s="137"/>
      <c r="K42" s="137"/>
      <c r="L42" s="137"/>
      <c r="M42" s="50"/>
    </row>
    <row r="43" spans="1:13" ht="13.5" customHeight="1" outlineLevel="1">
      <c r="A43" s="125"/>
      <c r="C43" s="68" t="s">
        <v>117</v>
      </c>
      <c r="D43" s="80"/>
      <c r="E43" s="80"/>
      <c r="F43" s="134"/>
      <c r="G43" s="134"/>
      <c r="H43" s="135"/>
      <c r="I43" s="135"/>
      <c r="J43" s="135"/>
      <c r="K43" s="135"/>
      <c r="L43" s="135"/>
      <c r="M43" s="50" t="s">
        <v>118</v>
      </c>
    </row>
    <row r="44" spans="1:13" ht="13.5" customHeight="1" outlineLevel="1">
      <c r="A44" s="125"/>
      <c r="C44" s="68" t="s">
        <v>119</v>
      </c>
      <c r="D44" s="80"/>
      <c r="E44" s="80"/>
      <c r="F44" s="134"/>
      <c r="G44" s="134"/>
      <c r="H44" s="135"/>
      <c r="I44" s="135"/>
      <c r="J44" s="135"/>
      <c r="K44" s="135"/>
      <c r="L44" s="135"/>
      <c r="M44" s="50" t="s">
        <v>120</v>
      </c>
    </row>
    <row r="45" spans="1:13" ht="13.5" customHeight="1" outlineLevel="1">
      <c r="A45" s="125"/>
      <c r="C45" s="80"/>
      <c r="D45" s="80"/>
      <c r="E45" s="80"/>
      <c r="F45" s="136"/>
      <c r="G45" s="136"/>
      <c r="H45" s="137"/>
      <c r="I45" s="137"/>
      <c r="J45" s="137"/>
      <c r="K45" s="137"/>
      <c r="L45" s="137"/>
      <c r="M45" s="50"/>
    </row>
    <row r="46" spans="1:13" ht="13.5" customHeight="1" outlineLevel="1">
      <c r="A46" s="125"/>
      <c r="C46" s="80" t="s">
        <v>121</v>
      </c>
      <c r="D46" s="80"/>
      <c r="E46" s="80"/>
      <c r="F46" s="134"/>
      <c r="G46" s="134"/>
      <c r="H46" s="135"/>
      <c r="I46" s="135"/>
      <c r="J46" s="135"/>
      <c r="K46" s="135"/>
      <c r="L46" s="135"/>
      <c r="M46" s="50" t="s">
        <v>122</v>
      </c>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G48" s="140"/>
      <c r="H48" s="139"/>
      <c r="I48" s="139"/>
      <c r="J48" s="139"/>
      <c r="K48" s="139"/>
      <c r="L48" s="139"/>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1">G$11</f>
        <v>45657</v>
      </c>
      <c r="H56" s="58">
        <f t="shared" si="11"/>
        <v>46022</v>
      </c>
      <c r="I56" s="58">
        <f t="shared" si="11"/>
        <v>46387</v>
      </c>
      <c r="J56" s="58">
        <f t="shared" si="11"/>
        <v>46752</v>
      </c>
      <c r="K56" s="58">
        <f t="shared" si="11"/>
        <v>47118</v>
      </c>
      <c r="L56" s="58">
        <f t="shared" si="11"/>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90"/>
      <c r="I60" s="90"/>
      <c r="J60" s="90"/>
      <c r="K60" s="90"/>
      <c r="L60" s="90"/>
    </row>
    <row r="61" spans="1:13" ht="13.5" customHeight="1" outlineLevel="1">
      <c r="A61" s="82"/>
      <c r="C61" s="91" t="s">
        <v>83</v>
      </c>
      <c r="F61" s="96">
        <f>SUM('Financials from CIP'!D47:D48)/1000</f>
        <v>16.781419000000003</v>
      </c>
      <c r="G61" s="96">
        <f>SUM('Financials from CIP'!E47:E48)/1000</f>
        <v>22.284721999999999</v>
      </c>
      <c r="H61" s="90"/>
      <c r="I61" s="90"/>
      <c r="J61" s="90"/>
      <c r="K61" s="90"/>
      <c r="L61" s="90"/>
    </row>
    <row r="62" spans="1:13" ht="13.5" customHeight="1" outlineLevel="1">
      <c r="A62" s="82"/>
      <c r="C62" s="91" t="s">
        <v>31</v>
      </c>
      <c r="F62" s="96">
        <f>'Financials from CIP'!D49/1000</f>
        <v>0.80490099999999998</v>
      </c>
      <c r="G62" s="96">
        <f>'Financials from CIP'!E49/1000</f>
        <v>1.161057</v>
      </c>
      <c r="H62" s="90"/>
      <c r="I62" s="90"/>
      <c r="J62" s="90"/>
      <c r="K62" s="90"/>
      <c r="L62" s="90"/>
    </row>
    <row r="63" spans="1:13" ht="13.5" customHeight="1" outlineLevel="1">
      <c r="A63" s="82"/>
      <c r="C63" s="91" t="s">
        <v>84</v>
      </c>
      <c r="F63" s="96">
        <f>'Financials from CIP'!D50/1000</f>
        <v>0.26978399999999997</v>
      </c>
      <c r="G63" s="96">
        <f>'Financials from CIP'!E50/1000</f>
        <v>0.34491899999999998</v>
      </c>
      <c r="H63" s="90"/>
      <c r="I63" s="90"/>
      <c r="J63" s="90"/>
      <c r="K63" s="90"/>
      <c r="L63" s="90"/>
    </row>
    <row r="64" spans="1:13" ht="13.5" customHeight="1" outlineLevel="1">
      <c r="A64" s="82"/>
      <c r="C64" s="76" t="s">
        <v>33</v>
      </c>
      <c r="D64" s="77"/>
      <c r="E64" s="77"/>
      <c r="F64" s="93">
        <f>SUM(F60:F63)</f>
        <v>24.961756000000005</v>
      </c>
      <c r="G64" s="93">
        <f>SUM(G60:G63)</f>
        <v>26.74869</v>
      </c>
      <c r="H64" s="94"/>
      <c r="I64" s="94"/>
      <c r="J64" s="94"/>
      <c r="K64" s="94"/>
      <c r="L64" s="94"/>
    </row>
    <row r="65" spans="1:12" ht="13.5" customHeight="1" outlineLevel="1">
      <c r="A65" s="82"/>
      <c r="C65" s="91" t="s">
        <v>85</v>
      </c>
      <c r="D65" s="95"/>
      <c r="E65" s="95"/>
      <c r="F65" s="96"/>
      <c r="G65" s="96"/>
      <c r="H65" s="97"/>
      <c r="I65" s="97"/>
      <c r="J65" s="97"/>
      <c r="K65" s="97"/>
      <c r="L65" s="97"/>
    </row>
    <row r="66" spans="1:12" ht="13.5" customHeight="1" outlineLevel="1">
      <c r="A66" s="82"/>
      <c r="C66" s="91" t="s">
        <v>86</v>
      </c>
      <c r="D66" s="95"/>
      <c r="E66" s="95"/>
      <c r="F66" s="96"/>
      <c r="G66" s="96"/>
      <c r="H66" s="94"/>
      <c r="I66" s="94"/>
      <c r="J66" s="94"/>
      <c r="K66" s="94"/>
      <c r="L66" s="94"/>
    </row>
    <row r="67" spans="1:12" ht="13.5" customHeight="1" outlineLevel="1">
      <c r="A67" s="82"/>
      <c r="C67" s="76" t="s">
        <v>34</v>
      </c>
      <c r="D67" s="77"/>
      <c r="E67" s="77"/>
      <c r="F67" s="131">
        <f>'Financials from CIP'!D53/1000</f>
        <v>54.584699999999998</v>
      </c>
      <c r="G67" s="131">
        <f>'Financials from CIP'!E53/1000</f>
        <v>55.684984</v>
      </c>
      <c r="H67" s="94"/>
      <c r="I67" s="94"/>
      <c r="J67" s="94"/>
      <c r="K67" s="94"/>
      <c r="L67" s="94"/>
    </row>
    <row r="68" spans="1:12" ht="13.5" customHeight="1" outlineLevel="1">
      <c r="A68" s="82"/>
      <c r="C68" s="98" t="s">
        <v>87</v>
      </c>
      <c r="D68" s="95"/>
      <c r="E68" s="95"/>
      <c r="F68" s="99">
        <v>0</v>
      </c>
      <c r="G68" s="99">
        <v>0</v>
      </c>
      <c r="H68" s="94"/>
      <c r="I68" s="94"/>
      <c r="J68" s="94"/>
      <c r="K68" s="94"/>
      <c r="L68" s="94"/>
    </row>
    <row r="69" spans="1:12" ht="13.5" customHeight="1" outlineLevel="1">
      <c r="A69" s="82"/>
      <c r="C69" s="98" t="s">
        <v>88</v>
      </c>
      <c r="D69" s="95"/>
      <c r="E69" s="95"/>
      <c r="F69" s="96">
        <f>'Financials from CIP'!D54/1000</f>
        <v>4.378482</v>
      </c>
      <c r="G69" s="96">
        <f>'Financials from CIP'!E54/1000</f>
        <v>4.5043699999999998</v>
      </c>
      <c r="H69" s="94"/>
      <c r="I69" s="94"/>
      <c r="J69" s="94"/>
      <c r="K69" s="94"/>
      <c r="L69" s="94"/>
    </row>
    <row r="70" spans="1:12" ht="13.5" customHeight="1" outlineLevel="1">
      <c r="A70" s="82"/>
      <c r="C70" s="100" t="s">
        <v>36</v>
      </c>
      <c r="D70" s="101"/>
      <c r="E70" s="101"/>
      <c r="F70" s="102">
        <f>SUM(F64,F67:F69)</f>
        <v>83.924938000000012</v>
      </c>
      <c r="G70" s="102">
        <f>SUM(G64,G67:G69)</f>
        <v>86.938043999999991</v>
      </c>
      <c r="H70" s="103"/>
      <c r="I70" s="103"/>
      <c r="J70" s="103"/>
      <c r="K70" s="103"/>
      <c r="L70" s="103"/>
    </row>
    <row r="71" spans="1:12" ht="13.5" customHeight="1" outlineLevel="1">
      <c r="A71" s="82"/>
      <c r="H71" s="104"/>
      <c r="I71" s="104"/>
      <c r="J71" s="104"/>
      <c r="K71" s="104"/>
      <c r="L71" s="104"/>
    </row>
    <row r="72" spans="1:12" ht="13.5" customHeight="1" outlineLevel="1">
      <c r="A72" s="82"/>
      <c r="C72" s="84" t="s">
        <v>89</v>
      </c>
      <c r="D72" s="85"/>
      <c r="E72" s="86"/>
      <c r="F72" s="86"/>
      <c r="G72" s="86"/>
      <c r="H72" s="86"/>
      <c r="I72" s="86"/>
      <c r="J72" s="86"/>
      <c r="K72" s="86"/>
      <c r="L72" s="87"/>
    </row>
    <row r="73" spans="1:12" ht="13.5" customHeight="1" outlineLevel="1">
      <c r="A73" s="82"/>
      <c r="C73" s="59"/>
      <c r="D73" s="59"/>
      <c r="E73" s="59"/>
      <c r="F73" s="60"/>
      <c r="G73" s="60"/>
      <c r="H73" s="60"/>
      <c r="I73" s="60"/>
      <c r="J73" s="60"/>
      <c r="K73" s="60"/>
    </row>
    <row r="74" spans="1:12" ht="13.5" customHeight="1" outlineLevel="1">
      <c r="A74" s="82"/>
      <c r="C74" s="91" t="s">
        <v>37</v>
      </c>
      <c r="D74" s="95"/>
      <c r="E74" s="95"/>
      <c r="F74" s="96">
        <f>'Financials from CIP'!D58/1000</f>
        <v>2.8058170000000002</v>
      </c>
      <c r="G74" s="96">
        <f>'Financials from CIP'!E58/1000</f>
        <v>2.3607100000000001</v>
      </c>
      <c r="H74" s="90"/>
      <c r="I74" s="90"/>
      <c r="J74" s="90"/>
      <c r="K74" s="90"/>
      <c r="L74" s="90"/>
    </row>
    <row r="75" spans="1:12" ht="13.5" customHeight="1" outlineLevel="1">
      <c r="A75" s="82"/>
      <c r="C75" s="91" t="s">
        <v>38</v>
      </c>
      <c r="D75" s="95"/>
      <c r="E75" s="95"/>
      <c r="F75" s="96">
        <f>'Financials from CIP'!D59/1000</f>
        <v>2.3839329999999999</v>
      </c>
      <c r="G75" s="96">
        <f>'Financials from CIP'!E59/1000</f>
        <v>2.7880379999999998</v>
      </c>
      <c r="H75" s="90"/>
      <c r="I75" s="90"/>
      <c r="J75" s="90"/>
      <c r="K75" s="90"/>
      <c r="L75" s="90"/>
    </row>
    <row r="76" spans="1:12" ht="13.5" customHeight="1" outlineLevel="1">
      <c r="A76" s="82"/>
      <c r="C76" s="91" t="s">
        <v>39</v>
      </c>
      <c r="D76" s="95"/>
      <c r="E76" s="95"/>
      <c r="F76" s="96">
        <f>'Financials from CIP'!D60/1000</f>
        <v>2.0579079999999998</v>
      </c>
      <c r="G76" s="96">
        <f>'Financials from CIP'!E60/1000</f>
        <v>3.2020309999999998</v>
      </c>
      <c r="H76" s="90"/>
      <c r="I76" s="90"/>
      <c r="J76" s="90"/>
      <c r="K76" s="90"/>
      <c r="L76" s="90"/>
    </row>
    <row r="77" spans="1:12" ht="13.5" customHeight="1" outlineLevel="1">
      <c r="A77" s="82"/>
      <c r="C77" s="76" t="s">
        <v>40</v>
      </c>
      <c r="D77" s="77"/>
      <c r="E77" s="77"/>
      <c r="F77" s="93">
        <f>SUM(F74:F76)</f>
        <v>7.2476579999999995</v>
      </c>
      <c r="G77" s="93">
        <f>SUM(G74:G76)</f>
        <v>8.3507789999999993</v>
      </c>
      <c r="H77" s="94"/>
      <c r="I77" s="94"/>
      <c r="J77" s="94"/>
      <c r="K77" s="94"/>
      <c r="L77" s="94"/>
    </row>
    <row r="78" spans="1:12" ht="13.5" customHeight="1" outlineLevel="1">
      <c r="A78" s="82"/>
      <c r="C78" s="91" t="s">
        <v>41</v>
      </c>
      <c r="D78" s="95"/>
      <c r="E78" s="95"/>
      <c r="F78" s="96">
        <f>'Financials from CIP'!D63/1000</f>
        <v>0.64588299999999998</v>
      </c>
      <c r="G78" s="96">
        <f>'Financials from CIP'!E63/1000</f>
        <v>1.2892999999999999</v>
      </c>
      <c r="H78" s="97"/>
      <c r="I78" s="97"/>
      <c r="J78" s="97"/>
      <c r="K78" s="97"/>
      <c r="L78" s="97"/>
    </row>
    <row r="79" spans="1:12" ht="13.5" customHeight="1" outlineLevel="1">
      <c r="A79" s="82"/>
      <c r="C79" s="91" t="s">
        <v>42</v>
      </c>
      <c r="D79" s="95"/>
      <c r="E79" s="95"/>
      <c r="F79" s="96">
        <f>'Financials from CIP'!D64/1000</f>
        <v>18.943222000000002</v>
      </c>
      <c r="G79" s="96">
        <f>'Financials from CIP'!E64/1000</f>
        <v>12.001450999999999</v>
      </c>
      <c r="H79" s="94"/>
      <c r="I79" s="94"/>
      <c r="J79" s="94"/>
      <c r="K79" s="94"/>
      <c r="L79" s="94"/>
    </row>
    <row r="80" spans="1:12" ht="13.5" customHeight="1" outlineLevel="1">
      <c r="A80" s="82"/>
      <c r="C80" s="91" t="s">
        <v>90</v>
      </c>
      <c r="D80" s="95"/>
      <c r="E80" s="95"/>
      <c r="F80" s="96">
        <f>'Financials from CIP'!D65/1000</f>
        <v>0.54533299999999996</v>
      </c>
      <c r="G80" s="96">
        <f>'Financials from CIP'!E65/1000</f>
        <v>8.5337999999999997E-2</v>
      </c>
      <c r="H80" s="97"/>
      <c r="I80" s="97"/>
      <c r="J80" s="97"/>
      <c r="K80" s="97"/>
      <c r="L80" s="97"/>
    </row>
    <row r="81" spans="1:19" ht="13.5" customHeight="1" outlineLevel="1">
      <c r="A81" s="82"/>
      <c r="C81" s="91" t="s">
        <v>91</v>
      </c>
      <c r="D81" s="95"/>
      <c r="E81" s="95"/>
      <c r="F81" s="96">
        <f>'Financials from CIP'!D66/1000</f>
        <v>9.2447999999999989E-2</v>
      </c>
      <c r="G81" s="96">
        <f>'Financials from CIP'!E66/1000</f>
        <v>1.2666999999999999E-2</v>
      </c>
      <c r="H81" s="97"/>
      <c r="I81" s="97"/>
      <c r="J81" s="97"/>
      <c r="K81" s="97"/>
      <c r="L81" s="97"/>
    </row>
    <row r="82" spans="1:19" ht="13.5" customHeight="1" outlineLevel="1">
      <c r="A82" s="82"/>
      <c r="C82" s="76" t="s">
        <v>92</v>
      </c>
      <c r="D82" s="77"/>
      <c r="E82" s="77"/>
      <c r="F82" s="93">
        <f>SUM(F78:F81)</f>
        <v>20.226886000000004</v>
      </c>
      <c r="G82" s="93">
        <f>SUM(G78:G81)</f>
        <v>13.388756000000001</v>
      </c>
      <c r="H82" s="94"/>
      <c r="I82" s="94"/>
      <c r="J82" s="94"/>
      <c r="K82" s="94"/>
      <c r="L82" s="94"/>
    </row>
    <row r="83" spans="1:19" ht="13.5" customHeight="1" outlineLevel="1">
      <c r="A83" s="82"/>
      <c r="C83" s="68" t="s">
        <v>93</v>
      </c>
      <c r="F83" s="96">
        <f>'Financials from CIP'!D67/1000</f>
        <v>0.41787400000000002</v>
      </c>
      <c r="G83" s="96">
        <f>'Financials from CIP'!E67/1000</f>
        <v>0.42988799999999999</v>
      </c>
      <c r="H83" s="97"/>
      <c r="I83" s="97"/>
      <c r="J83" s="97"/>
      <c r="K83" s="97"/>
      <c r="L83" s="97"/>
      <c r="M83" s="82"/>
    </row>
    <row r="84" spans="1:19" ht="13.5" customHeight="1" outlineLevel="1">
      <c r="A84" s="82"/>
      <c r="C84" s="76" t="s">
        <v>94</v>
      </c>
      <c r="D84" s="77"/>
      <c r="E84" s="77"/>
      <c r="F84" s="93">
        <f>SUM(F77,F82:F83)</f>
        <v>27.892418000000003</v>
      </c>
      <c r="G84" s="93">
        <f>SUM(G77,G82:G83)</f>
        <v>22.169422999999998</v>
      </c>
      <c r="H84" s="94"/>
      <c r="I84" s="94"/>
      <c r="J84" s="94"/>
      <c r="K84" s="94"/>
      <c r="L84" s="94"/>
      <c r="M84" s="82"/>
    </row>
    <row r="85" spans="1:19" ht="13.5" customHeight="1" outlineLevel="1">
      <c r="A85" s="82"/>
      <c r="C85" s="98" t="s">
        <v>47</v>
      </c>
      <c r="F85" s="96">
        <f>'Financials from CIP'!D71/1000</f>
        <v>7.7836338279007267</v>
      </c>
      <c r="G85" s="96">
        <f>'Financials from CIP'!E71/1000</f>
        <v>8.9161157153081838</v>
      </c>
      <c r="H85" s="97"/>
      <c r="I85" s="97"/>
      <c r="J85" s="97"/>
      <c r="K85" s="97"/>
      <c r="L85" s="97"/>
      <c r="M85" s="82"/>
    </row>
    <row r="86" spans="1:19" ht="13.5" customHeight="1" outlineLevel="1">
      <c r="A86" s="82"/>
      <c r="C86" s="98" t="s">
        <v>48</v>
      </c>
      <c r="F86" s="96">
        <f>'Financials from CIP'!D72/1000</f>
        <v>48.248887000000003</v>
      </c>
      <c r="G86" s="96">
        <f>'Financials from CIP'!E72/1000</f>
        <v>55.852504780500006</v>
      </c>
      <c r="H86" s="97"/>
      <c r="I86" s="97"/>
      <c r="J86" s="97"/>
      <c r="K86" s="97"/>
      <c r="L86" s="97"/>
      <c r="M86" s="82"/>
    </row>
    <row r="87" spans="1:19" ht="13.5" customHeight="1" outlineLevel="1">
      <c r="A87" s="82"/>
      <c r="C87" s="100" t="s">
        <v>95</v>
      </c>
      <c r="D87" s="101"/>
      <c r="E87" s="101"/>
      <c r="F87" s="105">
        <f>SUM(F84:F86)</f>
        <v>83.924938827900732</v>
      </c>
      <c r="G87" s="105">
        <f>SUM(G84:G86)</f>
        <v>86.938043495808188</v>
      </c>
      <c r="H87" s="103"/>
      <c r="I87" s="103"/>
      <c r="J87" s="103"/>
      <c r="K87" s="103"/>
      <c r="L87" s="103"/>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82"/>
      <c r="B89" s="110"/>
      <c r="C89" s="111"/>
      <c r="D89" s="111"/>
      <c r="E89" s="111"/>
      <c r="F89" s="112"/>
      <c r="G89" s="113"/>
      <c r="H89" s="113"/>
      <c r="I89" s="113"/>
      <c r="J89" s="113"/>
      <c r="K89" s="113"/>
      <c r="L89" s="113"/>
      <c r="M89" s="82"/>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2'!F13</f>
        <v>0</v>
      </c>
      <c r="G94" s="122">
        <f>'Financials from CIP'!E13/1000-'Step 2'!G13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2'!F15</f>
        <v>0</v>
      </c>
      <c r="G95" s="122">
        <f>'Financials from CIP'!E19/1000-'Step 2'!G15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2'!F18</f>
        <v>0</v>
      </c>
      <c r="G96" s="122">
        <f>'Financials from CIP'!E36/1000-'Step 2'!G18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2'!F33</f>
        <v>0</v>
      </c>
      <c r="G97" s="122">
        <f>'Financials from CIP'!E34/1000-'Step 2'!G33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2'!F60</f>
        <v>0</v>
      </c>
      <c r="G100" s="122">
        <f>'Financials from CIP'!E46/1000-'Step 2'!G60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2'!F64</f>
        <v>0</v>
      </c>
      <c r="G101" s="122">
        <f>'Financials from CIP'!E51/1000-'Step 2'!G64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2'!F70</f>
        <v>0</v>
      </c>
      <c r="G102" s="122">
        <f>'Financials from CIP'!E56/1000-'Step 2'!G70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2'!F77</f>
        <v>0</v>
      </c>
      <c r="G103" s="122">
        <f>'Financials from CIP'!E61/1000-'Step 2'!G77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2'!F84</f>
        <v>0</v>
      </c>
      <c r="G104" s="122">
        <f>'Financials from CIP'!E69/1000-'Step 2'!G84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2'!F85:F86)</f>
        <v>0</v>
      </c>
      <c r="G105" s="122">
        <f>'Financials from CIP'!E73/1000-SUM('Step 2'!G85:G86)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A114" s="125"/>
      <c r="B114" s="46" t="s">
        <v>61</v>
      </c>
      <c r="C114" s="47" t="s">
        <v>124</v>
      </c>
      <c r="D114" s="48"/>
      <c r="E114" s="49"/>
      <c r="F114" s="49"/>
      <c r="G114" s="49"/>
      <c r="H114" s="49"/>
      <c r="I114" s="49"/>
      <c r="J114" s="49"/>
      <c r="K114" s="49"/>
      <c r="L114" s="49"/>
      <c r="M114" s="50" t="s">
        <v>125</v>
      </c>
    </row>
    <row r="115" spans="1:13" ht="5.0999999999999996" customHeight="1">
      <c r="A115" s="125"/>
      <c r="M115" s="50"/>
    </row>
    <row r="116" spans="1:13" ht="13.5" customHeight="1">
      <c r="A116" s="125"/>
      <c r="C116" s="53"/>
      <c r="D116" s="53"/>
      <c r="E116" s="53"/>
      <c r="F116" s="143"/>
      <c r="G116" s="54"/>
      <c r="H116" s="55" t="s">
        <v>64</v>
      </c>
      <c r="I116" s="55"/>
      <c r="J116" s="55"/>
      <c r="K116" s="55"/>
      <c r="L116" s="55"/>
      <c r="M116" s="50"/>
    </row>
    <row r="117" spans="1:13" ht="13.5" customHeight="1" thickBot="1">
      <c r="A117" s="125"/>
      <c r="C117" s="56" t="s">
        <v>65</v>
      </c>
      <c r="D117" s="144" t="s">
        <v>126</v>
      </c>
      <c r="E117" s="57" t="s">
        <v>127</v>
      </c>
      <c r="F117" s="145" t="s">
        <v>128</v>
      </c>
      <c r="G117" s="58" t="s">
        <v>129</v>
      </c>
      <c r="H117" s="58">
        <f t="shared" ref="H117:L117" si="12">H$11</f>
        <v>46022</v>
      </c>
      <c r="I117" s="58">
        <f t="shared" si="12"/>
        <v>46387</v>
      </c>
      <c r="J117" s="58">
        <f t="shared" si="12"/>
        <v>46752</v>
      </c>
      <c r="K117" s="58">
        <f t="shared" si="12"/>
        <v>47118</v>
      </c>
      <c r="L117" s="58">
        <f t="shared" si="12"/>
        <v>47483</v>
      </c>
      <c r="M117" s="50"/>
    </row>
    <row r="118" spans="1:13" ht="13.5" customHeight="1">
      <c r="A118" s="125"/>
      <c r="M118" s="50"/>
    </row>
    <row r="119" spans="1:13" ht="13.5" customHeight="1">
      <c r="A119" s="125"/>
      <c r="C119" s="146">
        <f>G11</f>
        <v>45657</v>
      </c>
      <c r="D119" s="147">
        <f>G67</f>
        <v>55.684984</v>
      </c>
      <c r="E119" s="148"/>
      <c r="F119" s="149">
        <f>-G20</f>
        <v>-1.1617642799999999</v>
      </c>
      <c r="G119" s="150" t="str">
        <f>IFERROR(-D119/E119,"N/M")</f>
        <v>N/M</v>
      </c>
      <c r="H119" s="151"/>
      <c r="I119" s="151"/>
      <c r="J119" s="151"/>
      <c r="K119" s="151"/>
      <c r="L119" s="151"/>
      <c r="M119" s="50" t="s">
        <v>130</v>
      </c>
    </row>
    <row r="120" spans="1:13" ht="13.5" customHeight="1">
      <c r="C120" s="146">
        <f>H117</f>
        <v>46022</v>
      </c>
      <c r="D120" s="152"/>
      <c r="E120" s="153"/>
      <c r="F120" s="68"/>
      <c r="G120" s="154"/>
      <c r="H120" s="154"/>
      <c r="I120" s="154"/>
      <c r="J120" s="154"/>
      <c r="K120" s="154"/>
      <c r="L120" s="154"/>
      <c r="M120" s="50"/>
    </row>
    <row r="121" spans="1:13" ht="13.5" customHeight="1">
      <c r="C121" s="146">
        <f>I117</f>
        <v>46387</v>
      </c>
      <c r="D121" s="152"/>
      <c r="E121" s="153"/>
      <c r="F121" s="68"/>
      <c r="G121" s="154"/>
      <c r="H121" s="68"/>
      <c r="I121" s="154"/>
      <c r="J121" s="154"/>
      <c r="K121" s="154"/>
      <c r="L121" s="154"/>
      <c r="M121" s="50"/>
    </row>
    <row r="122" spans="1:13" ht="13.5" customHeight="1">
      <c r="C122" s="146">
        <f>J117</f>
        <v>46752</v>
      </c>
      <c r="D122" s="152"/>
      <c r="E122" s="153"/>
      <c r="F122" s="68"/>
      <c r="G122" s="154"/>
      <c r="H122" s="68"/>
      <c r="I122" s="68"/>
      <c r="J122" s="154"/>
      <c r="K122" s="154"/>
      <c r="L122" s="154"/>
      <c r="M122" s="50"/>
    </row>
    <row r="123" spans="1:13" ht="13.5" customHeight="1">
      <c r="C123" s="146">
        <f>K117</f>
        <v>47118</v>
      </c>
      <c r="D123" s="152"/>
      <c r="E123" s="153"/>
      <c r="F123" s="68"/>
      <c r="G123" s="154"/>
      <c r="H123" s="68"/>
      <c r="I123" s="68"/>
      <c r="J123" s="68"/>
      <c r="K123" s="154"/>
      <c r="L123" s="154"/>
      <c r="M123" s="50"/>
    </row>
    <row r="124" spans="1:13" ht="13.5" customHeight="1">
      <c r="C124" s="146">
        <f>L117</f>
        <v>47483</v>
      </c>
      <c r="D124" s="152"/>
      <c r="E124" s="153"/>
      <c r="F124" s="68"/>
      <c r="G124" s="154"/>
      <c r="H124" s="68"/>
      <c r="I124" s="68"/>
      <c r="J124" s="68"/>
      <c r="K124" s="68"/>
      <c r="L124" s="154"/>
      <c r="M124" s="50"/>
    </row>
    <row r="125" spans="1:13" ht="13.5" customHeight="1">
      <c r="C125" s="68"/>
      <c r="D125" s="155"/>
    </row>
    <row r="126" spans="1:13" ht="13.5" customHeight="1">
      <c r="C126" s="39" t="s">
        <v>131</v>
      </c>
      <c r="H126" s="156">
        <f>-SUM(H119:H125)</f>
        <v>0</v>
      </c>
      <c r="I126" s="156">
        <f t="shared" ref="I126:L126" si="13">-SUM(I119:I125)</f>
        <v>0</v>
      </c>
      <c r="J126" s="156">
        <f t="shared" si="13"/>
        <v>0</v>
      </c>
      <c r="K126" s="156">
        <f t="shared" si="13"/>
        <v>0</v>
      </c>
      <c r="L126" s="156">
        <f t="shared" si="13"/>
        <v>0</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15F6C-C391-4EC8-8805-EC8E7213F566}">
  <sheetPr>
    <tabColor rgb="FF416D89"/>
    <outlinePr summaryBelow="0"/>
    <pageSetUpPr fitToPage="1"/>
  </sheetPr>
  <dimension ref="A1:S147"/>
  <sheetViews>
    <sheetView showGridLines="0"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1:13" ht="13.5" customHeight="1">
      <c r="C1" s="30"/>
      <c r="E1" s="31"/>
      <c r="F1" s="31"/>
      <c r="G1" s="31"/>
    </row>
    <row r="2" spans="1:13" ht="21" outlineLevel="1">
      <c r="B2" s="32"/>
      <c r="C2" s="33" t="s">
        <v>54</v>
      </c>
      <c r="D2" s="34"/>
      <c r="E2" s="35"/>
      <c r="F2" s="35"/>
      <c r="G2" s="36"/>
      <c r="H2" s="36"/>
      <c r="I2" s="36"/>
      <c r="J2" s="36"/>
      <c r="K2" s="36"/>
      <c r="L2" s="36"/>
    </row>
    <row r="3" spans="1:13" ht="13.5" customHeight="1" outlineLevel="1">
      <c r="C3" s="37" t="s">
        <v>104</v>
      </c>
      <c r="D3" s="34"/>
      <c r="E3" s="38"/>
      <c r="F3" s="38"/>
      <c r="G3" s="38"/>
      <c r="H3" s="34"/>
      <c r="I3" s="34"/>
      <c r="J3" s="34"/>
      <c r="K3" s="34"/>
      <c r="L3" s="34"/>
    </row>
    <row r="4" spans="1:13" ht="13.5" customHeight="1" outlineLevel="1">
      <c r="C4" s="37"/>
      <c r="D4" s="34"/>
      <c r="E4" s="38"/>
      <c r="F4" s="38"/>
      <c r="G4" s="38"/>
      <c r="H4" s="34"/>
      <c r="I4" s="34"/>
      <c r="J4" s="34"/>
      <c r="K4" s="34"/>
      <c r="L4" s="34"/>
    </row>
    <row r="5" spans="1:13" ht="13.5" customHeight="1" outlineLevel="1">
      <c r="C5" s="30"/>
      <c r="E5" s="31"/>
      <c r="F5" s="31"/>
      <c r="G5" s="31"/>
      <c r="I5" s="39"/>
      <c r="J5" s="39" t="s">
        <v>56</v>
      </c>
    </row>
    <row r="6" spans="1:13" ht="13.5" customHeight="1" outlineLevel="1">
      <c r="C6" s="40" t="s">
        <v>57</v>
      </c>
      <c r="D6" s="41"/>
      <c r="E6" s="42"/>
      <c r="F6" s="43" t="s">
        <v>58</v>
      </c>
      <c r="G6" s="43"/>
      <c r="I6" s="44"/>
      <c r="J6" s="44" t="s">
        <v>59</v>
      </c>
    </row>
    <row r="7" spans="1:13" ht="13.5" customHeight="1" outlineLevel="1" thickBot="1">
      <c r="C7" s="30"/>
      <c r="E7" s="31"/>
      <c r="F7" s="31"/>
      <c r="G7" s="31"/>
      <c r="I7" s="45"/>
      <c r="J7" s="45" t="s">
        <v>60</v>
      </c>
    </row>
    <row r="8" spans="1:13" ht="21.75" thickTop="1">
      <c r="B8" s="46" t="s">
        <v>61</v>
      </c>
      <c r="C8" s="47" t="s">
        <v>3</v>
      </c>
      <c r="D8" s="48"/>
      <c r="E8" s="49"/>
      <c r="F8" s="49"/>
      <c r="G8" s="49"/>
      <c r="H8" s="49"/>
      <c r="I8" s="49"/>
      <c r="J8" s="49"/>
      <c r="K8" s="49"/>
      <c r="L8" s="49"/>
      <c r="M8" s="50"/>
    </row>
    <row r="9" spans="1:13" ht="5.0999999999999996" customHeight="1" outlineLevel="1">
      <c r="C9" s="51"/>
      <c r="D9" s="52"/>
    </row>
    <row r="10" spans="1:13" ht="13.5" customHeight="1" outlineLevel="1">
      <c r="C10" s="53"/>
      <c r="D10" s="53"/>
      <c r="E10" s="53"/>
      <c r="F10" s="54" t="s">
        <v>63</v>
      </c>
      <c r="G10" s="54" t="s">
        <v>63</v>
      </c>
      <c r="H10" s="55" t="s">
        <v>64</v>
      </c>
      <c r="I10" s="55"/>
      <c r="J10" s="55"/>
      <c r="K10" s="55"/>
      <c r="L10" s="55"/>
    </row>
    <row r="11" spans="1: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1:13" ht="5.0999999999999996" customHeight="1" outlineLevel="1">
      <c r="C12" s="59"/>
      <c r="D12" s="59"/>
      <c r="E12" s="59"/>
      <c r="F12" s="60"/>
      <c r="G12" s="60"/>
      <c r="H12" s="60"/>
      <c r="I12" s="60"/>
      <c r="J12" s="60"/>
      <c r="K12" s="60"/>
    </row>
    <row r="13" spans="1:13" ht="13.5" customHeight="1" outlineLevel="1">
      <c r="A13" s="125"/>
      <c r="C13" s="61" t="s">
        <v>7</v>
      </c>
      <c r="D13" s="61"/>
      <c r="E13" s="61"/>
      <c r="F13" s="126">
        <f>'Financials from CIP'!D13/1000</f>
        <v>78.565675999999996</v>
      </c>
      <c r="G13" s="126">
        <f>'Financials from CIP'!E13/1000</f>
        <v>90.614007999999998</v>
      </c>
      <c r="H13" s="127">
        <f>(1+H41)*G13</f>
        <v>104.5099955077592</v>
      </c>
      <c r="I13" s="127">
        <f>(1+I41)*H13</f>
        <v>120.53698321160066</v>
      </c>
      <c r="J13" s="127">
        <f>(1+J41)*I13</f>
        <v>135.4056582414087</v>
      </c>
      <c r="K13" s="127">
        <f>(1+K41)*J13</f>
        <v>148.04626863637753</v>
      </c>
      <c r="L13" s="127">
        <f>(1+L41)*K13</f>
        <v>157.42553790111026</v>
      </c>
      <c r="M13" s="50" t="s">
        <v>105</v>
      </c>
    </row>
    <row r="14" spans="1:13" ht="13.5" customHeight="1" outlineLevel="1">
      <c r="A14" s="125"/>
      <c r="C14" s="63" t="s">
        <v>66</v>
      </c>
      <c r="D14" s="63"/>
      <c r="E14" s="63"/>
      <c r="F14" s="128">
        <f>SUM('Financials from CIP'!D15:D17)/1000</f>
        <v>51.562188999999996</v>
      </c>
      <c r="G14" s="128">
        <f>SUM('Financials from CIP'!E15:E17)/1000</f>
        <v>61.618676000000001</v>
      </c>
      <c r="H14" s="129">
        <f>H43*H13</f>
        <v>69.828708282059708</v>
      </c>
      <c r="I14" s="129">
        <f>I43*I13</f>
        <v>80.537194523728473</v>
      </c>
      <c r="J14" s="129">
        <f>J43*J13</f>
        <v>90.471750220079329</v>
      </c>
      <c r="K14" s="129">
        <f>K43*K13</f>
        <v>98.917616966977391</v>
      </c>
      <c r="L14" s="129">
        <f>L43*L13</f>
        <v>105.18440756632523</v>
      </c>
      <c r="M14" s="50" t="s">
        <v>106</v>
      </c>
    </row>
    <row r="15" spans="1:13" ht="13.5" customHeight="1" outlineLevel="1">
      <c r="A15" s="125"/>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1:13" ht="13.5" customHeight="1" outlineLevel="1">
      <c r="A16" s="125"/>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t="s">
        <v>107</v>
      </c>
    </row>
    <row r="17" spans="1:13" ht="13.5" customHeight="1" outlineLevel="1">
      <c r="A17" s="125"/>
      <c r="C17" s="63" t="s">
        <v>69</v>
      </c>
      <c r="D17" s="63"/>
      <c r="E17" s="63"/>
      <c r="F17" s="128">
        <f>SUM('Financials from CIP'!D23:D24,'Financials from CIP'!D28)/1000</f>
        <v>14.179914999999999</v>
      </c>
      <c r="G17" s="128">
        <f>SUM('Financials from CIP'!E23:E24,'Financials from CIP'!E28)/1000</f>
        <v>15.4366889395</v>
      </c>
      <c r="H17" s="129">
        <f>H44*H13</f>
        <v>18.333216581804578</v>
      </c>
      <c r="I17" s="129">
        <f t="shared" ref="I17:L17" si="3">I44*I13</f>
        <v>21.144681985672378</v>
      </c>
      <c r="J17" s="129">
        <f t="shared" si="3"/>
        <v>23.752955369300096</v>
      </c>
      <c r="K17" s="129">
        <f t="shared" si="3"/>
        <v>25.970380094765407</v>
      </c>
      <c r="L17" s="129">
        <f t="shared" si="3"/>
        <v>27.615698075825332</v>
      </c>
      <c r="M17" s="50" t="s">
        <v>108</v>
      </c>
    </row>
    <row r="18" spans="1:13" ht="13.5" customHeight="1" outlineLevel="1">
      <c r="A18" s="125"/>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1:13" ht="13.5" customHeight="1" outlineLevel="1">
      <c r="A19" s="125"/>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t="s">
        <v>109</v>
      </c>
    </row>
    <row r="20" spans="1:13" ht="13.5" customHeight="1" outlineLevel="1">
      <c r="A20" s="125"/>
      <c r="C20" s="63" t="s">
        <v>15</v>
      </c>
      <c r="D20" s="63"/>
      <c r="E20" s="63"/>
      <c r="F20" s="128">
        <f>'Financials from CIP'!D25/1000</f>
        <v>1.1801621</v>
      </c>
      <c r="G20" s="128">
        <f>'Financials from CIP'!E25/1000</f>
        <v>1.1617642799999999</v>
      </c>
      <c r="H20" s="129">
        <f>H126</f>
        <v>5.5684984000000002</v>
      </c>
      <c r="I20" s="129">
        <f t="shared" ref="I20:L20" si="6">I126</f>
        <v>5.5684984000000002</v>
      </c>
      <c r="J20" s="129">
        <f t="shared" si="6"/>
        <v>5.5684984000000002</v>
      </c>
      <c r="K20" s="129">
        <f t="shared" si="6"/>
        <v>5.5684984000000002</v>
      </c>
      <c r="L20" s="129">
        <f t="shared" si="6"/>
        <v>5.5684984000000002</v>
      </c>
      <c r="M20" s="50" t="s">
        <v>110</v>
      </c>
    </row>
    <row r="21" spans="1:13" ht="13.5" customHeight="1" outlineLevel="1">
      <c r="A21" s="125"/>
      <c r="C21" s="63" t="s">
        <v>16</v>
      </c>
      <c r="D21" s="63"/>
      <c r="E21" s="63"/>
      <c r="F21" s="128">
        <f>'Financials from CIP'!D26/1000</f>
        <v>0.208264</v>
      </c>
      <c r="G21" s="128">
        <f>'Financials from CIP'!E26/1000</f>
        <v>0.237952</v>
      </c>
      <c r="H21" s="130">
        <f>G21</f>
        <v>0.237952</v>
      </c>
      <c r="I21" s="130">
        <f>H21</f>
        <v>0.237952</v>
      </c>
      <c r="J21" s="130">
        <f>I21</f>
        <v>0.237952</v>
      </c>
      <c r="K21" s="130">
        <f>J21</f>
        <v>0.237952</v>
      </c>
      <c r="L21" s="130">
        <f>K21</f>
        <v>0.237952</v>
      </c>
      <c r="M21" s="50" t="s">
        <v>111</v>
      </c>
    </row>
    <row r="22" spans="1:13" ht="13.5" customHeight="1" outlineLevel="1">
      <c r="A22" s="125"/>
      <c r="C22" s="70" t="s">
        <v>72</v>
      </c>
      <c r="D22" s="70"/>
      <c r="E22" s="70"/>
      <c r="F22" s="71">
        <f>F18-SUM(F20:F21)</f>
        <v>11.4351459</v>
      </c>
      <c r="G22" s="71">
        <f>G18-SUM(G20:G21)</f>
        <v>12.158926780499998</v>
      </c>
      <c r="H22" s="71">
        <f t="shared" ref="H22:L22" si="7">H18-SUM(H20:H21)</f>
        <v>10.541620243894915</v>
      </c>
      <c r="I22" s="71">
        <f t="shared" si="7"/>
        <v>13.048656302199806</v>
      </c>
      <c r="J22" s="71">
        <f t="shared" si="7"/>
        <v>15.374502252029277</v>
      </c>
      <c r="K22" s="71">
        <f t="shared" si="7"/>
        <v>17.351821174634736</v>
      </c>
      <c r="L22" s="71">
        <f t="shared" si="7"/>
        <v>18.818981858959695</v>
      </c>
      <c r="M22" s="60"/>
    </row>
    <row r="23" spans="1:13" ht="13.5" customHeight="1" outlineLevel="1">
      <c r="A23" s="125"/>
      <c r="C23" s="72" t="s">
        <v>73</v>
      </c>
      <c r="D23" s="39"/>
      <c r="E23" s="39"/>
      <c r="F23" s="45"/>
      <c r="G23" s="73"/>
      <c r="H23" s="73"/>
      <c r="I23" s="73"/>
      <c r="J23" s="73"/>
      <c r="K23" s="73"/>
      <c r="L23" s="73"/>
      <c r="M23" s="60"/>
    </row>
    <row r="24" spans="1:13" ht="13.5" customHeight="1" outlineLevel="1">
      <c r="A24" s="125"/>
      <c r="C24" s="74" t="s">
        <v>74</v>
      </c>
      <c r="D24" s="39"/>
      <c r="E24" s="39"/>
      <c r="F24" s="45"/>
      <c r="G24" s="75"/>
      <c r="H24" s="43"/>
      <c r="I24" s="43"/>
      <c r="J24" s="43"/>
      <c r="K24" s="43"/>
      <c r="L24" s="43"/>
      <c r="M24" s="60"/>
    </row>
    <row r="25" spans="1:13" ht="13.5" customHeight="1" outlineLevel="1">
      <c r="A25" s="125"/>
      <c r="C25" s="74" t="s">
        <v>75</v>
      </c>
      <c r="D25" s="39"/>
      <c r="E25" s="39"/>
      <c r="F25" s="45"/>
      <c r="G25" s="75"/>
      <c r="H25" s="43"/>
      <c r="I25" s="43"/>
      <c r="J25" s="43"/>
      <c r="K25" s="43"/>
      <c r="L25" s="43"/>
      <c r="M25" s="60"/>
    </row>
    <row r="26" spans="1:13" ht="13.5" customHeight="1" outlineLevel="1">
      <c r="A26" s="125"/>
      <c r="C26" s="74" t="str">
        <f>+C79</f>
        <v>Term Loan A</v>
      </c>
      <c r="D26" s="39"/>
      <c r="E26" s="39"/>
      <c r="F26" s="45"/>
      <c r="G26" s="75"/>
      <c r="H26" s="43"/>
      <c r="I26" s="43"/>
      <c r="J26" s="43"/>
      <c r="K26" s="43"/>
      <c r="L26" s="43"/>
      <c r="M26" s="60"/>
    </row>
    <row r="27" spans="1:13" ht="13.5" customHeight="1" outlineLevel="1">
      <c r="A27" s="125"/>
      <c r="C27" s="74" t="str">
        <f t="shared" ref="C27:C28" si="8">+C80</f>
        <v>Subordinated - Note 1</v>
      </c>
      <c r="D27" s="39"/>
      <c r="E27" s="39"/>
      <c r="F27" s="45"/>
      <c r="G27" s="75"/>
      <c r="H27" s="43"/>
      <c r="I27" s="43"/>
      <c r="J27" s="43"/>
      <c r="K27" s="43"/>
      <c r="L27" s="43"/>
      <c r="M27" s="60"/>
    </row>
    <row r="28" spans="1:13" ht="13.5" customHeight="1" outlineLevel="1">
      <c r="A28" s="125"/>
      <c r="C28" s="74" t="str">
        <f t="shared" si="8"/>
        <v>Subordinated - Note 2</v>
      </c>
      <c r="D28" s="39"/>
      <c r="E28" s="39"/>
      <c r="F28" s="45"/>
      <c r="G28" s="75"/>
      <c r="H28" s="43"/>
      <c r="I28" s="43"/>
      <c r="J28" s="43"/>
      <c r="K28" s="43"/>
      <c r="L28" s="43"/>
      <c r="M28" s="60"/>
    </row>
    <row r="29" spans="1:13" ht="13.5" customHeight="1" outlineLevel="1">
      <c r="A29" s="125"/>
      <c r="C29" s="76" t="s">
        <v>73</v>
      </c>
      <c r="D29" s="77"/>
      <c r="E29" s="77"/>
      <c r="F29" s="131">
        <f>'Financials from CIP'!D27/1000</f>
        <v>2.224955</v>
      </c>
      <c r="G29" s="131">
        <f>'Financials from CIP'!E27/1000</f>
        <v>1.4727629999999998</v>
      </c>
      <c r="H29" s="93">
        <f>SUM(H24:H28)</f>
        <v>0</v>
      </c>
      <c r="I29" s="93">
        <f t="shared" ref="I29:L29" si="9">SUM(I24:I28)</f>
        <v>0</v>
      </c>
      <c r="J29" s="93">
        <f t="shared" si="9"/>
        <v>0</v>
      </c>
      <c r="K29" s="93">
        <f t="shared" si="9"/>
        <v>0</v>
      </c>
      <c r="L29" s="93">
        <f t="shared" si="9"/>
        <v>0</v>
      </c>
      <c r="M29" s="60"/>
    </row>
    <row r="30" spans="1:13" ht="13.5" customHeight="1" outlineLevel="1">
      <c r="A30" s="125"/>
      <c r="C30" s="63" t="s">
        <v>76</v>
      </c>
      <c r="D30" s="63"/>
      <c r="E30" s="63"/>
      <c r="F30" s="128">
        <f>'Financials from CIP'!D32/1000</f>
        <v>0.147371</v>
      </c>
      <c r="G30" s="128">
        <f>'Financials from CIP'!E32/1000</f>
        <v>0.27343900000000004</v>
      </c>
      <c r="H30" s="130">
        <v>0</v>
      </c>
      <c r="I30" s="130">
        <v>0</v>
      </c>
      <c r="J30" s="130">
        <v>0</v>
      </c>
      <c r="K30" s="130">
        <v>0</v>
      </c>
      <c r="L30" s="130">
        <v>0</v>
      </c>
      <c r="M30" s="50" t="s">
        <v>112</v>
      </c>
    </row>
    <row r="31" spans="1:13" ht="13.5" customHeight="1" outlineLevel="1">
      <c r="A31" s="125"/>
      <c r="C31" s="65" t="s">
        <v>77</v>
      </c>
      <c r="D31" s="65"/>
      <c r="E31" s="65"/>
      <c r="F31" s="66">
        <f>F22-F29-F30</f>
        <v>9.0628199000000009</v>
      </c>
      <c r="G31" s="66">
        <f>G22-G29-G30</f>
        <v>10.412724780499998</v>
      </c>
      <c r="H31" s="66">
        <f t="shared" ref="H31:L31" si="10">H22-H29-H30</f>
        <v>10.541620243894915</v>
      </c>
      <c r="I31" s="66">
        <f t="shared" si="10"/>
        <v>13.048656302199806</v>
      </c>
      <c r="J31" s="66">
        <f t="shared" si="10"/>
        <v>15.374502252029277</v>
      </c>
      <c r="K31" s="66">
        <f t="shared" si="10"/>
        <v>17.351821174634736</v>
      </c>
      <c r="L31" s="66">
        <f t="shared" si="10"/>
        <v>18.818981858959695</v>
      </c>
      <c r="M31" s="50"/>
    </row>
    <row r="32" spans="1:13" ht="13.5" customHeight="1" outlineLevel="1">
      <c r="A32" s="125"/>
      <c r="C32" s="63" t="s">
        <v>78</v>
      </c>
      <c r="D32" s="63"/>
      <c r="E32" s="63"/>
      <c r="F32" s="128">
        <f>'Financials from CIP'!D29/1000</f>
        <v>3.2010390000000002</v>
      </c>
      <c r="G32" s="128">
        <f>'Financials from CIP'!E29/1000</f>
        <v>2.809107</v>
      </c>
      <c r="H32" s="129">
        <f>H46*H31</f>
        <v>3.2836197770826252</v>
      </c>
      <c r="I32" s="129">
        <f t="shared" ref="I32:L32" si="11">I46*I31</f>
        <v>4.0645389330042958</v>
      </c>
      <c r="J32" s="129">
        <f t="shared" si="11"/>
        <v>4.7890190017803063</v>
      </c>
      <c r="K32" s="129">
        <f t="shared" si="11"/>
        <v>5.4049360401148281</v>
      </c>
      <c r="L32" s="129">
        <f t="shared" si="11"/>
        <v>5.8619433812773574</v>
      </c>
      <c r="M32" s="50" t="s">
        <v>113</v>
      </c>
    </row>
    <row r="33" spans="1:13" ht="13.5" customHeight="1" outlineLevel="1">
      <c r="A33" s="125"/>
      <c r="C33" s="79" t="s">
        <v>22</v>
      </c>
      <c r="D33" s="79"/>
      <c r="E33" s="79"/>
      <c r="F33" s="71">
        <f>F31-F32</f>
        <v>5.8617809000000012</v>
      </c>
      <c r="G33" s="71">
        <f>G31-G32</f>
        <v>7.6036177804999978</v>
      </c>
      <c r="H33" s="71">
        <f t="shared" ref="H33:L33" si="12">H31-H32</f>
        <v>7.2580004668122893</v>
      </c>
      <c r="I33" s="71">
        <f t="shared" si="12"/>
        <v>8.9841173691955092</v>
      </c>
      <c r="J33" s="71">
        <f t="shared" si="12"/>
        <v>10.58548325024897</v>
      </c>
      <c r="K33" s="71">
        <f t="shared" si="12"/>
        <v>11.946885134519908</v>
      </c>
      <c r="L33" s="71">
        <f t="shared" si="12"/>
        <v>12.957038477682339</v>
      </c>
      <c r="M33" s="60"/>
    </row>
    <row r="34" spans="1:13" ht="13.5" customHeight="1" outlineLevel="1">
      <c r="C34" s="67" t="s">
        <v>79</v>
      </c>
      <c r="D34" s="39"/>
      <c r="E34" s="39"/>
      <c r="F34" s="69">
        <f>IFERROR(F33/F$13,"N/M")</f>
        <v>7.4609946715153336E-2</v>
      </c>
      <c r="G34" s="69">
        <f>IFERROR(G33/G$13,"N/M")</f>
        <v>8.3912167095621659E-2</v>
      </c>
      <c r="H34" s="69">
        <f t="shared" ref="H34:L34" si="13">IFERROR(H33/H$13,"N/M")</f>
        <v>6.944790717432793E-2</v>
      </c>
      <c r="I34" s="69">
        <f t="shared" si="13"/>
        <v>7.4534115006213833E-2</v>
      </c>
      <c r="J34" s="69">
        <f t="shared" si="13"/>
        <v>7.8176077630202012E-2</v>
      </c>
      <c r="K34" s="69">
        <f t="shared" si="13"/>
        <v>8.0696968890605E-2</v>
      </c>
      <c r="L34" s="69">
        <f t="shared" si="13"/>
        <v>8.2305823123955527E-2</v>
      </c>
      <c r="M34" s="60"/>
    </row>
    <row r="35" spans="1:13" ht="13.5" customHeight="1" outlineLevel="1">
      <c r="C35" s="68"/>
      <c r="D35" s="68"/>
      <c r="E35" s="68"/>
      <c r="H35" s="60"/>
      <c r="I35" s="60"/>
      <c r="J35" s="60"/>
      <c r="K35" s="60"/>
      <c r="L35" s="60"/>
      <c r="M35" s="60"/>
    </row>
    <row r="36" spans="1:13" ht="13.5" customHeight="1" outlineLevel="1">
      <c r="C36" s="80" t="s">
        <v>80</v>
      </c>
      <c r="D36" s="80"/>
      <c r="E36" s="80"/>
      <c r="G36" s="81"/>
      <c r="H36" s="60"/>
      <c r="I36" s="60"/>
      <c r="J36" s="60"/>
      <c r="K36" s="60"/>
      <c r="L36" s="60"/>
      <c r="M36" s="60"/>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A39" s="125"/>
      <c r="C39" s="84" t="s">
        <v>114</v>
      </c>
      <c r="D39" s="85"/>
      <c r="E39" s="86"/>
      <c r="F39" s="86"/>
      <c r="G39" s="86"/>
      <c r="H39" s="86"/>
      <c r="I39" s="86"/>
      <c r="J39" s="86"/>
      <c r="K39" s="86"/>
      <c r="L39" s="87"/>
      <c r="M39" s="50"/>
    </row>
    <row r="40" spans="1:13" ht="13.5" customHeight="1" outlineLevel="1">
      <c r="A40" s="125"/>
      <c r="C40" s="80"/>
      <c r="D40" s="80"/>
      <c r="E40" s="80"/>
      <c r="G40" s="81"/>
      <c r="H40" s="132"/>
      <c r="I40" s="132"/>
      <c r="J40" s="132"/>
      <c r="K40" s="132"/>
      <c r="L40" s="132"/>
      <c r="M40" s="50"/>
    </row>
    <row r="41" spans="1:13" ht="13.5" customHeight="1" outlineLevel="1">
      <c r="A41" s="125"/>
      <c r="C41" s="68" t="s">
        <v>115</v>
      </c>
      <c r="D41" s="133"/>
      <c r="E41" s="133"/>
      <c r="F41" s="134"/>
      <c r="G41" s="134">
        <f>G13/F13-1</f>
        <v>0.15335363498940691</v>
      </c>
      <c r="H41" s="135">
        <f>G41</f>
        <v>0.15335363498940691</v>
      </c>
      <c r="I41" s="135">
        <f>H41</f>
        <v>0.15335363498940691</v>
      </c>
      <c r="J41" s="135">
        <f>I41-3%</f>
        <v>0.12335363498940691</v>
      </c>
      <c r="K41" s="135">
        <f>J41-3%</f>
        <v>9.3353634989406908E-2</v>
      </c>
      <c r="L41" s="135">
        <f>K41-3%</f>
        <v>6.335363498940691E-2</v>
      </c>
      <c r="M41" s="50" t="s">
        <v>116</v>
      </c>
    </row>
    <row r="42" spans="1:13" ht="13.5" customHeight="1" outlineLevel="1">
      <c r="A42" s="125"/>
      <c r="C42" s="80"/>
      <c r="D42" s="80"/>
      <c r="E42" s="80"/>
      <c r="F42" s="136"/>
      <c r="G42" s="136"/>
      <c r="H42" s="137"/>
      <c r="I42" s="137"/>
      <c r="J42" s="137"/>
      <c r="K42" s="137"/>
      <c r="L42" s="137"/>
      <c r="M42" s="50"/>
    </row>
    <row r="43" spans="1:13" ht="13.5" customHeight="1" outlineLevel="1">
      <c r="A43" s="125"/>
      <c r="C43" s="68" t="s">
        <v>117</v>
      </c>
      <c r="D43" s="80"/>
      <c r="E43" s="80"/>
      <c r="F43" s="134">
        <f>F14/F13</f>
        <v>0.65629409209181877</v>
      </c>
      <c r="G43" s="134">
        <f>G14/G13</f>
        <v>0.68001269737456049</v>
      </c>
      <c r="H43" s="135">
        <f>AVERAGE(F43:G43)</f>
        <v>0.66815339473318969</v>
      </c>
      <c r="I43" s="135">
        <f t="shared" ref="I43:L44" si="14">H43</f>
        <v>0.66815339473318969</v>
      </c>
      <c r="J43" s="135">
        <f t="shared" si="14"/>
        <v>0.66815339473318969</v>
      </c>
      <c r="K43" s="135">
        <f t="shared" si="14"/>
        <v>0.66815339473318969</v>
      </c>
      <c r="L43" s="135">
        <f t="shared" si="14"/>
        <v>0.66815339473318969</v>
      </c>
      <c r="M43" s="50" t="s">
        <v>118</v>
      </c>
    </row>
    <row r="44" spans="1:13" ht="13.5" customHeight="1" outlineLevel="1">
      <c r="A44" s="125"/>
      <c r="C44" s="68" t="s">
        <v>119</v>
      </c>
      <c r="D44" s="80"/>
      <c r="E44" s="80"/>
      <c r="F44" s="134">
        <f>F17/F13</f>
        <v>0.1804848595715004</v>
      </c>
      <c r="G44" s="134">
        <f>G17/G13</f>
        <v>0.17035654067415273</v>
      </c>
      <c r="H44" s="135">
        <f>AVERAGE(F44:G44)</f>
        <v>0.17542070012282657</v>
      </c>
      <c r="I44" s="135">
        <f t="shared" si="14"/>
        <v>0.17542070012282657</v>
      </c>
      <c r="J44" s="135">
        <f t="shared" si="14"/>
        <v>0.17542070012282657</v>
      </c>
      <c r="K44" s="135">
        <f t="shared" si="14"/>
        <v>0.17542070012282657</v>
      </c>
      <c r="L44" s="135">
        <f t="shared" si="14"/>
        <v>0.17542070012282657</v>
      </c>
      <c r="M44" s="50" t="s">
        <v>120</v>
      </c>
    </row>
    <row r="45" spans="1:13" ht="13.5" customHeight="1" outlineLevel="1">
      <c r="A45" s="125"/>
      <c r="C45" s="80"/>
      <c r="D45" s="80"/>
      <c r="E45" s="80"/>
      <c r="F45" s="136"/>
      <c r="G45" s="136"/>
      <c r="H45" s="137"/>
      <c r="I45" s="137"/>
      <c r="J45" s="137"/>
      <c r="K45" s="137"/>
      <c r="L45" s="137"/>
      <c r="M45" s="50"/>
    </row>
    <row r="46" spans="1:13" ht="13.5" customHeight="1" outlineLevel="1">
      <c r="A46" s="125"/>
      <c r="C46" s="80" t="s">
        <v>121</v>
      </c>
      <c r="D46" s="80"/>
      <c r="E46" s="80"/>
      <c r="F46" s="134">
        <f>F32/F31</f>
        <v>0.35320562863662336</v>
      </c>
      <c r="G46" s="134">
        <f>G32/G31</f>
        <v>0.26977636105975256</v>
      </c>
      <c r="H46" s="135">
        <f>AVERAGE(F46:G46)</f>
        <v>0.31149099484818799</v>
      </c>
      <c r="I46" s="135">
        <f>H46</f>
        <v>0.31149099484818799</v>
      </c>
      <c r="J46" s="135">
        <f>I46</f>
        <v>0.31149099484818799</v>
      </c>
      <c r="K46" s="135">
        <f>J46</f>
        <v>0.31149099484818799</v>
      </c>
      <c r="L46" s="135">
        <f>K46</f>
        <v>0.31149099484818799</v>
      </c>
      <c r="M46" s="50" t="s">
        <v>122</v>
      </c>
    </row>
    <row r="47" spans="1:13" ht="13.5" customHeight="1" outlineLevel="1">
      <c r="C47" s="68"/>
      <c r="D47" s="80"/>
      <c r="E47" s="80"/>
      <c r="F47" s="138"/>
      <c r="G47" s="138"/>
      <c r="H47" s="139"/>
      <c r="I47" s="139"/>
      <c r="J47" s="139"/>
      <c r="K47" s="139"/>
      <c r="L47" s="139"/>
      <c r="M47" s="50"/>
    </row>
    <row r="48" spans="1:13" ht="13.5" customHeight="1" outlineLevel="1">
      <c r="C48" s="68" t="s">
        <v>123</v>
      </c>
      <c r="D48" s="80"/>
      <c r="E48" s="80"/>
      <c r="G48" s="140"/>
      <c r="H48" s="139"/>
      <c r="I48" s="139"/>
      <c r="J48" s="139"/>
      <c r="K48" s="139"/>
      <c r="L48" s="139"/>
      <c r="M48" s="50"/>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5">G$11</f>
        <v>45657</v>
      </c>
      <c r="H56" s="58">
        <f t="shared" si="15"/>
        <v>46022</v>
      </c>
      <c r="I56" s="58">
        <f t="shared" si="15"/>
        <v>46387</v>
      </c>
      <c r="J56" s="58">
        <f t="shared" si="15"/>
        <v>46752</v>
      </c>
      <c r="K56" s="58">
        <f t="shared" si="15"/>
        <v>47118</v>
      </c>
      <c r="L56" s="58">
        <f t="shared" si="15"/>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90"/>
      <c r="I60" s="90"/>
      <c r="J60" s="90"/>
      <c r="K60" s="90"/>
      <c r="L60" s="90"/>
    </row>
    <row r="61" spans="1:13" ht="13.5" customHeight="1" outlineLevel="1">
      <c r="A61" s="82"/>
      <c r="C61" s="91" t="s">
        <v>83</v>
      </c>
      <c r="F61" s="96">
        <f>SUM('Financials from CIP'!D47:D48)/1000</f>
        <v>16.781419000000003</v>
      </c>
      <c r="G61" s="96">
        <f>SUM('Financials from CIP'!E47:E48)/1000</f>
        <v>22.284721999999999</v>
      </c>
      <c r="H61" s="90"/>
      <c r="I61" s="90"/>
      <c r="J61" s="90"/>
      <c r="K61" s="90"/>
      <c r="L61" s="90"/>
    </row>
    <row r="62" spans="1:13" ht="13.5" customHeight="1" outlineLevel="1">
      <c r="A62" s="82"/>
      <c r="C62" s="91" t="s">
        <v>31</v>
      </c>
      <c r="F62" s="96">
        <f>'Financials from CIP'!D49/1000</f>
        <v>0.80490099999999998</v>
      </c>
      <c r="G62" s="96">
        <f>'Financials from CIP'!E49/1000</f>
        <v>1.161057</v>
      </c>
      <c r="H62" s="90"/>
      <c r="I62" s="90"/>
      <c r="J62" s="90"/>
      <c r="K62" s="90"/>
      <c r="L62" s="90"/>
    </row>
    <row r="63" spans="1:13" ht="13.5" customHeight="1" outlineLevel="1">
      <c r="A63" s="82"/>
      <c r="C63" s="91" t="s">
        <v>84</v>
      </c>
      <c r="F63" s="96">
        <f>'Financials from CIP'!D50/1000</f>
        <v>0.26978399999999997</v>
      </c>
      <c r="G63" s="96">
        <f>'Financials from CIP'!E50/1000</f>
        <v>0.34491899999999998</v>
      </c>
      <c r="H63" s="90"/>
      <c r="I63" s="90"/>
      <c r="J63" s="90"/>
      <c r="K63" s="90"/>
      <c r="L63" s="90"/>
    </row>
    <row r="64" spans="1:13" ht="13.5" customHeight="1" outlineLevel="1">
      <c r="A64" s="82"/>
      <c r="C64" s="76" t="s">
        <v>33</v>
      </c>
      <c r="D64" s="77"/>
      <c r="E64" s="77"/>
      <c r="F64" s="93">
        <f>SUM(F60:F63)</f>
        <v>24.961756000000005</v>
      </c>
      <c r="G64" s="93">
        <f>SUM(G60:G63)</f>
        <v>26.74869</v>
      </c>
      <c r="H64" s="94"/>
      <c r="I64" s="94"/>
      <c r="J64" s="94"/>
      <c r="K64" s="94"/>
      <c r="L64" s="94"/>
    </row>
    <row r="65" spans="1:12" ht="13.5" customHeight="1" outlineLevel="1">
      <c r="A65" s="82"/>
      <c r="C65" s="91" t="s">
        <v>85</v>
      </c>
      <c r="D65" s="95"/>
      <c r="E65" s="95"/>
      <c r="F65" s="96"/>
      <c r="G65" s="96"/>
      <c r="H65" s="97"/>
      <c r="I65" s="97"/>
      <c r="J65" s="97"/>
      <c r="K65" s="97"/>
      <c r="L65" s="97"/>
    </row>
    <row r="66" spans="1:12" ht="13.5" customHeight="1" outlineLevel="1">
      <c r="A66" s="82"/>
      <c r="C66" s="91" t="s">
        <v>86</v>
      </c>
      <c r="D66" s="95"/>
      <c r="E66" s="95"/>
      <c r="F66" s="96"/>
      <c r="G66" s="96"/>
      <c r="H66" s="94"/>
      <c r="I66" s="94"/>
      <c r="J66" s="94"/>
      <c r="K66" s="94"/>
      <c r="L66" s="94"/>
    </row>
    <row r="67" spans="1:12" ht="13.5" customHeight="1" outlineLevel="1">
      <c r="A67" s="82"/>
      <c r="C67" s="76" t="s">
        <v>34</v>
      </c>
      <c r="D67" s="77"/>
      <c r="E67" s="77"/>
      <c r="F67" s="131">
        <f>'Financials from CIP'!D53/1000</f>
        <v>54.584699999999998</v>
      </c>
      <c r="G67" s="131">
        <f>'Financials from CIP'!E53/1000</f>
        <v>55.684984</v>
      </c>
      <c r="H67" s="94"/>
      <c r="I67" s="94"/>
      <c r="J67" s="94"/>
      <c r="K67" s="94"/>
      <c r="L67" s="94"/>
    </row>
    <row r="68" spans="1:12" ht="13.5" customHeight="1" outlineLevel="1">
      <c r="A68" s="82"/>
      <c r="C68" s="98" t="s">
        <v>87</v>
      </c>
      <c r="D68" s="95"/>
      <c r="E68" s="95"/>
      <c r="F68" s="99">
        <v>0</v>
      </c>
      <c r="G68" s="99">
        <v>0</v>
      </c>
      <c r="H68" s="94"/>
      <c r="I68" s="94"/>
      <c r="J68" s="94"/>
      <c r="K68" s="94"/>
      <c r="L68" s="94"/>
    </row>
    <row r="69" spans="1:12" ht="13.5" customHeight="1" outlineLevel="1">
      <c r="A69" s="82"/>
      <c r="C69" s="98" t="s">
        <v>88</v>
      </c>
      <c r="D69" s="95"/>
      <c r="E69" s="95"/>
      <c r="F69" s="96">
        <f>'Financials from CIP'!D54/1000</f>
        <v>4.378482</v>
      </c>
      <c r="G69" s="96">
        <f>'Financials from CIP'!E54/1000</f>
        <v>4.5043699999999998</v>
      </c>
      <c r="H69" s="94"/>
      <c r="I69" s="94"/>
      <c r="J69" s="94"/>
      <c r="K69" s="94"/>
      <c r="L69" s="94"/>
    </row>
    <row r="70" spans="1:12" ht="13.5" customHeight="1" outlineLevel="1">
      <c r="A70" s="82"/>
      <c r="C70" s="100" t="s">
        <v>36</v>
      </c>
      <c r="D70" s="101"/>
      <c r="E70" s="101"/>
      <c r="F70" s="102">
        <f>SUM(F64,F67:F69)</f>
        <v>83.924938000000012</v>
      </c>
      <c r="G70" s="102">
        <f>SUM(G64,G67:G69)</f>
        <v>86.938043999999991</v>
      </c>
      <c r="H70" s="103"/>
      <c r="I70" s="103"/>
      <c r="J70" s="103"/>
      <c r="K70" s="103"/>
      <c r="L70" s="103"/>
    </row>
    <row r="71" spans="1:12" ht="13.5" customHeight="1" outlineLevel="1">
      <c r="A71" s="82"/>
      <c r="H71" s="104"/>
      <c r="I71" s="104"/>
      <c r="J71" s="104"/>
      <c r="K71" s="104"/>
      <c r="L71" s="104"/>
    </row>
    <row r="72" spans="1:12" ht="13.5" customHeight="1" outlineLevel="1">
      <c r="A72" s="82"/>
      <c r="C72" s="84" t="s">
        <v>89</v>
      </c>
      <c r="D72" s="85"/>
      <c r="E72" s="86"/>
      <c r="F72" s="86"/>
      <c r="G72" s="86"/>
      <c r="H72" s="86"/>
      <c r="I72" s="86"/>
      <c r="J72" s="86"/>
      <c r="K72" s="86"/>
      <c r="L72" s="87"/>
    </row>
    <row r="73" spans="1:12" ht="13.5" customHeight="1" outlineLevel="1">
      <c r="A73" s="82"/>
      <c r="C73" s="59"/>
      <c r="D73" s="59"/>
      <c r="E73" s="59"/>
      <c r="F73" s="60"/>
      <c r="G73" s="60"/>
      <c r="H73" s="60"/>
      <c r="I73" s="60"/>
      <c r="J73" s="60"/>
      <c r="K73" s="60"/>
    </row>
    <row r="74" spans="1:12" ht="13.5" customHeight="1" outlineLevel="1">
      <c r="A74" s="82"/>
      <c r="C74" s="91" t="s">
        <v>37</v>
      </c>
      <c r="D74" s="95"/>
      <c r="E74" s="95"/>
      <c r="F74" s="96">
        <f>'Financials from CIP'!D58/1000</f>
        <v>2.8058170000000002</v>
      </c>
      <c r="G74" s="96">
        <f>'Financials from CIP'!E58/1000</f>
        <v>2.3607100000000001</v>
      </c>
      <c r="H74" s="90"/>
      <c r="I74" s="90"/>
      <c r="J74" s="90"/>
      <c r="K74" s="90"/>
      <c r="L74" s="90"/>
    </row>
    <row r="75" spans="1:12" ht="13.5" customHeight="1" outlineLevel="1">
      <c r="A75" s="82"/>
      <c r="C75" s="91" t="s">
        <v>38</v>
      </c>
      <c r="D75" s="95"/>
      <c r="E75" s="95"/>
      <c r="F75" s="96">
        <f>'Financials from CIP'!D59/1000</f>
        <v>2.3839329999999999</v>
      </c>
      <c r="G75" s="96">
        <f>'Financials from CIP'!E59/1000</f>
        <v>2.7880379999999998</v>
      </c>
      <c r="H75" s="90"/>
      <c r="I75" s="90"/>
      <c r="J75" s="90"/>
      <c r="K75" s="90"/>
      <c r="L75" s="90"/>
    </row>
    <row r="76" spans="1:12" ht="13.5" customHeight="1" outlineLevel="1">
      <c r="A76" s="82"/>
      <c r="C76" s="91" t="s">
        <v>39</v>
      </c>
      <c r="D76" s="95"/>
      <c r="E76" s="95"/>
      <c r="F76" s="96">
        <f>'Financials from CIP'!D60/1000</f>
        <v>2.0579079999999998</v>
      </c>
      <c r="G76" s="96">
        <f>'Financials from CIP'!E60/1000</f>
        <v>3.2020309999999998</v>
      </c>
      <c r="H76" s="90"/>
      <c r="I76" s="90"/>
      <c r="J76" s="90"/>
      <c r="K76" s="90"/>
      <c r="L76" s="90"/>
    </row>
    <row r="77" spans="1:12" ht="13.5" customHeight="1" outlineLevel="1">
      <c r="A77" s="82"/>
      <c r="C77" s="76" t="s">
        <v>40</v>
      </c>
      <c r="D77" s="77"/>
      <c r="E77" s="77"/>
      <c r="F77" s="93">
        <f>SUM(F74:F76)</f>
        <v>7.2476579999999995</v>
      </c>
      <c r="G77" s="93">
        <f>SUM(G74:G76)</f>
        <v>8.3507789999999993</v>
      </c>
      <c r="H77" s="94"/>
      <c r="I77" s="94"/>
      <c r="J77" s="94"/>
      <c r="K77" s="94"/>
      <c r="L77" s="94"/>
    </row>
    <row r="78" spans="1:12" ht="13.5" customHeight="1" outlineLevel="1">
      <c r="A78" s="82"/>
      <c r="C78" s="91" t="s">
        <v>41</v>
      </c>
      <c r="D78" s="95"/>
      <c r="E78" s="95"/>
      <c r="F78" s="96">
        <f>'Financials from CIP'!D63/1000</f>
        <v>0.64588299999999998</v>
      </c>
      <c r="G78" s="96">
        <f>'Financials from CIP'!E63/1000</f>
        <v>1.2892999999999999</v>
      </c>
      <c r="H78" s="97"/>
      <c r="I78" s="97"/>
      <c r="J78" s="97"/>
      <c r="K78" s="97"/>
      <c r="L78" s="97"/>
    </row>
    <row r="79" spans="1:12" ht="13.5" customHeight="1" outlineLevel="1">
      <c r="A79" s="82"/>
      <c r="C79" s="91" t="s">
        <v>42</v>
      </c>
      <c r="D79" s="95"/>
      <c r="E79" s="95"/>
      <c r="F79" s="96">
        <f>'Financials from CIP'!D64/1000</f>
        <v>18.943222000000002</v>
      </c>
      <c r="G79" s="96">
        <f>'Financials from CIP'!E64/1000</f>
        <v>12.001450999999999</v>
      </c>
      <c r="H79" s="94"/>
      <c r="I79" s="94"/>
      <c r="J79" s="94"/>
      <c r="K79" s="94"/>
      <c r="L79" s="94"/>
    </row>
    <row r="80" spans="1:12" ht="13.5" customHeight="1" outlineLevel="1">
      <c r="A80" s="82"/>
      <c r="C80" s="91" t="s">
        <v>90</v>
      </c>
      <c r="D80" s="95"/>
      <c r="E80" s="95"/>
      <c r="F80" s="96">
        <f>'Financials from CIP'!D65/1000</f>
        <v>0.54533299999999996</v>
      </c>
      <c r="G80" s="96">
        <f>'Financials from CIP'!E65/1000</f>
        <v>8.5337999999999997E-2</v>
      </c>
      <c r="H80" s="97"/>
      <c r="I80" s="97"/>
      <c r="J80" s="97"/>
      <c r="K80" s="97"/>
      <c r="L80" s="97"/>
    </row>
    <row r="81" spans="1:19" ht="13.5" customHeight="1" outlineLevel="1">
      <c r="A81" s="82"/>
      <c r="C81" s="91" t="s">
        <v>91</v>
      </c>
      <c r="D81" s="95"/>
      <c r="E81" s="95"/>
      <c r="F81" s="96">
        <f>'Financials from CIP'!D66/1000</f>
        <v>9.2447999999999989E-2</v>
      </c>
      <c r="G81" s="96">
        <f>'Financials from CIP'!E66/1000</f>
        <v>1.2666999999999999E-2</v>
      </c>
      <c r="H81" s="97"/>
      <c r="I81" s="97"/>
      <c r="J81" s="97"/>
      <c r="K81" s="97"/>
      <c r="L81" s="97"/>
    </row>
    <row r="82" spans="1:19" ht="13.5" customHeight="1" outlineLevel="1">
      <c r="A82" s="82"/>
      <c r="C82" s="76" t="s">
        <v>92</v>
      </c>
      <c r="D82" s="77"/>
      <c r="E82" s="77"/>
      <c r="F82" s="93">
        <f>SUM(F78:F81)</f>
        <v>20.226886000000004</v>
      </c>
      <c r="G82" s="93">
        <f>SUM(G78:G81)</f>
        <v>13.388756000000001</v>
      </c>
      <c r="H82" s="94"/>
      <c r="I82" s="94"/>
      <c r="J82" s="94"/>
      <c r="K82" s="94"/>
      <c r="L82" s="94"/>
    </row>
    <row r="83" spans="1:19" ht="13.5" customHeight="1" outlineLevel="1">
      <c r="A83" s="82"/>
      <c r="C83" s="68" t="s">
        <v>93</v>
      </c>
      <c r="F83" s="96">
        <f>'Financials from CIP'!D67/1000</f>
        <v>0.41787400000000002</v>
      </c>
      <c r="G83" s="96">
        <f>'Financials from CIP'!E67/1000</f>
        <v>0.42988799999999999</v>
      </c>
      <c r="H83" s="97"/>
      <c r="I83" s="97"/>
      <c r="J83" s="97"/>
      <c r="K83" s="97"/>
      <c r="L83" s="97"/>
      <c r="M83" s="82"/>
    </row>
    <row r="84" spans="1:19" ht="13.5" customHeight="1" outlineLevel="1">
      <c r="A84" s="82"/>
      <c r="C84" s="76" t="s">
        <v>94</v>
      </c>
      <c r="D84" s="77"/>
      <c r="E84" s="77"/>
      <c r="F84" s="93">
        <f>SUM(F77,F82:F83)</f>
        <v>27.892418000000003</v>
      </c>
      <c r="G84" s="93">
        <f>SUM(G77,G82:G83)</f>
        <v>22.169422999999998</v>
      </c>
      <c r="H84" s="94"/>
      <c r="I84" s="94"/>
      <c r="J84" s="94"/>
      <c r="K84" s="94"/>
      <c r="L84" s="94"/>
      <c r="M84" s="82"/>
    </row>
    <row r="85" spans="1:19" ht="13.5" customHeight="1" outlineLevel="1">
      <c r="A85" s="82"/>
      <c r="C85" s="98" t="s">
        <v>47</v>
      </c>
      <c r="F85" s="96">
        <f>'Financials from CIP'!D71/1000</f>
        <v>7.7836338279007267</v>
      </c>
      <c r="G85" s="96">
        <f>'Financials from CIP'!E71/1000</f>
        <v>8.9161157153081838</v>
      </c>
      <c r="H85" s="97"/>
      <c r="I85" s="97"/>
      <c r="J85" s="97"/>
      <c r="K85" s="97"/>
      <c r="L85" s="97"/>
      <c r="M85" s="82"/>
    </row>
    <row r="86" spans="1:19" ht="13.5" customHeight="1" outlineLevel="1">
      <c r="A86" s="82"/>
      <c r="C86" s="98" t="s">
        <v>48</v>
      </c>
      <c r="F86" s="96">
        <f>'Financials from CIP'!D72/1000</f>
        <v>48.248887000000003</v>
      </c>
      <c r="G86" s="96">
        <f>'Financials from CIP'!E72/1000</f>
        <v>55.852504780500006</v>
      </c>
      <c r="H86" s="97"/>
      <c r="I86" s="97"/>
      <c r="J86" s="97"/>
      <c r="K86" s="97"/>
      <c r="L86" s="97"/>
      <c r="M86" s="82"/>
    </row>
    <row r="87" spans="1:19" ht="13.5" customHeight="1" outlineLevel="1">
      <c r="A87" s="82"/>
      <c r="C87" s="100" t="s">
        <v>95</v>
      </c>
      <c r="D87" s="101"/>
      <c r="E87" s="101"/>
      <c r="F87" s="105">
        <f>SUM(F84:F86)</f>
        <v>83.924938827900732</v>
      </c>
      <c r="G87" s="105">
        <f>SUM(G84:G86)</f>
        <v>86.938043495808188</v>
      </c>
      <c r="H87" s="103"/>
      <c r="I87" s="103"/>
      <c r="J87" s="103"/>
      <c r="K87" s="103"/>
      <c r="L87" s="103"/>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82"/>
      <c r="B89" s="110"/>
      <c r="C89" s="111"/>
      <c r="D89" s="111"/>
      <c r="E89" s="111"/>
      <c r="F89" s="112"/>
      <c r="G89" s="113"/>
      <c r="H89" s="113"/>
      <c r="I89" s="113"/>
      <c r="J89" s="113"/>
      <c r="K89" s="113"/>
      <c r="L89" s="113"/>
      <c r="M89" s="82"/>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2 Answer Key'!F13</f>
        <v>0</v>
      </c>
      <c r="G94" s="122">
        <f>'Financials from CIP'!E13/1000-'Step 2 Answer Key'!G13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2 Answer Key'!F15</f>
        <v>0</v>
      </c>
      <c r="G95" s="122">
        <f>'Financials from CIP'!E19/1000-'Step 2 Answer Key'!G15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2 Answer Key'!F18</f>
        <v>0</v>
      </c>
      <c r="G96" s="122">
        <f>'Financials from CIP'!E36/1000-'Step 2 Answer Key'!G18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2 Answer Key'!F33</f>
        <v>0</v>
      </c>
      <c r="G97" s="122">
        <f>'Financials from CIP'!E34/1000-'Step 2 Answer Key'!G33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2 Answer Key'!F60</f>
        <v>0</v>
      </c>
      <c r="G100" s="122">
        <f>'Financials from CIP'!E46/1000-'Step 2 Answer Key'!G60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2 Answer Key'!F64</f>
        <v>0</v>
      </c>
      <c r="G101" s="122">
        <f>'Financials from CIP'!E51/1000-'Step 2 Answer Key'!G64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2 Answer Key'!F70</f>
        <v>0</v>
      </c>
      <c r="G102" s="122">
        <f>'Financials from CIP'!E56/1000-'Step 2 Answer Key'!G70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2 Answer Key'!F77</f>
        <v>0</v>
      </c>
      <c r="G103" s="122">
        <f>'Financials from CIP'!E61/1000-'Step 2 Answer Key'!G77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2 Answer Key'!F84</f>
        <v>0</v>
      </c>
      <c r="G104" s="122">
        <f>'Financials from CIP'!E69/1000-'Step 2 Answer Key'!G84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2 Answer Key'!F85:F86)</f>
        <v>0</v>
      </c>
      <c r="G105" s="122">
        <f>'Financials from CIP'!E73/1000-SUM('Step 2 Answer Key'!G85:G86)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A114" s="125"/>
      <c r="B114" s="46" t="s">
        <v>61</v>
      </c>
      <c r="C114" s="47" t="s">
        <v>124</v>
      </c>
      <c r="D114" s="48"/>
      <c r="E114" s="49"/>
      <c r="F114" s="49"/>
      <c r="G114" s="49"/>
      <c r="H114" s="49"/>
      <c r="I114" s="49"/>
      <c r="J114" s="49"/>
      <c r="K114" s="49"/>
      <c r="L114" s="49"/>
      <c r="M114" s="50" t="s">
        <v>125</v>
      </c>
    </row>
    <row r="115" spans="1:13" ht="5.0999999999999996" customHeight="1">
      <c r="A115" s="125"/>
      <c r="M115" s="50"/>
    </row>
    <row r="116" spans="1:13" ht="13.5" customHeight="1">
      <c r="A116" s="125"/>
      <c r="C116" s="53"/>
      <c r="D116" s="53"/>
      <c r="E116" s="53"/>
      <c r="F116" s="143"/>
      <c r="G116" s="54"/>
      <c r="H116" s="55" t="s">
        <v>64</v>
      </c>
      <c r="I116" s="55"/>
      <c r="J116" s="55"/>
      <c r="K116" s="55"/>
      <c r="L116" s="55"/>
      <c r="M116" s="50"/>
    </row>
    <row r="117" spans="1:13" ht="13.5" customHeight="1" thickBot="1">
      <c r="A117" s="125"/>
      <c r="C117" s="56" t="s">
        <v>65</v>
      </c>
      <c r="D117" s="144" t="s">
        <v>126</v>
      </c>
      <c r="E117" s="57" t="s">
        <v>127</v>
      </c>
      <c r="F117" s="145" t="s">
        <v>128</v>
      </c>
      <c r="G117" s="58" t="s">
        <v>129</v>
      </c>
      <c r="H117" s="58">
        <f t="shared" ref="H117:L117" si="16">H$11</f>
        <v>46022</v>
      </c>
      <c r="I117" s="58">
        <f t="shared" si="16"/>
        <v>46387</v>
      </c>
      <c r="J117" s="58">
        <f t="shared" si="16"/>
        <v>46752</v>
      </c>
      <c r="K117" s="58">
        <f t="shared" si="16"/>
        <v>47118</v>
      </c>
      <c r="L117" s="58">
        <f t="shared" si="16"/>
        <v>47483</v>
      </c>
      <c r="M117" s="50"/>
    </row>
    <row r="118" spans="1:13" ht="13.5" customHeight="1">
      <c r="A118" s="125"/>
      <c r="M118" s="50"/>
    </row>
    <row r="119" spans="1:13" ht="13.5" customHeight="1">
      <c r="A119" s="125"/>
      <c r="C119" s="146">
        <f>G11</f>
        <v>45657</v>
      </c>
      <c r="D119" s="147">
        <f>G67</f>
        <v>55.684984</v>
      </c>
      <c r="E119" s="148">
        <v>10</v>
      </c>
      <c r="F119" s="149">
        <f>-G20</f>
        <v>-1.1617642799999999</v>
      </c>
      <c r="G119" s="150">
        <f>IFERROR(-D119/E119,"N/M")</f>
        <v>-5.5684984000000002</v>
      </c>
      <c r="H119" s="151">
        <f>-MIN(-$G119,$D119)</f>
        <v>-5.5684984000000002</v>
      </c>
      <c r="I119" s="151">
        <f>-MIN(-$H119,SUM($H119:H119,$D119))</f>
        <v>-5.5684984000000002</v>
      </c>
      <c r="J119" s="151">
        <f>-MIN(-$H119,SUM($H119:I119,$D119))</f>
        <v>-5.5684984000000002</v>
      </c>
      <c r="K119" s="151">
        <f>-MIN(-$H119,SUM($H119:J119,$D119))</f>
        <v>-5.5684984000000002</v>
      </c>
      <c r="L119" s="151">
        <f>-MIN(-$H119,SUM($H119:K119,$D119))</f>
        <v>-5.5684984000000002</v>
      </c>
      <c r="M119" s="50" t="s">
        <v>130</v>
      </c>
    </row>
    <row r="120" spans="1:13" ht="13.5" customHeight="1">
      <c r="C120" s="146">
        <f>H117</f>
        <v>46022</v>
      </c>
      <c r="D120" s="152"/>
      <c r="E120" s="153"/>
      <c r="F120" s="68"/>
      <c r="G120" s="154"/>
      <c r="H120" s="154"/>
      <c r="I120" s="154"/>
      <c r="J120" s="154"/>
      <c r="K120" s="154"/>
      <c r="L120" s="154"/>
      <c r="M120" s="50"/>
    </row>
    <row r="121" spans="1:13" ht="13.5" customHeight="1">
      <c r="C121" s="146">
        <f>I117</f>
        <v>46387</v>
      </c>
      <c r="D121" s="152"/>
      <c r="E121" s="153"/>
      <c r="F121" s="68"/>
      <c r="G121" s="154"/>
      <c r="H121" s="68"/>
      <c r="I121" s="154"/>
      <c r="J121" s="154"/>
      <c r="K121" s="154"/>
      <c r="L121" s="154"/>
      <c r="M121" s="50"/>
    </row>
    <row r="122" spans="1:13" ht="13.5" customHeight="1">
      <c r="C122" s="146">
        <f>J117</f>
        <v>46752</v>
      </c>
      <c r="D122" s="152"/>
      <c r="E122" s="153"/>
      <c r="F122" s="68"/>
      <c r="G122" s="154"/>
      <c r="H122" s="68"/>
      <c r="I122" s="68"/>
      <c r="J122" s="154"/>
      <c r="K122" s="154"/>
      <c r="L122" s="154"/>
      <c r="M122" s="50"/>
    </row>
    <row r="123" spans="1:13" ht="13.5" customHeight="1">
      <c r="C123" s="146">
        <f>K117</f>
        <v>47118</v>
      </c>
      <c r="D123" s="152"/>
      <c r="E123" s="153"/>
      <c r="F123" s="68"/>
      <c r="G123" s="154"/>
      <c r="H123" s="68"/>
      <c r="I123" s="68"/>
      <c r="J123" s="68"/>
      <c r="K123" s="154"/>
      <c r="L123" s="154"/>
      <c r="M123" s="50"/>
    </row>
    <row r="124" spans="1:13" ht="13.5" customHeight="1">
      <c r="C124" s="146">
        <f>L117</f>
        <v>47483</v>
      </c>
      <c r="D124" s="152"/>
      <c r="E124" s="153"/>
      <c r="F124" s="68"/>
      <c r="G124" s="154"/>
      <c r="H124" s="68"/>
      <c r="I124" s="68"/>
      <c r="J124" s="68"/>
      <c r="K124" s="68"/>
      <c r="L124" s="154"/>
      <c r="M124" s="50"/>
    </row>
    <row r="125" spans="1:13" ht="13.5" customHeight="1">
      <c r="C125" s="68"/>
      <c r="D125" s="155"/>
    </row>
    <row r="126" spans="1:13" ht="13.5" customHeight="1">
      <c r="C126" s="39" t="s">
        <v>131</v>
      </c>
      <c r="H126" s="156">
        <f>-SUM(H119:H125)</f>
        <v>5.5684984000000002</v>
      </c>
      <c r="I126" s="156">
        <f t="shared" ref="I126:L126" si="17">-SUM(I119:I125)</f>
        <v>5.5684984000000002</v>
      </c>
      <c r="J126" s="156">
        <f t="shared" si="17"/>
        <v>5.5684984000000002</v>
      </c>
      <c r="K126" s="156">
        <f t="shared" si="17"/>
        <v>5.5684984000000002</v>
      </c>
      <c r="L126" s="156">
        <f t="shared" si="17"/>
        <v>5.5684984000000002</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F7706-ABE4-4CC8-8102-98D9A87AD0C2}">
  <sheetPr>
    <outlinePr summaryBelow="0"/>
    <pageSetUpPr fitToPage="1"/>
  </sheetPr>
  <dimension ref="A1:S147"/>
  <sheetViews>
    <sheetView showGridLines="0" tabSelected="1" zoomScale="115" zoomScaleNormal="115" zoomScaleSheetLayoutView="85" workbookViewId="0">
      <selection activeCell="C2" sqref="C2"/>
    </sheetView>
  </sheetViews>
  <sheetFormatPr defaultColWidth="9.140625" defaultRowHeight="13.5" customHeight="1" outlineLevelRow="1"/>
  <cols>
    <col min="1" max="1" width="0.85546875" style="29" customWidth="1"/>
    <col min="2" max="2" width="2.7109375" style="29" customWidth="1"/>
    <col min="3" max="3" width="11.7109375" style="29" customWidth="1"/>
    <col min="4" max="4" width="13.42578125" style="29" customWidth="1"/>
    <col min="5" max="5" width="14.85546875" style="29" customWidth="1"/>
    <col min="6" max="7" width="11.7109375" style="29" customWidth="1"/>
    <col min="8" max="12" width="13" style="29" customWidth="1"/>
    <col min="13" max="16384" width="9.140625" style="29"/>
  </cols>
  <sheetData>
    <row r="1" spans="2:13" ht="13.5" customHeight="1">
      <c r="C1" s="30"/>
      <c r="E1" s="31"/>
      <c r="F1" s="31"/>
      <c r="G1" s="31"/>
    </row>
    <row r="2" spans="2:13" ht="21" outlineLevel="1">
      <c r="B2" s="32"/>
      <c r="C2" s="33" t="s">
        <v>54</v>
      </c>
      <c r="D2" s="34"/>
      <c r="E2" s="35"/>
      <c r="F2" s="35"/>
      <c r="G2" s="36"/>
      <c r="H2" s="36"/>
      <c r="I2" s="36"/>
      <c r="J2" s="36"/>
      <c r="K2" s="36"/>
      <c r="L2" s="36"/>
    </row>
    <row r="3" spans="2:13" ht="13.5" customHeight="1" outlineLevel="1">
      <c r="C3" s="37" t="s">
        <v>132</v>
      </c>
      <c r="D3" s="34"/>
      <c r="E3" s="38"/>
      <c r="F3" s="38"/>
      <c r="G3" s="38"/>
      <c r="H3" s="34"/>
      <c r="I3" s="34"/>
      <c r="J3" s="34"/>
      <c r="K3" s="34"/>
      <c r="L3" s="34"/>
    </row>
    <row r="4" spans="2:13" ht="13.5" customHeight="1" outlineLevel="1">
      <c r="C4" s="37"/>
      <c r="D4" s="34"/>
      <c r="E4" s="38"/>
      <c r="F4" s="38"/>
      <c r="G4" s="38"/>
      <c r="H4" s="34"/>
      <c r="I4" s="34"/>
      <c r="J4" s="34"/>
      <c r="K4" s="34"/>
      <c r="L4" s="34"/>
    </row>
    <row r="5" spans="2:13" ht="13.5" customHeight="1" outlineLevel="1">
      <c r="C5" s="30"/>
      <c r="E5" s="31"/>
      <c r="F5" s="31"/>
      <c r="G5" s="31"/>
      <c r="I5" s="39"/>
      <c r="J5" s="39" t="s">
        <v>56</v>
      </c>
    </row>
    <row r="6" spans="2:13" ht="13.5" customHeight="1" outlineLevel="1">
      <c r="C6" s="40" t="s">
        <v>57</v>
      </c>
      <c r="D6" s="41"/>
      <c r="E6" s="42"/>
      <c r="F6" s="43" t="s">
        <v>58</v>
      </c>
      <c r="G6" s="43"/>
      <c r="I6" s="44"/>
      <c r="J6" s="44" t="s">
        <v>59</v>
      </c>
    </row>
    <row r="7" spans="2:13" ht="13.5" customHeight="1" outlineLevel="1" thickBot="1">
      <c r="C7" s="30"/>
      <c r="E7" s="31"/>
      <c r="F7" s="31"/>
      <c r="G7" s="31"/>
      <c r="I7" s="45"/>
      <c r="J7" s="45" t="s">
        <v>60</v>
      </c>
    </row>
    <row r="8" spans="2:13" ht="21.75" thickTop="1">
      <c r="B8" s="46" t="s">
        <v>61</v>
      </c>
      <c r="C8" s="47" t="s">
        <v>3</v>
      </c>
      <c r="D8" s="48"/>
      <c r="E8" s="49"/>
      <c r="F8" s="49"/>
      <c r="G8" s="49"/>
      <c r="H8" s="49"/>
      <c r="I8" s="49"/>
      <c r="J8" s="49"/>
      <c r="K8" s="49"/>
      <c r="L8" s="49"/>
      <c r="M8" s="50"/>
    </row>
    <row r="9" spans="2:13" ht="5.0999999999999996" customHeight="1" outlineLevel="1">
      <c r="C9" s="51"/>
      <c r="D9" s="52"/>
    </row>
    <row r="10" spans="2:13" ht="13.5" customHeight="1" outlineLevel="1">
      <c r="C10" s="53"/>
      <c r="D10" s="53"/>
      <c r="E10" s="53"/>
      <c r="F10" s="54" t="s">
        <v>63</v>
      </c>
      <c r="G10" s="54" t="s">
        <v>63</v>
      </c>
      <c r="H10" s="55" t="s">
        <v>64</v>
      </c>
      <c r="I10" s="55"/>
      <c r="J10" s="55"/>
      <c r="K10" s="55"/>
      <c r="L10" s="55"/>
    </row>
    <row r="11" spans="2:13" ht="13.5" customHeight="1" outlineLevel="1" thickBot="1">
      <c r="C11" s="56" t="s">
        <v>65</v>
      </c>
      <c r="D11" s="57"/>
      <c r="E11" s="57"/>
      <c r="F11" s="58">
        <f>EOMONTH(G11,-12)</f>
        <v>45291</v>
      </c>
      <c r="G11" s="58">
        <v>45657</v>
      </c>
      <c r="H11" s="58">
        <f t="shared" ref="H11:L11" si="0">EOMONTH(G11,12)</f>
        <v>46022</v>
      </c>
      <c r="I11" s="58">
        <f t="shared" si="0"/>
        <v>46387</v>
      </c>
      <c r="J11" s="58">
        <f t="shared" si="0"/>
        <v>46752</v>
      </c>
      <c r="K11" s="58">
        <f t="shared" si="0"/>
        <v>47118</v>
      </c>
      <c r="L11" s="58">
        <f t="shared" si="0"/>
        <v>47483</v>
      </c>
    </row>
    <row r="12" spans="2:13" ht="5.0999999999999996" customHeight="1" outlineLevel="1">
      <c r="C12" s="59"/>
      <c r="D12" s="59"/>
      <c r="E12" s="59"/>
      <c r="F12" s="60"/>
      <c r="G12" s="60"/>
      <c r="H12" s="60"/>
      <c r="I12" s="60"/>
      <c r="J12" s="60"/>
      <c r="K12" s="60"/>
    </row>
    <row r="13" spans="2:13" ht="13.5" customHeight="1" outlineLevel="1">
      <c r="C13" s="61" t="s">
        <v>7</v>
      </c>
      <c r="D13" s="61"/>
      <c r="E13" s="61"/>
      <c r="F13" s="126">
        <f>'Financials from CIP'!D13/1000</f>
        <v>78.565675999999996</v>
      </c>
      <c r="G13" s="126">
        <f>'Financials from CIP'!E13/1000</f>
        <v>90.614007999999998</v>
      </c>
      <c r="H13" s="158">
        <f>(1+H41)*G13</f>
        <v>104.5099955077592</v>
      </c>
      <c r="I13" s="158">
        <f>(1+I41)*H13</f>
        <v>120.53698321160066</v>
      </c>
      <c r="J13" s="158">
        <f>(1+J41)*I13</f>
        <v>135.4056582414087</v>
      </c>
      <c r="K13" s="158">
        <f>(1+K41)*J13</f>
        <v>148.04626863637753</v>
      </c>
      <c r="L13" s="158">
        <f>(1+L41)*K13</f>
        <v>157.42553790111026</v>
      </c>
      <c r="M13" s="50"/>
    </row>
    <row r="14" spans="2:13" ht="13.5" customHeight="1" outlineLevel="1">
      <c r="C14" s="63" t="s">
        <v>66</v>
      </c>
      <c r="D14" s="63"/>
      <c r="E14" s="63"/>
      <c r="F14" s="128">
        <f>SUM('Financials from CIP'!D15:D17)/1000</f>
        <v>51.562188999999996</v>
      </c>
      <c r="G14" s="128">
        <f>SUM('Financials from CIP'!E15:E17)/1000</f>
        <v>61.618676000000001</v>
      </c>
      <c r="H14" s="149">
        <f>H43*H13</f>
        <v>69.828708282059708</v>
      </c>
      <c r="I14" s="149">
        <f>I43*I13</f>
        <v>80.537194523728473</v>
      </c>
      <c r="J14" s="149">
        <f>J43*J13</f>
        <v>90.471750220079329</v>
      </c>
      <c r="K14" s="149">
        <f>K43*K13</f>
        <v>98.917616966977391</v>
      </c>
      <c r="L14" s="149">
        <f>L43*L13</f>
        <v>105.18440756632523</v>
      </c>
      <c r="M14" s="50"/>
    </row>
    <row r="15" spans="2:13" ht="13.5" customHeight="1" outlineLevel="1">
      <c r="C15" s="65" t="s">
        <v>67</v>
      </c>
      <c r="D15" s="65"/>
      <c r="E15" s="65"/>
      <c r="F15" s="66">
        <f t="shared" ref="F15:L15" si="1">F13-F14</f>
        <v>27.003487</v>
      </c>
      <c r="G15" s="66">
        <f t="shared" si="1"/>
        <v>28.995331999999998</v>
      </c>
      <c r="H15" s="66">
        <f t="shared" si="1"/>
        <v>34.681287225699492</v>
      </c>
      <c r="I15" s="66">
        <f t="shared" si="1"/>
        <v>39.999788687872183</v>
      </c>
      <c r="J15" s="66">
        <f t="shared" si="1"/>
        <v>44.933908021329373</v>
      </c>
      <c r="K15" s="66">
        <f t="shared" si="1"/>
        <v>49.128651669400142</v>
      </c>
      <c r="L15" s="66">
        <f t="shared" si="1"/>
        <v>52.241130334785026</v>
      </c>
      <c r="M15" s="50"/>
    </row>
    <row r="16" spans="2:13" ht="13.5" customHeight="1" outlineLevel="1">
      <c r="C16" s="67" t="s">
        <v>68</v>
      </c>
      <c r="D16" s="68"/>
      <c r="E16" s="68"/>
      <c r="F16" s="69">
        <f>IFERROR(F15/F$13,"N/M")</f>
        <v>0.34370590790818117</v>
      </c>
      <c r="G16" s="69">
        <f>IFERROR(G15/G$13,"N/M")</f>
        <v>0.31998730262543951</v>
      </c>
      <c r="H16" s="69">
        <f t="shared" ref="H16:L16" si="2">IFERROR(H15/H$13,"N/M")</f>
        <v>0.33184660526681037</v>
      </c>
      <c r="I16" s="69">
        <f t="shared" si="2"/>
        <v>0.33184660526681031</v>
      </c>
      <c r="J16" s="69">
        <f t="shared" si="2"/>
        <v>0.33184660526681031</v>
      </c>
      <c r="K16" s="69">
        <f t="shared" si="2"/>
        <v>0.33184660526681037</v>
      </c>
      <c r="L16" s="69">
        <f t="shared" si="2"/>
        <v>0.33184660526681031</v>
      </c>
      <c r="M16" s="50"/>
    </row>
    <row r="17" spans="3:13" ht="13.5" customHeight="1" outlineLevel="1">
      <c r="C17" s="63" t="s">
        <v>69</v>
      </c>
      <c r="D17" s="63"/>
      <c r="E17" s="63"/>
      <c r="F17" s="128">
        <f>SUM('Financials from CIP'!D23:D24,'Financials from CIP'!D28)/1000</f>
        <v>14.179914999999999</v>
      </c>
      <c r="G17" s="128">
        <f>SUM('Financials from CIP'!E23:E24,'Financials from CIP'!E28)/1000</f>
        <v>15.4366889395</v>
      </c>
      <c r="H17" s="149">
        <f>H44*H13</f>
        <v>18.333216581804578</v>
      </c>
      <c r="I17" s="149">
        <f t="shared" ref="I17:L17" si="3">I44*I13</f>
        <v>21.144681985672378</v>
      </c>
      <c r="J17" s="149">
        <f t="shared" si="3"/>
        <v>23.752955369300096</v>
      </c>
      <c r="K17" s="149">
        <f t="shared" si="3"/>
        <v>25.970380094765407</v>
      </c>
      <c r="L17" s="149">
        <f t="shared" si="3"/>
        <v>27.615698075825332</v>
      </c>
      <c r="M17" s="50"/>
    </row>
    <row r="18" spans="3:13" ht="13.5" customHeight="1" outlineLevel="1">
      <c r="C18" s="70" t="s">
        <v>70</v>
      </c>
      <c r="D18" s="70"/>
      <c r="E18" s="70"/>
      <c r="F18" s="71">
        <f t="shared" ref="F18:L18" si="4">F15-F17</f>
        <v>12.823572</v>
      </c>
      <c r="G18" s="71">
        <f t="shared" si="4"/>
        <v>13.558643060499998</v>
      </c>
      <c r="H18" s="71">
        <f t="shared" si="4"/>
        <v>16.348070643894914</v>
      </c>
      <c r="I18" s="71">
        <f t="shared" si="4"/>
        <v>18.855106702199805</v>
      </c>
      <c r="J18" s="71">
        <f t="shared" si="4"/>
        <v>21.180952652029276</v>
      </c>
      <c r="K18" s="71">
        <f t="shared" si="4"/>
        <v>23.158271574634735</v>
      </c>
      <c r="L18" s="71">
        <f t="shared" si="4"/>
        <v>24.625432258959695</v>
      </c>
      <c r="M18" s="50"/>
    </row>
    <row r="19" spans="3:13" ht="13.5" customHeight="1" outlineLevel="1">
      <c r="C19" s="67" t="s">
        <v>71</v>
      </c>
      <c r="D19" s="39"/>
      <c r="E19" s="39"/>
      <c r="F19" s="69">
        <f>IFERROR(F18/F$13,"N/M")</f>
        <v>0.16322104833668077</v>
      </c>
      <c r="G19" s="69">
        <f>IFERROR(G18/G$13,"N/M")</f>
        <v>0.1496307619512868</v>
      </c>
      <c r="H19" s="69">
        <f t="shared" ref="H19:L19" si="5">IFERROR(H18/H$13,"N/M")</f>
        <v>0.1564259051439838</v>
      </c>
      <c r="I19" s="69">
        <f t="shared" si="5"/>
        <v>0.15642590514398375</v>
      </c>
      <c r="J19" s="69">
        <f t="shared" si="5"/>
        <v>0.15642590514398372</v>
      </c>
      <c r="K19" s="69">
        <f t="shared" si="5"/>
        <v>0.1564259051439838</v>
      </c>
      <c r="L19" s="69">
        <f t="shared" si="5"/>
        <v>0.15642590514398377</v>
      </c>
      <c r="M19" s="50"/>
    </row>
    <row r="20" spans="3:13" ht="13.5" customHeight="1" outlineLevel="1">
      <c r="C20" s="63" t="s">
        <v>15</v>
      </c>
      <c r="D20" s="63"/>
      <c r="E20" s="63"/>
      <c r="F20" s="128">
        <f>'Financials from CIP'!D25/1000</f>
        <v>1.1801621</v>
      </c>
      <c r="G20" s="128">
        <f>'Financials from CIP'!E25/1000</f>
        <v>1.1617642799999999</v>
      </c>
      <c r="H20" s="149">
        <f>H126</f>
        <v>5.5684984000000002</v>
      </c>
      <c r="I20" s="149">
        <f t="shared" ref="I20:L20" si="6">I126</f>
        <v>5.5684984000000002</v>
      </c>
      <c r="J20" s="149">
        <f t="shared" si="6"/>
        <v>5.5684984000000002</v>
      </c>
      <c r="K20" s="149">
        <f t="shared" si="6"/>
        <v>5.5684984000000002</v>
      </c>
      <c r="L20" s="149">
        <f t="shared" si="6"/>
        <v>5.5684984000000002</v>
      </c>
      <c r="M20" s="50"/>
    </row>
    <row r="21" spans="3:13" ht="13.5" customHeight="1" outlineLevel="1">
      <c r="C21" s="63" t="s">
        <v>16</v>
      </c>
      <c r="D21" s="63"/>
      <c r="E21" s="63"/>
      <c r="F21" s="128">
        <f>'Financials from CIP'!D26/1000</f>
        <v>0.208264</v>
      </c>
      <c r="G21" s="128">
        <f>'Financials from CIP'!E26/1000</f>
        <v>0.237952</v>
      </c>
      <c r="H21" s="159">
        <f>MIN(G21,G69)</f>
        <v>0.237952</v>
      </c>
      <c r="I21" s="159">
        <f t="shared" ref="I21:L21" si="7">MIN(H21,H69)</f>
        <v>0.237952</v>
      </c>
      <c r="J21" s="159">
        <f t="shared" si="7"/>
        <v>0.237952</v>
      </c>
      <c r="K21" s="159">
        <f t="shared" si="7"/>
        <v>0.237952</v>
      </c>
      <c r="L21" s="159">
        <f t="shared" si="7"/>
        <v>0.237952</v>
      </c>
      <c r="M21" s="50"/>
    </row>
    <row r="22" spans="3:13" ht="13.5" customHeight="1" outlineLevel="1">
      <c r="C22" s="70" t="s">
        <v>72</v>
      </c>
      <c r="D22" s="70"/>
      <c r="E22" s="70"/>
      <c r="F22" s="71">
        <f>F18-SUM(F20:F21)</f>
        <v>11.4351459</v>
      </c>
      <c r="G22" s="71">
        <f>G18-SUM(G20:G21)</f>
        <v>12.158926780499998</v>
      </c>
      <c r="H22" s="71">
        <f t="shared" ref="H22:L22" si="8">H18-SUM(H20:H21)</f>
        <v>10.541620243894915</v>
      </c>
      <c r="I22" s="71">
        <f t="shared" si="8"/>
        <v>13.048656302199806</v>
      </c>
      <c r="J22" s="71">
        <f t="shared" si="8"/>
        <v>15.374502252029277</v>
      </c>
      <c r="K22" s="71">
        <f t="shared" si="8"/>
        <v>17.351821174634736</v>
      </c>
      <c r="L22" s="71">
        <f t="shared" si="8"/>
        <v>18.818981858959695</v>
      </c>
      <c r="M22" s="60"/>
    </row>
    <row r="23" spans="3:13" ht="13.5" customHeight="1" outlineLevel="1">
      <c r="C23" s="72" t="s">
        <v>73</v>
      </c>
      <c r="D23" s="39"/>
      <c r="E23" s="39"/>
      <c r="F23" s="45"/>
      <c r="G23" s="73"/>
      <c r="H23" s="73"/>
      <c r="I23" s="73"/>
      <c r="J23" s="73"/>
      <c r="K23" s="73"/>
      <c r="L23" s="73"/>
      <c r="M23" s="60"/>
    </row>
    <row r="24" spans="3:13" ht="13.5" customHeight="1" outlineLevel="1">
      <c r="C24" s="74" t="s">
        <v>74</v>
      </c>
      <c r="D24" s="39"/>
      <c r="E24" s="39"/>
      <c r="F24" s="45"/>
      <c r="G24" s="75"/>
      <c r="H24" s="160"/>
      <c r="I24" s="160"/>
      <c r="J24" s="160"/>
      <c r="K24" s="160"/>
      <c r="L24" s="160"/>
      <c r="M24" s="60"/>
    </row>
    <row r="25" spans="3:13" ht="13.5" customHeight="1" outlineLevel="1">
      <c r="C25" s="74" t="s">
        <v>75</v>
      </c>
      <c r="D25" s="39"/>
      <c r="E25" s="39"/>
      <c r="F25" s="45"/>
      <c r="G25" s="75"/>
      <c r="H25" s="160"/>
      <c r="I25" s="160"/>
      <c r="J25" s="160"/>
      <c r="K25" s="160"/>
      <c r="L25" s="160"/>
      <c r="M25" s="60"/>
    </row>
    <row r="26" spans="3:13" ht="13.5" customHeight="1" outlineLevel="1">
      <c r="C26" s="74" t="str">
        <f>+C79</f>
        <v>Term Loan A</v>
      </c>
      <c r="D26" s="39"/>
      <c r="E26" s="39"/>
      <c r="F26" s="45"/>
      <c r="G26" s="75"/>
      <c r="H26" s="160"/>
      <c r="I26" s="160"/>
      <c r="J26" s="160"/>
      <c r="K26" s="160"/>
      <c r="L26" s="160"/>
      <c r="M26" s="60"/>
    </row>
    <row r="27" spans="3:13" ht="13.5" customHeight="1" outlineLevel="1">
      <c r="C27" s="74" t="str">
        <f t="shared" ref="C27:C28" si="9">+C80</f>
        <v>Subordinated - Note 1</v>
      </c>
      <c r="D27" s="39"/>
      <c r="E27" s="39"/>
      <c r="F27" s="45"/>
      <c r="G27" s="75"/>
      <c r="H27" s="160"/>
      <c r="I27" s="160"/>
      <c r="J27" s="160"/>
      <c r="K27" s="160"/>
      <c r="L27" s="160"/>
      <c r="M27" s="60"/>
    </row>
    <row r="28" spans="3:13" ht="13.5" customHeight="1" outlineLevel="1">
      <c r="C28" s="74" t="str">
        <f t="shared" si="9"/>
        <v>Subordinated - Note 2</v>
      </c>
      <c r="D28" s="39"/>
      <c r="E28" s="39"/>
      <c r="F28" s="45"/>
      <c r="G28" s="75"/>
      <c r="H28" s="160"/>
      <c r="I28" s="160"/>
      <c r="J28" s="160"/>
      <c r="K28" s="160"/>
      <c r="L28" s="160"/>
      <c r="M28" s="60"/>
    </row>
    <row r="29" spans="3:13" ht="13.5" customHeight="1" outlineLevel="1">
      <c r="C29" s="76" t="s">
        <v>73</v>
      </c>
      <c r="D29" s="77"/>
      <c r="E29" s="77"/>
      <c r="F29" s="131">
        <f>'Financials from CIP'!D27/1000</f>
        <v>2.224955</v>
      </c>
      <c r="G29" s="131">
        <f>'Financials from CIP'!E27/1000</f>
        <v>1.4727629999999998</v>
      </c>
      <c r="H29" s="93">
        <f>SUM(H24:H28)</f>
        <v>0</v>
      </c>
      <c r="I29" s="93">
        <f t="shared" ref="I29:L29" si="10">SUM(I24:I28)</f>
        <v>0</v>
      </c>
      <c r="J29" s="93">
        <f t="shared" si="10"/>
        <v>0</v>
      </c>
      <c r="K29" s="93">
        <f t="shared" si="10"/>
        <v>0</v>
      </c>
      <c r="L29" s="93">
        <f t="shared" si="10"/>
        <v>0</v>
      </c>
      <c r="M29" s="60"/>
    </row>
    <row r="30" spans="3:13" ht="13.5" customHeight="1" outlineLevel="1">
      <c r="C30" s="63" t="s">
        <v>76</v>
      </c>
      <c r="D30" s="63"/>
      <c r="E30" s="63"/>
      <c r="F30" s="128">
        <f>'Financials from CIP'!D32/1000</f>
        <v>0.147371</v>
      </c>
      <c r="G30" s="128">
        <f>'Financials from CIP'!E32/1000</f>
        <v>0.27343900000000004</v>
      </c>
      <c r="H30" s="159">
        <v>0</v>
      </c>
      <c r="I30" s="159">
        <v>0</v>
      </c>
      <c r="J30" s="159">
        <v>0</v>
      </c>
      <c r="K30" s="159">
        <v>0</v>
      </c>
      <c r="L30" s="159">
        <v>0</v>
      </c>
      <c r="M30" s="50"/>
    </row>
    <row r="31" spans="3:13" ht="13.5" customHeight="1" outlineLevel="1">
      <c r="C31" s="65" t="s">
        <v>77</v>
      </c>
      <c r="D31" s="65"/>
      <c r="E31" s="65"/>
      <c r="F31" s="66">
        <f>F22-F29-F30</f>
        <v>9.0628199000000009</v>
      </c>
      <c r="G31" s="66">
        <f>G22-G29-G30</f>
        <v>10.412724780499998</v>
      </c>
      <c r="H31" s="66">
        <f t="shared" ref="H31:L31" si="11">H22-H29-H30</f>
        <v>10.541620243894915</v>
      </c>
      <c r="I31" s="66">
        <f t="shared" si="11"/>
        <v>13.048656302199806</v>
      </c>
      <c r="J31" s="66">
        <f t="shared" si="11"/>
        <v>15.374502252029277</v>
      </c>
      <c r="K31" s="66">
        <f t="shared" si="11"/>
        <v>17.351821174634736</v>
      </c>
      <c r="L31" s="66">
        <f t="shared" si="11"/>
        <v>18.818981858959695</v>
      </c>
      <c r="M31" s="50"/>
    </row>
    <row r="32" spans="3:13" ht="13.5" customHeight="1" outlineLevel="1">
      <c r="C32" s="63" t="s">
        <v>78</v>
      </c>
      <c r="D32" s="63"/>
      <c r="E32" s="63"/>
      <c r="F32" s="128">
        <f>'Financials from CIP'!D29/1000</f>
        <v>3.2010390000000002</v>
      </c>
      <c r="G32" s="128">
        <f>'Financials from CIP'!E29/1000</f>
        <v>2.809107</v>
      </c>
      <c r="H32" s="149">
        <f>H46*H31</f>
        <v>3.2836197770826252</v>
      </c>
      <c r="I32" s="149">
        <f t="shared" ref="I32:L32" si="12">I46*I31</f>
        <v>4.0645389330042958</v>
      </c>
      <c r="J32" s="149">
        <f t="shared" si="12"/>
        <v>4.7890190017803063</v>
      </c>
      <c r="K32" s="149">
        <f t="shared" si="12"/>
        <v>5.4049360401148281</v>
      </c>
      <c r="L32" s="149">
        <f t="shared" si="12"/>
        <v>5.8619433812773574</v>
      </c>
      <c r="M32" s="50"/>
    </row>
    <row r="33" spans="1:13" ht="13.5" customHeight="1" outlineLevel="1">
      <c r="C33" s="79" t="s">
        <v>22</v>
      </c>
      <c r="D33" s="79"/>
      <c r="E33" s="79"/>
      <c r="F33" s="71">
        <f>F31-F32</f>
        <v>5.8617809000000012</v>
      </c>
      <c r="G33" s="71">
        <f>G31-G32</f>
        <v>7.6036177804999978</v>
      </c>
      <c r="H33" s="71">
        <f t="shared" ref="H33:L33" si="13">H31-H32</f>
        <v>7.2580004668122893</v>
      </c>
      <c r="I33" s="71">
        <f t="shared" si="13"/>
        <v>8.9841173691955092</v>
      </c>
      <c r="J33" s="71">
        <f t="shared" si="13"/>
        <v>10.58548325024897</v>
      </c>
      <c r="K33" s="71">
        <f t="shared" si="13"/>
        <v>11.946885134519908</v>
      </c>
      <c r="L33" s="71">
        <f t="shared" si="13"/>
        <v>12.957038477682339</v>
      </c>
      <c r="M33" s="60"/>
    </row>
    <row r="34" spans="1:13" ht="13.5" customHeight="1" outlineLevel="1">
      <c r="C34" s="67" t="s">
        <v>79</v>
      </c>
      <c r="D34" s="39"/>
      <c r="E34" s="39"/>
      <c r="F34" s="69">
        <f>IFERROR(F33/F$13,"N/M")</f>
        <v>7.4609946715153336E-2</v>
      </c>
      <c r="G34" s="69">
        <f>IFERROR(G33/G$13,"N/M")</f>
        <v>8.3912167095621659E-2</v>
      </c>
      <c r="H34" s="69">
        <f t="shared" ref="H34:L34" si="14">IFERROR(H33/H$13,"N/M")</f>
        <v>6.944790717432793E-2</v>
      </c>
      <c r="I34" s="69">
        <f t="shared" si="14"/>
        <v>7.4534115006213833E-2</v>
      </c>
      <c r="J34" s="69">
        <f t="shared" si="14"/>
        <v>7.8176077630202012E-2</v>
      </c>
      <c r="K34" s="69">
        <f t="shared" si="14"/>
        <v>8.0696968890605E-2</v>
      </c>
      <c r="L34" s="69">
        <f t="shared" si="14"/>
        <v>8.2305823123955527E-2</v>
      </c>
      <c r="M34" s="60"/>
    </row>
    <row r="35" spans="1:13" ht="13.5" customHeight="1" outlineLevel="1">
      <c r="C35" s="68"/>
      <c r="D35" s="68"/>
      <c r="E35" s="68"/>
      <c r="H35" s="60"/>
      <c r="I35" s="60"/>
      <c r="J35" s="60"/>
      <c r="K35" s="60"/>
      <c r="L35" s="60"/>
      <c r="M35" s="60"/>
    </row>
    <row r="36" spans="1:13" ht="13.5" customHeight="1" outlineLevel="1">
      <c r="A36" s="125"/>
      <c r="C36" s="80" t="s">
        <v>80</v>
      </c>
      <c r="D36" s="80"/>
      <c r="E36" s="80"/>
      <c r="G36" s="161"/>
      <c r="H36" s="162"/>
      <c r="I36" s="162"/>
      <c r="J36" s="162"/>
      <c r="K36" s="162"/>
      <c r="L36" s="162"/>
      <c r="M36" s="50" t="s">
        <v>133</v>
      </c>
    </row>
    <row r="37" spans="1:13" ht="5.0999999999999996" customHeight="1" outlineLevel="1" thickBot="1">
      <c r="A37" s="82"/>
      <c r="C37" s="83"/>
      <c r="D37" s="83"/>
      <c r="E37" s="83"/>
      <c r="F37" s="83"/>
      <c r="G37" s="83"/>
      <c r="H37" s="83"/>
      <c r="I37" s="83"/>
      <c r="J37" s="83"/>
      <c r="K37" s="83"/>
      <c r="L37" s="83"/>
    </row>
    <row r="38" spans="1:13" ht="13.5" customHeight="1" outlineLevel="1">
      <c r="A38" s="82"/>
    </row>
    <row r="39" spans="1:13" ht="13.5" customHeight="1" outlineLevel="1">
      <c r="C39" s="84" t="s">
        <v>114</v>
      </c>
      <c r="D39" s="85"/>
      <c r="E39" s="86"/>
      <c r="F39" s="86"/>
      <c r="G39" s="86"/>
      <c r="H39" s="86"/>
      <c r="I39" s="86"/>
      <c r="J39" s="86"/>
      <c r="K39" s="86"/>
      <c r="L39" s="87"/>
      <c r="M39" s="50"/>
    </row>
    <row r="40" spans="1:13" ht="13.5" customHeight="1" outlineLevel="1">
      <c r="C40" s="80"/>
      <c r="D40" s="80"/>
      <c r="E40" s="80"/>
      <c r="G40" s="81"/>
      <c r="H40" s="132"/>
      <c r="I40" s="132"/>
      <c r="J40" s="132"/>
      <c r="K40" s="132"/>
      <c r="L40" s="132"/>
      <c r="M40" s="50"/>
    </row>
    <row r="41" spans="1:13" ht="13.5" customHeight="1" outlineLevel="1">
      <c r="C41" s="68" t="s">
        <v>115</v>
      </c>
      <c r="D41" s="133"/>
      <c r="E41" s="133"/>
      <c r="F41" s="138"/>
      <c r="G41" s="138">
        <f>G13/F13-1</f>
        <v>0.15335363498940691</v>
      </c>
      <c r="H41" s="139">
        <f>G41</f>
        <v>0.15335363498940691</v>
      </c>
      <c r="I41" s="139">
        <f>H41</f>
        <v>0.15335363498940691</v>
      </c>
      <c r="J41" s="139">
        <f>I41-3%</f>
        <v>0.12335363498940691</v>
      </c>
      <c r="K41" s="139">
        <f>J41-3%</f>
        <v>9.3353634989406908E-2</v>
      </c>
      <c r="L41" s="139">
        <f>K41-3%</f>
        <v>6.335363498940691E-2</v>
      </c>
      <c r="M41" s="50"/>
    </row>
    <row r="42" spans="1:13" ht="13.5" customHeight="1" outlineLevel="1">
      <c r="C42" s="80"/>
      <c r="D42" s="80"/>
      <c r="E42" s="80"/>
      <c r="F42" s="147"/>
      <c r="G42" s="147"/>
      <c r="H42" s="81"/>
      <c r="I42" s="81"/>
      <c r="J42" s="81"/>
      <c r="K42" s="81"/>
      <c r="L42" s="81"/>
      <c r="M42" s="50"/>
    </row>
    <row r="43" spans="1:13" ht="13.5" customHeight="1" outlineLevel="1">
      <c r="C43" s="68" t="s">
        <v>117</v>
      </c>
      <c r="D43" s="80"/>
      <c r="E43" s="80"/>
      <c r="F43" s="138">
        <f>F14/F13</f>
        <v>0.65629409209181877</v>
      </c>
      <c r="G43" s="138">
        <f>G14/G13</f>
        <v>0.68001269737456049</v>
      </c>
      <c r="H43" s="139">
        <f>AVERAGE(F43:G43)</f>
        <v>0.66815339473318969</v>
      </c>
      <c r="I43" s="139">
        <f t="shared" ref="I43:L44" si="15">H43</f>
        <v>0.66815339473318969</v>
      </c>
      <c r="J43" s="139">
        <f t="shared" si="15"/>
        <v>0.66815339473318969</v>
      </c>
      <c r="K43" s="139">
        <f t="shared" si="15"/>
        <v>0.66815339473318969</v>
      </c>
      <c r="L43" s="139">
        <f t="shared" si="15"/>
        <v>0.66815339473318969</v>
      </c>
      <c r="M43" s="50"/>
    </row>
    <row r="44" spans="1:13" ht="13.5" customHeight="1" outlineLevel="1">
      <c r="C44" s="68" t="s">
        <v>119</v>
      </c>
      <c r="D44" s="80"/>
      <c r="E44" s="80"/>
      <c r="F44" s="138">
        <f>F17/F13</f>
        <v>0.1804848595715004</v>
      </c>
      <c r="G44" s="138">
        <f>G17/G13</f>
        <v>0.17035654067415273</v>
      </c>
      <c r="H44" s="139">
        <f>AVERAGE(F44:G44)</f>
        <v>0.17542070012282657</v>
      </c>
      <c r="I44" s="139">
        <f t="shared" si="15"/>
        <v>0.17542070012282657</v>
      </c>
      <c r="J44" s="139">
        <f t="shared" si="15"/>
        <v>0.17542070012282657</v>
      </c>
      <c r="K44" s="139">
        <f t="shared" si="15"/>
        <v>0.17542070012282657</v>
      </c>
      <c r="L44" s="139">
        <f t="shared" si="15"/>
        <v>0.17542070012282657</v>
      </c>
      <c r="M44" s="50"/>
    </row>
    <row r="45" spans="1:13" ht="13.5" customHeight="1" outlineLevel="1">
      <c r="C45" s="80"/>
      <c r="D45" s="80"/>
      <c r="E45" s="80"/>
      <c r="F45" s="147"/>
      <c r="G45" s="147"/>
      <c r="H45" s="81"/>
      <c r="I45" s="81"/>
      <c r="J45" s="81"/>
      <c r="K45" s="81"/>
      <c r="L45" s="81"/>
      <c r="M45" s="50"/>
    </row>
    <row r="46" spans="1:13" ht="13.5" customHeight="1" outlineLevel="1">
      <c r="C46" s="80" t="s">
        <v>121</v>
      </c>
      <c r="D46" s="80"/>
      <c r="E46" s="80"/>
      <c r="F46" s="138">
        <f>F32/F31</f>
        <v>0.35320562863662336</v>
      </c>
      <c r="G46" s="138">
        <f>G32/G31</f>
        <v>0.26977636105975256</v>
      </c>
      <c r="H46" s="139">
        <f>AVERAGE(F46:G46)</f>
        <v>0.31149099484818799</v>
      </c>
      <c r="I46" s="139">
        <f>H46</f>
        <v>0.31149099484818799</v>
      </c>
      <c r="J46" s="139">
        <f>I46</f>
        <v>0.31149099484818799</v>
      </c>
      <c r="K46" s="139">
        <f>J46</f>
        <v>0.31149099484818799</v>
      </c>
      <c r="L46" s="139">
        <f>K46</f>
        <v>0.31149099484818799</v>
      </c>
      <c r="M46" s="50"/>
    </row>
    <row r="47" spans="1:13" ht="13.5" customHeight="1" outlineLevel="1">
      <c r="C47" s="68"/>
      <c r="D47" s="80"/>
      <c r="E47" s="80"/>
      <c r="F47" s="138"/>
      <c r="G47" s="138"/>
      <c r="H47" s="139"/>
      <c r="I47" s="139"/>
      <c r="J47" s="139"/>
      <c r="K47" s="139"/>
      <c r="L47" s="139"/>
      <c r="M47" s="50"/>
    </row>
    <row r="48" spans="1:13" ht="13.5" customHeight="1" outlineLevel="1">
      <c r="A48" s="125"/>
      <c r="C48" s="68" t="s">
        <v>123</v>
      </c>
      <c r="D48" s="80"/>
      <c r="E48" s="80"/>
      <c r="F48" s="138"/>
      <c r="G48" s="134"/>
      <c r="H48" s="135"/>
      <c r="I48" s="135"/>
      <c r="J48" s="135"/>
      <c r="K48" s="135"/>
      <c r="L48" s="135"/>
      <c r="M48" s="50" t="s">
        <v>134</v>
      </c>
    </row>
    <row r="49" spans="1:13" ht="5.0999999999999996" customHeight="1" outlineLevel="1" thickBot="1">
      <c r="A49" s="82"/>
      <c r="C49" s="83"/>
      <c r="D49" s="83"/>
      <c r="E49" s="83"/>
      <c r="F49" s="83"/>
      <c r="G49" s="83"/>
      <c r="H49" s="83"/>
      <c r="I49" s="83"/>
      <c r="J49" s="83"/>
      <c r="K49" s="83"/>
      <c r="L49" s="83"/>
      <c r="M49" s="50"/>
    </row>
    <row r="50" spans="1:13" ht="13.5" customHeight="1" outlineLevel="1">
      <c r="A50" s="82"/>
      <c r="M50" s="50"/>
    </row>
    <row r="51" spans="1:13" ht="13.5" customHeight="1" outlineLevel="1">
      <c r="M51" s="50"/>
    </row>
    <row r="52" spans="1:13" ht="13.5" customHeight="1" outlineLevel="1" thickBot="1"/>
    <row r="53" spans="1:13" ht="21.75" thickTop="1">
      <c r="A53" s="82"/>
      <c r="B53" s="46" t="s">
        <v>61</v>
      </c>
      <c r="C53" s="47" t="s">
        <v>26</v>
      </c>
      <c r="D53" s="48"/>
      <c r="E53" s="49"/>
      <c r="F53" s="49"/>
      <c r="G53" s="49"/>
      <c r="H53" s="49"/>
      <c r="I53" s="49"/>
      <c r="J53" s="49"/>
      <c r="K53" s="49"/>
      <c r="L53" s="49"/>
    </row>
    <row r="54" spans="1:13" ht="5.0999999999999996" customHeight="1" outlineLevel="1">
      <c r="A54" s="82"/>
      <c r="C54" s="51"/>
      <c r="D54" s="52"/>
    </row>
    <row r="55" spans="1:13" ht="13.5" customHeight="1" outlineLevel="1">
      <c r="A55" s="82"/>
      <c r="C55" s="53"/>
      <c r="D55" s="53"/>
      <c r="E55" s="53"/>
      <c r="F55" s="54" t="s">
        <v>63</v>
      </c>
      <c r="G55" s="54" t="s">
        <v>63</v>
      </c>
      <c r="H55" s="55" t="s">
        <v>64</v>
      </c>
      <c r="I55" s="55"/>
      <c r="J55" s="55"/>
      <c r="K55" s="55"/>
      <c r="L55" s="55"/>
    </row>
    <row r="56" spans="1:13" ht="13.5" customHeight="1" outlineLevel="1" thickBot="1">
      <c r="A56" s="82"/>
      <c r="C56" s="56" t="s">
        <v>65</v>
      </c>
      <c r="D56" s="57"/>
      <c r="E56" s="57"/>
      <c r="F56" s="58">
        <f>EOMONTH(G56,-12)</f>
        <v>45291</v>
      </c>
      <c r="G56" s="58">
        <f t="shared" ref="G56:L56" si="16">G$11</f>
        <v>45657</v>
      </c>
      <c r="H56" s="58">
        <f t="shared" si="16"/>
        <v>46022</v>
      </c>
      <c r="I56" s="58">
        <f t="shared" si="16"/>
        <v>46387</v>
      </c>
      <c r="J56" s="58">
        <f t="shared" si="16"/>
        <v>46752</v>
      </c>
      <c r="K56" s="58">
        <f t="shared" si="16"/>
        <v>47118</v>
      </c>
      <c r="L56" s="58">
        <f t="shared" si="16"/>
        <v>47483</v>
      </c>
    </row>
    <row r="57" spans="1:13" ht="5.0999999999999996" customHeight="1" outlineLevel="1">
      <c r="A57" s="82"/>
      <c r="C57" s="59"/>
      <c r="D57" s="59"/>
      <c r="E57" s="59"/>
      <c r="F57" s="60"/>
      <c r="G57" s="60"/>
      <c r="H57" s="60"/>
      <c r="I57" s="60"/>
      <c r="J57" s="60"/>
      <c r="K57" s="60"/>
    </row>
    <row r="58" spans="1:13" ht="13.5" customHeight="1" outlineLevel="1">
      <c r="A58" s="82"/>
      <c r="C58" s="84" t="s">
        <v>81</v>
      </c>
      <c r="D58" s="85"/>
      <c r="E58" s="86"/>
      <c r="F58" s="86"/>
      <c r="G58" s="86"/>
      <c r="H58" s="86"/>
      <c r="I58" s="86"/>
      <c r="J58" s="86"/>
      <c r="K58" s="86"/>
      <c r="L58" s="87"/>
    </row>
    <row r="59" spans="1:13" ht="13.5" customHeight="1" outlineLevel="1">
      <c r="A59" s="82"/>
      <c r="C59" s="59"/>
      <c r="D59" s="59"/>
      <c r="E59" s="59"/>
      <c r="F59" s="60"/>
      <c r="G59" s="60"/>
      <c r="H59" s="60"/>
      <c r="I59" s="60"/>
      <c r="J59" s="60"/>
      <c r="K59" s="60"/>
    </row>
    <row r="60" spans="1:13" ht="13.5" customHeight="1" outlineLevel="1">
      <c r="A60" s="82"/>
      <c r="C60" s="88" t="s">
        <v>82</v>
      </c>
      <c r="F60" s="141">
        <f>'Financials from CIP'!D46/1000</f>
        <v>7.1056520000000001</v>
      </c>
      <c r="G60" s="141">
        <f>'Financials from CIP'!E46/1000</f>
        <v>2.9579920000000004</v>
      </c>
      <c r="H60" s="163"/>
      <c r="I60" s="163"/>
      <c r="J60" s="163"/>
      <c r="K60" s="163"/>
      <c r="L60" s="163"/>
    </row>
    <row r="61" spans="1:13" ht="13.5" customHeight="1" outlineLevel="1">
      <c r="A61" s="82"/>
      <c r="C61" s="91" t="s">
        <v>83</v>
      </c>
      <c r="F61" s="96">
        <f>SUM('Financials from CIP'!D47:D48)/1000</f>
        <v>16.781419000000003</v>
      </c>
      <c r="G61" s="96">
        <f>SUM('Financials from CIP'!E47:E48)/1000</f>
        <v>22.284721999999999</v>
      </c>
      <c r="H61" s="160"/>
      <c r="I61" s="160"/>
      <c r="J61" s="160"/>
      <c r="K61" s="160"/>
      <c r="L61" s="160"/>
    </row>
    <row r="62" spans="1:13" ht="13.5" customHeight="1" outlineLevel="1">
      <c r="A62" s="82"/>
      <c r="C62" s="91" t="s">
        <v>31</v>
      </c>
      <c r="F62" s="96">
        <f>'Financials from CIP'!D49/1000</f>
        <v>0.80490099999999998</v>
      </c>
      <c r="G62" s="96">
        <f>'Financials from CIP'!E49/1000</f>
        <v>1.161057</v>
      </c>
      <c r="H62" s="160"/>
      <c r="I62" s="160"/>
      <c r="J62" s="160"/>
      <c r="K62" s="160"/>
      <c r="L62" s="160"/>
    </row>
    <row r="63" spans="1:13" ht="13.5" customHeight="1" outlineLevel="1">
      <c r="A63" s="82"/>
      <c r="C63" s="91" t="s">
        <v>84</v>
      </c>
      <c r="F63" s="96">
        <f>'Financials from CIP'!D50/1000</f>
        <v>0.26978399999999997</v>
      </c>
      <c r="G63" s="96">
        <f>'Financials from CIP'!E50/1000</f>
        <v>0.34491899999999998</v>
      </c>
      <c r="H63" s="160"/>
      <c r="I63" s="160"/>
      <c r="J63" s="160"/>
      <c r="K63" s="160"/>
      <c r="L63" s="160"/>
    </row>
    <row r="64" spans="1:13" ht="13.5" customHeight="1" outlineLevel="1">
      <c r="A64" s="82"/>
      <c r="C64" s="76" t="s">
        <v>33</v>
      </c>
      <c r="D64" s="77"/>
      <c r="E64" s="77"/>
      <c r="F64" s="93">
        <f>SUM(F60:F63)</f>
        <v>24.961756000000005</v>
      </c>
      <c r="G64" s="93">
        <f>SUM(G60:G63)</f>
        <v>26.74869</v>
      </c>
      <c r="H64" s="93">
        <f t="shared" ref="H64:L64" si="17">SUM(H60:H63)</f>
        <v>0</v>
      </c>
      <c r="I64" s="93">
        <f t="shared" si="17"/>
        <v>0</v>
      </c>
      <c r="J64" s="93">
        <f t="shared" si="17"/>
        <v>0</v>
      </c>
      <c r="K64" s="93">
        <f t="shared" si="17"/>
        <v>0</v>
      </c>
      <c r="L64" s="93">
        <f t="shared" si="17"/>
        <v>0</v>
      </c>
    </row>
    <row r="65" spans="1:13" ht="13.5" customHeight="1" outlineLevel="1">
      <c r="A65" s="164"/>
      <c r="C65" s="91" t="s">
        <v>85</v>
      </c>
      <c r="D65" s="95"/>
      <c r="E65" s="95"/>
      <c r="F65" s="96"/>
      <c r="G65" s="96"/>
      <c r="H65" s="165"/>
      <c r="I65" s="165"/>
      <c r="J65" s="165"/>
      <c r="K65" s="165"/>
      <c r="L65" s="165"/>
      <c r="M65" s="50" t="s">
        <v>135</v>
      </c>
    </row>
    <row r="66" spans="1:13" ht="13.5" customHeight="1" outlineLevel="1">
      <c r="A66" s="164"/>
      <c r="C66" s="91" t="s">
        <v>86</v>
      </c>
      <c r="D66" s="95"/>
      <c r="E66" s="95"/>
      <c r="F66" s="96"/>
      <c r="G66" s="96"/>
      <c r="H66" s="165"/>
      <c r="I66" s="165"/>
      <c r="J66" s="165"/>
      <c r="K66" s="165"/>
      <c r="L66" s="165"/>
      <c r="M66" s="50" t="s">
        <v>136</v>
      </c>
    </row>
    <row r="67" spans="1:13" ht="13.5" customHeight="1" outlineLevel="1">
      <c r="A67" s="82"/>
      <c r="C67" s="76" t="s">
        <v>34</v>
      </c>
      <c r="D67" s="77"/>
      <c r="E67" s="77"/>
      <c r="F67" s="131">
        <f>'Financials from CIP'!D53/1000</f>
        <v>54.584699999999998</v>
      </c>
      <c r="G67" s="131">
        <f>'Financials from CIP'!E53/1000</f>
        <v>55.684984</v>
      </c>
      <c r="H67" s="93">
        <f>SUM(H65:H66)</f>
        <v>0</v>
      </c>
      <c r="I67" s="93">
        <f>SUM(I65:I66)</f>
        <v>0</v>
      </c>
      <c r="J67" s="93">
        <f>SUM(J65:J66)</f>
        <v>0</v>
      </c>
      <c r="K67" s="93">
        <f>SUM(K65:K66)</f>
        <v>0</v>
      </c>
      <c r="L67" s="93">
        <f>SUM(L65:L66)</f>
        <v>0</v>
      </c>
    </row>
    <row r="68" spans="1:13" ht="13.5" customHeight="1" outlineLevel="1">
      <c r="A68" s="164"/>
      <c r="C68" s="98" t="s">
        <v>87</v>
      </c>
      <c r="D68" s="95"/>
      <c r="E68" s="95"/>
      <c r="F68" s="99">
        <v>0</v>
      </c>
      <c r="G68" s="99">
        <v>0</v>
      </c>
      <c r="H68" s="166"/>
      <c r="I68" s="166"/>
      <c r="J68" s="166"/>
      <c r="K68" s="166"/>
      <c r="L68" s="166"/>
      <c r="M68" s="50" t="s">
        <v>137</v>
      </c>
    </row>
    <row r="69" spans="1:13" ht="13.5" customHeight="1" outlineLevel="1">
      <c r="A69" s="164"/>
      <c r="C69" s="98" t="s">
        <v>88</v>
      </c>
      <c r="D69" s="95"/>
      <c r="E69" s="95"/>
      <c r="F69" s="96">
        <f>'Financials from CIP'!D54/1000</f>
        <v>4.378482</v>
      </c>
      <c r="G69" s="96">
        <f>'Financials from CIP'!E54/1000</f>
        <v>4.5043699999999998</v>
      </c>
      <c r="H69" s="165"/>
      <c r="I69" s="165"/>
      <c r="J69" s="165"/>
      <c r="K69" s="165"/>
      <c r="L69" s="165"/>
      <c r="M69" s="50" t="s">
        <v>138</v>
      </c>
    </row>
    <row r="70" spans="1:13" ht="13.5" customHeight="1" outlineLevel="1">
      <c r="A70" s="82"/>
      <c r="C70" s="100" t="s">
        <v>36</v>
      </c>
      <c r="D70" s="101"/>
      <c r="E70" s="101"/>
      <c r="F70" s="102">
        <f>SUM(F64,F67:F69)</f>
        <v>83.924938000000012</v>
      </c>
      <c r="G70" s="102">
        <f>SUM(G64,G67:G69)</f>
        <v>86.938043999999991</v>
      </c>
      <c r="H70" s="102">
        <f t="shared" ref="H70:L70" si="18">SUM(H64,H67:H69)</f>
        <v>0</v>
      </c>
      <c r="I70" s="102">
        <f t="shared" si="18"/>
        <v>0</v>
      </c>
      <c r="J70" s="102">
        <f t="shared" si="18"/>
        <v>0</v>
      </c>
      <c r="K70" s="102">
        <f t="shared" si="18"/>
        <v>0</v>
      </c>
      <c r="L70" s="102">
        <f t="shared" si="18"/>
        <v>0</v>
      </c>
    </row>
    <row r="71" spans="1:13" ht="13.5" customHeight="1" outlineLevel="1">
      <c r="A71" s="82"/>
      <c r="H71" s="104"/>
      <c r="I71" s="104"/>
      <c r="J71" s="104"/>
      <c r="K71" s="104"/>
      <c r="L71" s="104"/>
    </row>
    <row r="72" spans="1:13" ht="13.5" customHeight="1" outlineLevel="1">
      <c r="A72" s="82"/>
      <c r="C72" s="84" t="s">
        <v>89</v>
      </c>
      <c r="D72" s="85"/>
      <c r="E72" s="86"/>
      <c r="F72" s="86"/>
      <c r="G72" s="86"/>
      <c r="H72" s="86"/>
      <c r="I72" s="86"/>
      <c r="J72" s="86"/>
      <c r="K72" s="86"/>
      <c r="L72" s="87"/>
    </row>
    <row r="73" spans="1:13" ht="13.5" customHeight="1" outlineLevel="1">
      <c r="A73" s="82"/>
      <c r="C73" s="59"/>
      <c r="D73" s="59"/>
      <c r="E73" s="59"/>
      <c r="F73" s="60"/>
      <c r="G73" s="60"/>
      <c r="H73" s="60"/>
      <c r="I73" s="60"/>
      <c r="J73" s="60"/>
      <c r="K73" s="60"/>
    </row>
    <row r="74" spans="1:13" ht="13.5" customHeight="1" outlineLevel="1">
      <c r="A74" s="82"/>
      <c r="C74" s="91" t="s">
        <v>37</v>
      </c>
      <c r="D74" s="95"/>
      <c r="E74" s="95"/>
      <c r="F74" s="96">
        <f>'Financials from CIP'!D58/1000</f>
        <v>2.8058170000000002</v>
      </c>
      <c r="G74" s="96">
        <f>'Financials from CIP'!E58/1000</f>
        <v>2.3607100000000001</v>
      </c>
      <c r="H74" s="160"/>
      <c r="I74" s="160"/>
      <c r="J74" s="160"/>
      <c r="K74" s="160"/>
      <c r="L74" s="160"/>
    </row>
    <row r="75" spans="1:13" ht="13.5" customHeight="1" outlineLevel="1">
      <c r="A75" s="82"/>
      <c r="C75" s="91" t="s">
        <v>38</v>
      </c>
      <c r="D75" s="95"/>
      <c r="E75" s="95"/>
      <c r="F75" s="96">
        <f>'Financials from CIP'!D59/1000</f>
        <v>2.3839329999999999</v>
      </c>
      <c r="G75" s="96">
        <f>'Financials from CIP'!E59/1000</f>
        <v>2.7880379999999998</v>
      </c>
      <c r="H75" s="160"/>
      <c r="I75" s="160"/>
      <c r="J75" s="160"/>
      <c r="K75" s="160"/>
      <c r="L75" s="160"/>
    </row>
    <row r="76" spans="1:13" ht="13.5" customHeight="1" outlineLevel="1">
      <c r="A76" s="82"/>
      <c r="C76" s="91" t="s">
        <v>39</v>
      </c>
      <c r="D76" s="95"/>
      <c r="E76" s="95"/>
      <c r="F76" s="96">
        <f>'Financials from CIP'!D60/1000</f>
        <v>2.0579079999999998</v>
      </c>
      <c r="G76" s="96">
        <f>'Financials from CIP'!E60/1000</f>
        <v>3.2020309999999998</v>
      </c>
      <c r="H76" s="160"/>
      <c r="I76" s="160"/>
      <c r="J76" s="160"/>
      <c r="K76" s="160"/>
      <c r="L76" s="160"/>
    </row>
    <row r="77" spans="1:13" ht="13.5" customHeight="1" outlineLevel="1">
      <c r="A77" s="82"/>
      <c r="C77" s="76" t="s">
        <v>40</v>
      </c>
      <c r="D77" s="77"/>
      <c r="E77" s="77"/>
      <c r="F77" s="93">
        <f>SUM(F74:F76)</f>
        <v>7.2476579999999995</v>
      </c>
      <c r="G77" s="93">
        <f>SUM(G74:G76)</f>
        <v>8.3507789999999993</v>
      </c>
      <c r="H77" s="93">
        <f t="shared" ref="H77:L77" si="19">SUM(H74:H76)</f>
        <v>0</v>
      </c>
      <c r="I77" s="93">
        <f t="shared" si="19"/>
        <v>0</v>
      </c>
      <c r="J77" s="93">
        <f t="shared" si="19"/>
        <v>0</v>
      </c>
      <c r="K77" s="93">
        <f t="shared" si="19"/>
        <v>0</v>
      </c>
      <c r="L77" s="93">
        <f t="shared" si="19"/>
        <v>0</v>
      </c>
    </row>
    <row r="78" spans="1:13" ht="13.5" customHeight="1" outlineLevel="1">
      <c r="A78" s="82"/>
      <c r="C78" s="91" t="s">
        <v>41</v>
      </c>
      <c r="D78" s="95"/>
      <c r="E78" s="95"/>
      <c r="F78" s="96">
        <f>'Financials from CIP'!D63/1000</f>
        <v>0.64588299999999998</v>
      </c>
      <c r="G78" s="96">
        <f>'Financials from CIP'!E63/1000</f>
        <v>1.2892999999999999</v>
      </c>
      <c r="H78" s="160"/>
      <c r="I78" s="160"/>
      <c r="J78" s="160"/>
      <c r="K78" s="160"/>
      <c r="L78" s="160"/>
    </row>
    <row r="79" spans="1:13" ht="13.5" customHeight="1" outlineLevel="1">
      <c r="A79" s="82"/>
      <c r="C79" s="91" t="s">
        <v>42</v>
      </c>
      <c r="D79" s="95"/>
      <c r="E79" s="95"/>
      <c r="F79" s="96">
        <f>'Financials from CIP'!D64/1000</f>
        <v>18.943222000000002</v>
      </c>
      <c r="G79" s="96">
        <f>'Financials from CIP'!E64/1000</f>
        <v>12.001450999999999</v>
      </c>
      <c r="H79" s="160"/>
      <c r="I79" s="160"/>
      <c r="J79" s="160"/>
      <c r="K79" s="160"/>
      <c r="L79" s="160"/>
    </row>
    <row r="80" spans="1:13" ht="13.5" customHeight="1" outlineLevel="1">
      <c r="A80" s="82"/>
      <c r="C80" s="91" t="s">
        <v>90</v>
      </c>
      <c r="D80" s="95"/>
      <c r="E80" s="95"/>
      <c r="F80" s="96">
        <f>'Financials from CIP'!D65/1000</f>
        <v>0.54533299999999996</v>
      </c>
      <c r="G80" s="96">
        <f>'Financials from CIP'!E65/1000</f>
        <v>8.5337999999999997E-2</v>
      </c>
      <c r="H80" s="160"/>
      <c r="I80" s="160"/>
      <c r="J80" s="160"/>
      <c r="K80" s="160"/>
      <c r="L80" s="160"/>
    </row>
    <row r="81" spans="1:19" ht="13.5" customHeight="1" outlineLevel="1">
      <c r="A81" s="82"/>
      <c r="C81" s="91" t="s">
        <v>91</v>
      </c>
      <c r="D81" s="95"/>
      <c r="E81" s="95"/>
      <c r="F81" s="96">
        <f>'Financials from CIP'!D66/1000</f>
        <v>9.2447999999999989E-2</v>
      </c>
      <c r="G81" s="96">
        <f>'Financials from CIP'!E66/1000</f>
        <v>1.2666999999999999E-2</v>
      </c>
      <c r="H81" s="160"/>
      <c r="I81" s="160"/>
      <c r="J81" s="160"/>
      <c r="K81" s="160"/>
      <c r="L81" s="160"/>
    </row>
    <row r="82" spans="1:19" ht="13.5" customHeight="1" outlineLevel="1">
      <c r="A82" s="82"/>
      <c r="C82" s="76" t="s">
        <v>92</v>
      </c>
      <c r="D82" s="77"/>
      <c r="E82" s="77"/>
      <c r="F82" s="93">
        <f>SUM(F78:F81)</f>
        <v>20.226886000000004</v>
      </c>
      <c r="G82" s="93">
        <f>SUM(G78:G81)</f>
        <v>13.388756000000001</v>
      </c>
      <c r="H82" s="93">
        <f t="shared" ref="H82:L82" si="20">SUM(H78:H81)</f>
        <v>0</v>
      </c>
      <c r="I82" s="93">
        <f t="shared" si="20"/>
        <v>0</v>
      </c>
      <c r="J82" s="93">
        <f t="shared" si="20"/>
        <v>0</v>
      </c>
      <c r="K82" s="93">
        <f t="shared" si="20"/>
        <v>0</v>
      </c>
      <c r="L82" s="93">
        <f t="shared" si="20"/>
        <v>0</v>
      </c>
    </row>
    <row r="83" spans="1:19" ht="13.5" customHeight="1" outlineLevel="1">
      <c r="A83" s="164"/>
      <c r="C83" s="68" t="s">
        <v>93</v>
      </c>
      <c r="F83" s="96">
        <f>'Financials from CIP'!D67/1000</f>
        <v>0.41787400000000002</v>
      </c>
      <c r="G83" s="96">
        <f>'Financials from CIP'!E67/1000</f>
        <v>0.42988799999999999</v>
      </c>
      <c r="H83" s="129"/>
      <c r="I83" s="129"/>
      <c r="J83" s="129"/>
      <c r="K83" s="129"/>
      <c r="L83" s="129"/>
      <c r="M83" s="50" t="s">
        <v>139</v>
      </c>
    </row>
    <row r="84" spans="1:19" ht="13.5" customHeight="1" outlineLevel="1">
      <c r="A84" s="82"/>
      <c r="C84" s="76" t="s">
        <v>94</v>
      </c>
      <c r="D84" s="77"/>
      <c r="E84" s="77"/>
      <c r="F84" s="93">
        <f>SUM(F77,F82:F83)</f>
        <v>27.892418000000003</v>
      </c>
      <c r="G84" s="93">
        <f>SUM(G77,G82:G83)</f>
        <v>22.169422999999998</v>
      </c>
      <c r="H84" s="93">
        <f t="shared" ref="H84:L84" si="21">SUM(H77,H82:H83)</f>
        <v>0</v>
      </c>
      <c r="I84" s="93">
        <f t="shared" si="21"/>
        <v>0</v>
      </c>
      <c r="J84" s="93">
        <f t="shared" si="21"/>
        <v>0</v>
      </c>
      <c r="K84" s="93">
        <f t="shared" si="21"/>
        <v>0</v>
      </c>
      <c r="L84" s="93">
        <f t="shared" si="21"/>
        <v>0</v>
      </c>
      <c r="M84" s="82"/>
    </row>
    <row r="85" spans="1:19" ht="13.5" customHeight="1" outlineLevel="1">
      <c r="A85" s="164"/>
      <c r="C85" s="98" t="s">
        <v>47</v>
      </c>
      <c r="F85" s="96">
        <f>'Financials from CIP'!D71/1000</f>
        <v>7.7836338279007267</v>
      </c>
      <c r="G85" s="96">
        <f>'Financials from CIP'!E71/1000</f>
        <v>8.9161157153081838</v>
      </c>
      <c r="H85" s="129"/>
      <c r="I85" s="129"/>
      <c r="J85" s="129"/>
      <c r="K85" s="129"/>
      <c r="L85" s="129"/>
      <c r="M85" s="50" t="s">
        <v>140</v>
      </c>
    </row>
    <row r="86" spans="1:19" ht="13.5" customHeight="1" outlineLevel="1">
      <c r="A86" s="164"/>
      <c r="C86" s="98" t="s">
        <v>48</v>
      </c>
      <c r="F86" s="96">
        <f>'Financials from CIP'!D72/1000</f>
        <v>48.248887000000003</v>
      </c>
      <c r="G86" s="96">
        <f>'Financials from CIP'!E72/1000</f>
        <v>55.852504780500006</v>
      </c>
      <c r="H86" s="129"/>
      <c r="I86" s="129"/>
      <c r="J86" s="129"/>
      <c r="K86" s="129"/>
      <c r="L86" s="129"/>
      <c r="M86" s="50" t="s">
        <v>141</v>
      </c>
    </row>
    <row r="87" spans="1:19" ht="13.5" customHeight="1" outlineLevel="1">
      <c r="A87" s="82"/>
      <c r="C87" s="100" t="s">
        <v>95</v>
      </c>
      <c r="D87" s="101"/>
      <c r="E87" s="101"/>
      <c r="F87" s="105">
        <f>SUM(F84:F86)</f>
        <v>83.924938827900732</v>
      </c>
      <c r="G87" s="105">
        <f>SUM(G84:G86)</f>
        <v>86.938043495808188</v>
      </c>
      <c r="H87" s="105">
        <f t="shared" ref="H87:L87" si="22">SUM(H84:H86)</f>
        <v>0</v>
      </c>
      <c r="I87" s="105">
        <f t="shared" si="22"/>
        <v>0</v>
      </c>
      <c r="J87" s="105">
        <f t="shared" si="22"/>
        <v>0</v>
      </c>
      <c r="K87" s="105">
        <f t="shared" si="22"/>
        <v>0</v>
      </c>
      <c r="L87" s="105">
        <f t="shared" si="22"/>
        <v>0</v>
      </c>
      <c r="M87" s="82"/>
    </row>
    <row r="88" spans="1:19" s="106" customFormat="1" ht="13.5" customHeight="1" outlineLevel="1">
      <c r="A88" s="82"/>
      <c r="C88" s="107"/>
      <c r="D88" s="108"/>
      <c r="E88" s="108"/>
      <c r="F88" s="109"/>
      <c r="G88" s="109"/>
      <c r="H88" s="109"/>
      <c r="I88" s="109"/>
      <c r="J88" s="109"/>
      <c r="K88" s="109"/>
      <c r="L88" s="109"/>
      <c r="M88" s="82"/>
    </row>
    <row r="89" spans="1:19" s="114" customFormat="1" ht="13.5" customHeight="1" outlineLevel="1">
      <c r="A89" s="164"/>
      <c r="B89" s="110"/>
      <c r="C89" s="167" t="s">
        <v>142</v>
      </c>
      <c r="D89" s="111"/>
      <c r="E89" s="111"/>
      <c r="F89" s="168"/>
      <c r="G89" s="168"/>
      <c r="H89" s="168"/>
      <c r="I89" s="168"/>
      <c r="J89" s="168"/>
      <c r="K89" s="168"/>
      <c r="L89" s="168"/>
      <c r="M89" s="50" t="s">
        <v>143</v>
      </c>
    </row>
    <row r="90" spans="1:19" ht="5.0999999999999996" customHeight="1" outlineLevel="1" thickBot="1">
      <c r="A90" s="82"/>
      <c r="C90" s="115"/>
      <c r="D90" s="115"/>
      <c r="E90" s="115"/>
      <c r="F90" s="116"/>
      <c r="G90" s="116"/>
      <c r="H90" s="117"/>
      <c r="I90" s="117"/>
      <c r="J90" s="117"/>
      <c r="K90" s="117"/>
      <c r="L90" s="117"/>
    </row>
    <row r="91" spans="1:19" ht="13.5" customHeight="1" outlineLevel="1" thickBot="1">
      <c r="A91" s="82"/>
      <c r="C91" s="118"/>
      <c r="D91" s="118"/>
      <c r="E91" s="118"/>
    </row>
    <row r="92" spans="1:19" ht="15.75" thickTop="1">
      <c r="A92" s="82"/>
      <c r="B92" s="46" t="s">
        <v>61</v>
      </c>
      <c r="C92" s="119" t="s">
        <v>96</v>
      </c>
      <c r="D92" s="82"/>
      <c r="E92" s="82"/>
      <c r="F92" s="82"/>
      <c r="G92" s="82"/>
      <c r="H92" s="82"/>
      <c r="I92" s="82"/>
      <c r="J92" s="82"/>
      <c r="K92" s="82"/>
      <c r="L92" s="82"/>
      <c r="M92" s="82"/>
      <c r="N92" s="82"/>
      <c r="O92" s="82"/>
      <c r="P92" s="82"/>
      <c r="Q92" s="82"/>
      <c r="R92" s="82"/>
      <c r="S92" s="82"/>
    </row>
    <row r="93" spans="1:19" ht="15" outlineLevel="1">
      <c r="A93" s="82"/>
      <c r="B93" s="82"/>
      <c r="C93" s="120" t="s">
        <v>3</v>
      </c>
      <c r="D93" s="82"/>
      <c r="E93" s="82"/>
      <c r="F93" s="82"/>
      <c r="G93" s="82"/>
      <c r="H93" s="82"/>
      <c r="I93" s="82"/>
      <c r="J93" s="82"/>
      <c r="K93" s="82"/>
      <c r="L93" s="82"/>
      <c r="M93" s="82"/>
      <c r="N93" s="82"/>
      <c r="O93" s="82"/>
      <c r="P93" s="82"/>
      <c r="Q93" s="82"/>
      <c r="R93" s="82"/>
      <c r="S93" s="82"/>
    </row>
    <row r="94" spans="1:19" ht="15" outlineLevel="1">
      <c r="A94" s="82"/>
      <c r="B94" s="82"/>
      <c r="C94" s="121" t="s">
        <v>97</v>
      </c>
      <c r="D94" s="82"/>
      <c r="E94" s="82"/>
      <c r="F94" s="122">
        <f>'Financials from CIP'!D13/1000-'Step 3'!F13</f>
        <v>0</v>
      </c>
      <c r="G94" s="122">
        <f>'Financials from CIP'!E13/1000-'Step 3'!G13</f>
        <v>0</v>
      </c>
      <c r="H94" s="82"/>
      <c r="I94" s="82"/>
      <c r="J94" s="82"/>
      <c r="K94" s="82"/>
      <c r="L94" s="82"/>
      <c r="M94" s="82"/>
      <c r="N94" s="82"/>
      <c r="O94" s="82"/>
      <c r="P94" s="82"/>
      <c r="Q94" s="82"/>
      <c r="R94" s="82"/>
      <c r="S94" s="82"/>
    </row>
    <row r="95" spans="1:19" ht="15" outlineLevel="1">
      <c r="A95" s="82"/>
      <c r="B95" s="82"/>
      <c r="C95" s="121" t="s">
        <v>67</v>
      </c>
      <c r="D95" s="82"/>
      <c r="E95" s="82"/>
      <c r="F95" s="122">
        <f>'Financials from CIP'!D19/1000-'Step 3'!F15</f>
        <v>0</v>
      </c>
      <c r="G95" s="122">
        <f>'Financials from CIP'!E19/1000-'Step 3'!G15</f>
        <v>0</v>
      </c>
      <c r="H95" s="82"/>
      <c r="I95" s="82"/>
      <c r="J95" s="82"/>
      <c r="K95" s="82"/>
      <c r="L95" s="82"/>
      <c r="M95" s="82"/>
      <c r="N95" s="82"/>
      <c r="O95" s="82"/>
      <c r="P95" s="82"/>
      <c r="Q95" s="82"/>
      <c r="R95" s="82"/>
      <c r="S95" s="82"/>
    </row>
    <row r="96" spans="1:19" ht="15" outlineLevel="1">
      <c r="A96" s="82"/>
      <c r="B96" s="82"/>
      <c r="C96" s="121" t="s">
        <v>70</v>
      </c>
      <c r="D96" s="82"/>
      <c r="E96" s="82"/>
      <c r="F96" s="122">
        <f>'Financials from CIP'!D36/1000-'Step 3'!F18</f>
        <v>0</v>
      </c>
      <c r="G96" s="122">
        <f>'Financials from CIP'!E36/1000-'Step 3'!G18</f>
        <v>0</v>
      </c>
      <c r="H96" s="82"/>
      <c r="I96" s="82"/>
      <c r="J96" s="82"/>
      <c r="K96" s="82"/>
      <c r="L96" s="82"/>
      <c r="M96" s="82"/>
      <c r="N96" s="82"/>
      <c r="O96" s="82"/>
      <c r="P96" s="82"/>
      <c r="Q96" s="82"/>
      <c r="R96" s="82"/>
      <c r="S96" s="82"/>
    </row>
    <row r="97" spans="1:19" ht="15" outlineLevel="1">
      <c r="A97" s="82"/>
      <c r="B97" s="82"/>
      <c r="C97" s="121" t="s">
        <v>22</v>
      </c>
      <c r="D97" s="82"/>
      <c r="E97" s="82"/>
      <c r="F97" s="122">
        <f>'Financials from CIP'!D34/1000-'Step 3'!F33</f>
        <v>0</v>
      </c>
      <c r="G97" s="122">
        <f>'Financials from CIP'!E34/1000-'Step 3'!G33</f>
        <v>0</v>
      </c>
      <c r="H97" s="82"/>
      <c r="I97" s="82"/>
      <c r="J97" s="82"/>
      <c r="K97" s="82"/>
      <c r="L97" s="82"/>
      <c r="M97" s="82"/>
      <c r="N97" s="82"/>
      <c r="O97" s="82"/>
      <c r="P97" s="82"/>
      <c r="Q97" s="82"/>
      <c r="R97" s="82"/>
      <c r="S97" s="82"/>
    </row>
    <row r="98" spans="1:19" ht="15" outlineLevel="1">
      <c r="A98" s="82"/>
      <c r="B98" s="82"/>
      <c r="C98" s="121"/>
      <c r="D98" s="82"/>
      <c r="E98" s="82"/>
      <c r="F98" s="122"/>
      <c r="G98" s="122"/>
      <c r="H98" s="82"/>
      <c r="I98" s="82"/>
      <c r="J98" s="82"/>
      <c r="K98" s="82"/>
      <c r="L98" s="82"/>
      <c r="M98" s="82"/>
      <c r="N98" s="82"/>
      <c r="O98" s="82"/>
      <c r="P98" s="82"/>
      <c r="Q98" s="82"/>
      <c r="R98" s="82"/>
      <c r="S98" s="82"/>
    </row>
    <row r="99" spans="1:19" ht="15" outlineLevel="1">
      <c r="A99" s="82"/>
      <c r="B99" s="82"/>
      <c r="C99" s="120" t="s">
        <v>26</v>
      </c>
      <c r="D99" s="82"/>
      <c r="E99" s="82"/>
      <c r="F99" s="122"/>
      <c r="G99" s="122"/>
      <c r="H99" s="82"/>
      <c r="I99" s="82"/>
      <c r="J99" s="82"/>
      <c r="K99" s="82"/>
      <c r="L99" s="82"/>
      <c r="M99" s="82"/>
      <c r="N99" s="82"/>
      <c r="O99" s="82"/>
      <c r="P99" s="82"/>
      <c r="Q99" s="82"/>
      <c r="R99" s="82"/>
      <c r="S99" s="82"/>
    </row>
    <row r="100" spans="1:19" ht="15" outlineLevel="1">
      <c r="A100" s="82"/>
      <c r="B100" s="82"/>
      <c r="C100" s="121" t="s">
        <v>98</v>
      </c>
      <c r="D100" s="82"/>
      <c r="E100" s="82"/>
      <c r="F100" s="122">
        <f>'Financials from CIP'!D46/1000-'Step 3'!F60</f>
        <v>0</v>
      </c>
      <c r="G100" s="122">
        <f>'Financials from CIP'!E46/1000-'Step 3'!G60</f>
        <v>0</v>
      </c>
      <c r="H100" s="82"/>
      <c r="I100" s="82"/>
      <c r="J100" s="82"/>
      <c r="K100" s="82"/>
      <c r="L100" s="82"/>
      <c r="M100" s="82"/>
      <c r="N100" s="82"/>
      <c r="O100" s="82"/>
      <c r="P100" s="82"/>
      <c r="Q100" s="82"/>
      <c r="R100" s="82"/>
      <c r="S100" s="82"/>
    </row>
    <row r="101" spans="1:19" ht="15" outlineLevel="1">
      <c r="A101" s="82"/>
      <c r="B101" s="82"/>
      <c r="C101" s="121" t="s">
        <v>99</v>
      </c>
      <c r="D101" s="82"/>
      <c r="E101" s="82"/>
      <c r="F101" s="122">
        <f>'Financials from CIP'!D51/1000-'Step 3'!F64</f>
        <v>0</v>
      </c>
      <c r="G101" s="122">
        <f>'Financials from CIP'!E51/1000-'Step 3'!G64</f>
        <v>0</v>
      </c>
      <c r="H101" s="82"/>
      <c r="I101" s="82"/>
      <c r="J101" s="82"/>
      <c r="K101" s="82"/>
      <c r="L101" s="82"/>
      <c r="M101" s="82"/>
      <c r="N101" s="82"/>
      <c r="O101" s="82"/>
      <c r="P101" s="82"/>
      <c r="Q101" s="82"/>
      <c r="R101" s="82"/>
      <c r="S101" s="82"/>
    </row>
    <row r="102" spans="1:19" ht="15" outlineLevel="1">
      <c r="A102" s="82"/>
      <c r="B102" s="82"/>
      <c r="C102" s="121" t="s">
        <v>36</v>
      </c>
      <c r="D102" s="82"/>
      <c r="E102" s="82"/>
      <c r="F102" s="122">
        <f>'Financials from CIP'!D56/1000-'Step 3'!F70</f>
        <v>0</v>
      </c>
      <c r="G102" s="122">
        <f>'Financials from CIP'!E56/1000-'Step 3'!G70</f>
        <v>0</v>
      </c>
      <c r="H102" s="82"/>
      <c r="I102" s="82"/>
      <c r="J102" s="82"/>
      <c r="K102" s="82"/>
      <c r="L102" s="82"/>
      <c r="M102" s="82"/>
      <c r="N102" s="82"/>
      <c r="O102" s="82"/>
      <c r="P102" s="82"/>
      <c r="Q102" s="82"/>
      <c r="R102" s="82"/>
      <c r="S102" s="82"/>
    </row>
    <row r="103" spans="1:19" ht="15" outlineLevel="1">
      <c r="A103" s="82"/>
      <c r="B103" s="82"/>
      <c r="C103" s="121" t="s">
        <v>100</v>
      </c>
      <c r="D103" s="82"/>
      <c r="E103" s="82"/>
      <c r="F103" s="122">
        <f>'Financials from CIP'!D61/1000-'Step 3'!F77</f>
        <v>0</v>
      </c>
      <c r="G103" s="122">
        <f>'Financials from CIP'!E61/1000-'Step 3'!G77</f>
        <v>0</v>
      </c>
      <c r="H103" s="82"/>
      <c r="I103" s="82"/>
      <c r="J103" s="82"/>
      <c r="K103" s="82"/>
      <c r="L103" s="82"/>
      <c r="M103" s="82"/>
      <c r="N103" s="82"/>
      <c r="O103" s="82"/>
      <c r="P103" s="82"/>
      <c r="Q103" s="82"/>
      <c r="R103" s="82"/>
      <c r="S103" s="82"/>
    </row>
    <row r="104" spans="1:19" ht="15" outlineLevel="1">
      <c r="A104" s="82"/>
      <c r="B104" s="82"/>
      <c r="C104" s="121" t="s">
        <v>101</v>
      </c>
      <c r="D104" s="82"/>
      <c r="E104" s="82"/>
      <c r="F104" s="122">
        <f>'Financials from CIP'!D69/1000-'Step 3'!F84</f>
        <v>0</v>
      </c>
      <c r="G104" s="122">
        <f>'Financials from CIP'!E69/1000-'Step 3'!G84</f>
        <v>0</v>
      </c>
      <c r="H104" s="82"/>
      <c r="I104" s="82"/>
      <c r="J104" s="82"/>
      <c r="K104" s="82"/>
      <c r="L104" s="82"/>
      <c r="M104" s="82"/>
      <c r="N104" s="82"/>
      <c r="O104" s="82"/>
      <c r="P104" s="82"/>
      <c r="Q104" s="82"/>
      <c r="R104" s="82"/>
      <c r="S104" s="82"/>
    </row>
    <row r="105" spans="1:19" ht="15" outlineLevel="1">
      <c r="A105" s="82"/>
      <c r="B105" s="82"/>
      <c r="C105" s="121" t="s">
        <v>49</v>
      </c>
      <c r="D105" s="82"/>
      <c r="E105" s="82"/>
      <c r="F105" s="122">
        <f>'Financials from CIP'!D73/1000-SUM('Step 3'!F85:F86)</f>
        <v>0</v>
      </c>
      <c r="G105" s="122">
        <f>'Financials from CIP'!E73/1000-SUM('Step 3'!G85:G86)</f>
        <v>0</v>
      </c>
      <c r="H105" s="82"/>
      <c r="I105" s="82"/>
      <c r="J105" s="82"/>
      <c r="K105" s="82"/>
      <c r="L105" s="82"/>
      <c r="M105" s="82"/>
      <c r="N105" s="82"/>
      <c r="O105" s="82"/>
      <c r="P105" s="82"/>
      <c r="Q105" s="82"/>
      <c r="R105" s="82"/>
      <c r="S105" s="82"/>
    </row>
    <row r="106" spans="1:19" ht="15" outlineLevel="1">
      <c r="A106" s="82"/>
      <c r="B106" s="82"/>
      <c r="C106" s="121"/>
      <c r="D106" s="82"/>
      <c r="E106" s="82"/>
      <c r="F106" s="122"/>
      <c r="G106" s="122"/>
      <c r="H106" s="82"/>
      <c r="I106" s="82"/>
      <c r="J106" s="82"/>
      <c r="K106" s="82"/>
      <c r="L106" s="82"/>
      <c r="M106" s="82"/>
      <c r="N106" s="82"/>
      <c r="O106" s="82"/>
      <c r="P106" s="82"/>
      <c r="Q106" s="82"/>
      <c r="R106" s="82"/>
      <c r="S106" s="82"/>
    </row>
    <row r="107" spans="1:19" ht="15" outlineLevel="1">
      <c r="A107" s="82"/>
      <c r="B107" s="82"/>
      <c r="C107" s="119" t="s">
        <v>102</v>
      </c>
      <c r="D107" s="82"/>
      <c r="E107" s="82"/>
      <c r="F107" s="122"/>
      <c r="G107" s="122"/>
      <c r="H107" s="82"/>
      <c r="I107" s="82"/>
      <c r="J107" s="82"/>
      <c r="K107" s="82"/>
      <c r="L107" s="82"/>
      <c r="M107" s="82"/>
      <c r="N107" s="82"/>
      <c r="O107" s="82"/>
      <c r="P107" s="82"/>
      <c r="Q107" s="82"/>
      <c r="R107" s="82"/>
      <c r="S107" s="82"/>
    </row>
    <row r="108" spans="1:19" ht="15" outlineLevel="1">
      <c r="A108" s="82"/>
      <c r="B108" s="82"/>
      <c r="C108" s="121" t="s">
        <v>103</v>
      </c>
      <c r="D108" s="82"/>
      <c r="E108" s="82"/>
      <c r="F108" s="122">
        <f>F70-F87</f>
        <v>-8.2790072042371321E-7</v>
      </c>
      <c r="G108" s="122">
        <f>G70-G87</f>
        <v>5.0419180297467392E-7</v>
      </c>
      <c r="H108" s="82"/>
      <c r="I108" s="82"/>
      <c r="J108" s="82"/>
      <c r="K108" s="82"/>
      <c r="L108" s="82"/>
      <c r="M108" s="82"/>
      <c r="N108" s="82"/>
      <c r="O108" s="82"/>
      <c r="P108" s="82"/>
      <c r="Q108" s="82"/>
      <c r="R108" s="82"/>
      <c r="S108" s="82"/>
    </row>
    <row r="109" spans="1:19" ht="19.5" customHeight="1" outlineLevel="1">
      <c r="A109" s="82"/>
      <c r="B109" s="82"/>
      <c r="C109" s="121"/>
      <c r="D109" s="82"/>
      <c r="E109" s="82"/>
      <c r="F109" s="122"/>
      <c r="G109" s="122"/>
      <c r="H109" s="82"/>
      <c r="I109" s="82"/>
      <c r="J109" s="82"/>
      <c r="K109" s="82"/>
      <c r="L109" s="82"/>
      <c r="M109" s="82"/>
      <c r="N109" s="82"/>
      <c r="O109" s="82"/>
      <c r="P109" s="82"/>
      <c r="Q109" s="82"/>
      <c r="R109" s="82"/>
      <c r="S109" s="82"/>
    </row>
    <row r="110" spans="1:19" s="114" customFormat="1" ht="13.5" customHeight="1" outlineLevel="1">
      <c r="A110" s="82"/>
      <c r="B110" s="110"/>
      <c r="C110" s="111"/>
      <c r="D110" s="111"/>
      <c r="E110" s="111"/>
      <c r="F110" s="112"/>
      <c r="G110" s="113"/>
      <c r="H110" s="113"/>
      <c r="I110" s="113"/>
      <c r="J110" s="113"/>
      <c r="K110" s="113"/>
      <c r="L110" s="113"/>
      <c r="M110" s="142"/>
    </row>
    <row r="111" spans="1:19" ht="5.0999999999999996" customHeight="1" outlineLevel="1" thickBot="1">
      <c r="A111" s="82"/>
      <c r="C111" s="115"/>
      <c r="D111" s="115"/>
      <c r="E111" s="115"/>
      <c r="F111" s="116"/>
      <c r="G111" s="116"/>
      <c r="H111" s="116"/>
      <c r="I111" s="116"/>
      <c r="J111" s="116"/>
      <c r="K111" s="116"/>
      <c r="L111" s="116"/>
      <c r="M111" s="50"/>
    </row>
    <row r="112" spans="1:19" ht="13.5" customHeight="1" outlineLevel="1">
      <c r="A112" s="82"/>
      <c r="C112" s="118"/>
      <c r="D112" s="118"/>
      <c r="E112" s="118"/>
      <c r="M112" s="50"/>
    </row>
    <row r="113" spans="1:13" ht="13.5" customHeight="1" outlineLevel="1" thickBot="1">
      <c r="A113" s="82"/>
      <c r="C113" s="118"/>
      <c r="D113" s="118"/>
      <c r="E113" s="118"/>
      <c r="M113" s="50"/>
    </row>
    <row r="114" spans="1:13" ht="19.5" customHeight="1" thickTop="1">
      <c r="B114" s="46" t="s">
        <v>61</v>
      </c>
      <c r="C114" s="47" t="s">
        <v>124</v>
      </c>
      <c r="D114" s="48"/>
      <c r="E114" s="49"/>
      <c r="F114" s="49"/>
      <c r="G114" s="49"/>
      <c r="H114" s="49"/>
      <c r="I114" s="49"/>
      <c r="J114" s="49"/>
      <c r="K114" s="49"/>
      <c r="L114" s="49"/>
      <c r="M114" s="50" t="s">
        <v>125</v>
      </c>
    </row>
    <row r="115" spans="1:13" ht="5.0999999999999996" customHeight="1">
      <c r="M115" s="50"/>
    </row>
    <row r="116" spans="1:13" ht="13.5" customHeight="1">
      <c r="C116" s="53"/>
      <c r="D116" s="53"/>
      <c r="E116" s="53"/>
      <c r="F116" s="143"/>
      <c r="G116" s="54"/>
      <c r="H116" s="55" t="s">
        <v>64</v>
      </c>
      <c r="I116" s="55"/>
      <c r="J116" s="55"/>
      <c r="K116" s="55"/>
      <c r="L116" s="55"/>
      <c r="M116" s="50"/>
    </row>
    <row r="117" spans="1:13" ht="13.5" customHeight="1" thickBot="1">
      <c r="C117" s="56" t="s">
        <v>65</v>
      </c>
      <c r="D117" s="144" t="s">
        <v>126</v>
      </c>
      <c r="E117" s="57" t="s">
        <v>127</v>
      </c>
      <c r="F117" s="145" t="s">
        <v>128</v>
      </c>
      <c r="G117" s="58" t="s">
        <v>129</v>
      </c>
      <c r="H117" s="58">
        <f t="shared" ref="H117:L117" si="23">H$11</f>
        <v>46022</v>
      </c>
      <c r="I117" s="58">
        <f t="shared" si="23"/>
        <v>46387</v>
      </c>
      <c r="J117" s="58">
        <f t="shared" si="23"/>
        <v>46752</v>
      </c>
      <c r="K117" s="58">
        <f t="shared" si="23"/>
        <v>47118</v>
      </c>
      <c r="L117" s="58">
        <f t="shared" si="23"/>
        <v>47483</v>
      </c>
      <c r="M117" s="50"/>
    </row>
    <row r="118" spans="1:13" ht="13.5" customHeight="1">
      <c r="M118" s="50"/>
    </row>
    <row r="119" spans="1:13" ht="13.5" customHeight="1">
      <c r="A119" s="125"/>
      <c r="C119" s="146">
        <f>G11</f>
        <v>45657</v>
      </c>
      <c r="D119" s="169">
        <f>G67</f>
        <v>55.684984</v>
      </c>
      <c r="E119" s="170">
        <v>10</v>
      </c>
      <c r="F119" s="149">
        <f>-G20</f>
        <v>-1.1617642799999999</v>
      </c>
      <c r="G119" s="150">
        <f>IFERROR(-D119/E119,"N/M")</f>
        <v>-5.5684984000000002</v>
      </c>
      <c r="H119" s="154">
        <f>-MIN(-$G119,$D119)</f>
        <v>-5.5684984000000002</v>
      </c>
      <c r="I119" s="154">
        <f>-MIN(-$H119,SUM($H119:H119,$D119))</f>
        <v>-5.5684984000000002</v>
      </c>
      <c r="J119" s="154">
        <f>-MIN(-$H119,SUM($H119:I119,$D119))</f>
        <v>-5.5684984000000002</v>
      </c>
      <c r="K119" s="154">
        <f>-MIN(-$H119,SUM($H119:J119,$D119))</f>
        <v>-5.5684984000000002</v>
      </c>
      <c r="L119" s="154">
        <f>-MIN(-$H119,SUM($H119:K119,$D119))</f>
        <v>-5.5684984000000002</v>
      </c>
      <c r="M119" s="50"/>
    </row>
    <row r="120" spans="1:13" ht="13.5" customHeight="1">
      <c r="A120" s="125"/>
      <c r="C120" s="146">
        <f>H117</f>
        <v>46022</v>
      </c>
      <c r="D120" s="171"/>
      <c r="E120" s="148"/>
      <c r="F120" s="68"/>
      <c r="G120" s="172"/>
      <c r="H120" s="151"/>
      <c r="I120" s="173"/>
      <c r="J120" s="173"/>
      <c r="K120" s="173"/>
      <c r="L120" s="173"/>
      <c r="M120" s="50" t="s">
        <v>144</v>
      </c>
    </row>
    <row r="121" spans="1:13" ht="13.5" customHeight="1">
      <c r="A121" s="125"/>
      <c r="C121" s="146">
        <f>I117</f>
        <v>46387</v>
      </c>
      <c r="D121" s="171"/>
      <c r="E121" s="148"/>
      <c r="F121" s="68"/>
      <c r="G121" s="172"/>
      <c r="H121" s="174"/>
      <c r="I121" s="151"/>
      <c r="J121" s="173"/>
      <c r="K121" s="173"/>
      <c r="L121" s="173"/>
      <c r="M121" s="50" t="s">
        <v>144</v>
      </c>
    </row>
    <row r="122" spans="1:13" ht="13.5" customHeight="1">
      <c r="A122" s="125"/>
      <c r="C122" s="146">
        <f>J117</f>
        <v>46752</v>
      </c>
      <c r="D122" s="171"/>
      <c r="E122" s="148"/>
      <c r="F122" s="68"/>
      <c r="G122" s="172"/>
      <c r="H122" s="174"/>
      <c r="I122" s="174"/>
      <c r="J122" s="151"/>
      <c r="K122" s="173"/>
      <c r="L122" s="173"/>
      <c r="M122" s="50" t="s">
        <v>144</v>
      </c>
    </row>
    <row r="123" spans="1:13" ht="13.5" customHeight="1">
      <c r="A123" s="125"/>
      <c r="C123" s="146">
        <f>K117</f>
        <v>47118</v>
      </c>
      <c r="D123" s="171"/>
      <c r="E123" s="148"/>
      <c r="F123" s="68"/>
      <c r="G123" s="172"/>
      <c r="H123" s="174"/>
      <c r="I123" s="174"/>
      <c r="J123" s="174"/>
      <c r="K123" s="151"/>
      <c r="L123" s="173"/>
      <c r="M123" s="50" t="s">
        <v>144</v>
      </c>
    </row>
    <row r="124" spans="1:13" ht="13.5" customHeight="1">
      <c r="A124" s="125"/>
      <c r="C124" s="146">
        <f>L117</f>
        <v>47483</v>
      </c>
      <c r="D124" s="171"/>
      <c r="E124" s="148"/>
      <c r="F124" s="68"/>
      <c r="G124" s="172"/>
      <c r="H124" s="174"/>
      <c r="I124" s="174"/>
      <c r="J124" s="174"/>
      <c r="K124" s="174"/>
      <c r="L124" s="151"/>
      <c r="M124" s="50" t="s">
        <v>144</v>
      </c>
    </row>
    <row r="125" spans="1:13" ht="13.5" customHeight="1">
      <c r="C125" s="68"/>
      <c r="D125" s="155"/>
    </row>
    <row r="126" spans="1:13" ht="13.5" customHeight="1">
      <c r="C126" s="39" t="s">
        <v>131</v>
      </c>
      <c r="H126" s="156">
        <f>-SUM(H119:H125)</f>
        <v>5.5684984000000002</v>
      </c>
      <c r="I126" s="156">
        <f t="shared" ref="I126:L126" si="24">-SUM(I119:I125)</f>
        <v>5.5684984000000002</v>
      </c>
      <c r="J126" s="156">
        <f t="shared" si="24"/>
        <v>5.5684984000000002</v>
      </c>
      <c r="K126" s="156">
        <f t="shared" si="24"/>
        <v>5.5684984000000002</v>
      </c>
      <c r="L126" s="156">
        <f t="shared" si="24"/>
        <v>5.5684984000000002</v>
      </c>
    </row>
    <row r="127" spans="1:13" ht="5.0999999999999996" customHeight="1" thickBot="1">
      <c r="C127" s="157"/>
      <c r="D127" s="157"/>
      <c r="E127" s="157"/>
      <c r="F127" s="83"/>
      <c r="G127" s="83"/>
      <c r="H127" s="83"/>
      <c r="I127" s="83"/>
      <c r="J127" s="83"/>
      <c r="K127" s="83"/>
      <c r="L127" s="83"/>
    </row>
    <row r="129" spans="1:19" ht="19.5" customHeight="1">
      <c r="A129" s="82"/>
      <c r="B129" s="82"/>
      <c r="C129" s="121"/>
      <c r="D129" s="82"/>
      <c r="E129" s="82"/>
      <c r="F129" s="82"/>
      <c r="G129" s="82"/>
      <c r="H129" s="82"/>
      <c r="I129" s="82"/>
      <c r="J129" s="82"/>
      <c r="K129" s="82"/>
      <c r="L129" s="82"/>
      <c r="M129" s="82"/>
      <c r="N129" s="82"/>
      <c r="O129" s="82"/>
      <c r="P129" s="82"/>
      <c r="Q129" s="82"/>
      <c r="R129" s="82"/>
      <c r="S129" s="82"/>
    </row>
    <row r="130" spans="1:19" ht="19.5" customHeight="1">
      <c r="A130" s="82"/>
      <c r="B130" s="82"/>
      <c r="C130" s="121"/>
      <c r="D130" s="82"/>
      <c r="E130" s="82"/>
      <c r="F130" s="82"/>
      <c r="G130" s="82"/>
      <c r="H130" s="82"/>
      <c r="I130" s="82"/>
      <c r="J130" s="82"/>
      <c r="K130" s="82"/>
      <c r="L130" s="82"/>
      <c r="M130" s="82"/>
      <c r="N130" s="82"/>
      <c r="O130" s="82"/>
      <c r="P130" s="82"/>
      <c r="Q130" s="82"/>
      <c r="R130" s="82"/>
      <c r="S130" s="82"/>
    </row>
    <row r="131" spans="1:19" ht="5.0999999999999996" customHeight="1">
      <c r="A131" s="82"/>
      <c r="B131" s="82"/>
      <c r="C131" s="82"/>
      <c r="D131" s="82"/>
      <c r="E131" s="82"/>
      <c r="F131" s="82"/>
      <c r="G131" s="82"/>
      <c r="H131" s="82"/>
      <c r="I131" s="82"/>
      <c r="J131" s="82"/>
      <c r="K131" s="82"/>
      <c r="L131" s="82"/>
      <c r="M131" s="82"/>
      <c r="N131" s="82"/>
      <c r="O131" s="82"/>
      <c r="P131" s="82"/>
      <c r="Q131" s="82"/>
      <c r="R131" s="82"/>
      <c r="S131" s="82"/>
    </row>
    <row r="132" spans="1:19" ht="13.5" customHeight="1">
      <c r="A132" s="82"/>
      <c r="B132" s="82"/>
      <c r="C132" s="123"/>
      <c r="D132" s="82"/>
      <c r="E132" s="82"/>
      <c r="F132" s="82"/>
      <c r="G132" s="82"/>
      <c r="H132" s="82"/>
      <c r="I132" s="82"/>
      <c r="J132" s="82"/>
      <c r="K132" s="82"/>
      <c r="L132" s="82"/>
      <c r="M132" s="82"/>
      <c r="N132" s="82"/>
      <c r="O132" s="82"/>
      <c r="P132" s="82"/>
      <c r="Q132" s="82"/>
      <c r="R132" s="82"/>
      <c r="S132" s="82"/>
    </row>
    <row r="133" spans="1:19" ht="13.5" customHeight="1">
      <c r="A133" s="82"/>
      <c r="B133" s="82"/>
      <c r="C133" s="82"/>
      <c r="D133" s="82"/>
      <c r="E133" s="82"/>
      <c r="F133" s="124"/>
      <c r="G133" s="124"/>
      <c r="H133" s="82"/>
      <c r="I133" s="82"/>
      <c r="J133" s="82"/>
      <c r="K133" s="82"/>
      <c r="L133" s="82"/>
      <c r="M133" s="82"/>
      <c r="N133" s="82"/>
      <c r="O133" s="82"/>
      <c r="P133" s="82"/>
      <c r="Q133" s="82"/>
      <c r="R133" s="82"/>
      <c r="S133" s="82"/>
    </row>
    <row r="134" spans="1:19" ht="13.5" customHeight="1">
      <c r="A134" s="82"/>
      <c r="B134" s="82"/>
      <c r="C134" s="82"/>
      <c r="D134" s="82"/>
      <c r="E134" s="82"/>
      <c r="F134" s="124"/>
      <c r="G134" s="124"/>
      <c r="H134" s="82"/>
      <c r="I134" s="82"/>
      <c r="J134" s="82"/>
      <c r="K134" s="82"/>
      <c r="L134" s="82"/>
      <c r="M134" s="82"/>
      <c r="N134" s="82"/>
      <c r="O134" s="82"/>
      <c r="P134" s="82"/>
      <c r="Q134" s="82"/>
      <c r="R134" s="82"/>
      <c r="S134" s="82"/>
    </row>
    <row r="135" spans="1:19" ht="13.5" customHeight="1">
      <c r="A135" s="82"/>
      <c r="B135" s="82"/>
      <c r="C135" s="82"/>
      <c r="D135" s="82"/>
      <c r="E135" s="82"/>
      <c r="F135" s="124"/>
      <c r="G135" s="124"/>
      <c r="H135" s="82"/>
      <c r="I135" s="82"/>
      <c r="J135" s="82"/>
      <c r="K135" s="82"/>
      <c r="L135" s="82"/>
      <c r="M135" s="82"/>
      <c r="N135" s="82"/>
      <c r="O135" s="82"/>
      <c r="P135" s="82"/>
      <c r="Q135" s="82"/>
      <c r="R135" s="82"/>
      <c r="S135" s="82"/>
    </row>
    <row r="136" spans="1:19" ht="13.5" customHeight="1">
      <c r="A136" s="82"/>
      <c r="B136" s="82"/>
      <c r="C136" s="82"/>
      <c r="D136" s="82"/>
      <c r="E136" s="82"/>
      <c r="F136" s="124"/>
      <c r="G136" s="124"/>
      <c r="H136" s="82"/>
      <c r="I136" s="82"/>
      <c r="J136" s="82"/>
      <c r="K136" s="82"/>
      <c r="L136" s="82"/>
      <c r="M136" s="82"/>
      <c r="N136" s="82"/>
      <c r="O136" s="82"/>
      <c r="P136" s="82"/>
      <c r="Q136" s="82"/>
      <c r="R136" s="82"/>
      <c r="S136" s="82"/>
    </row>
    <row r="137" spans="1:19" ht="13.5" customHeight="1">
      <c r="A137" s="82"/>
      <c r="B137" s="82"/>
      <c r="C137" s="82"/>
      <c r="D137" s="82"/>
      <c r="E137" s="82"/>
      <c r="F137" s="82"/>
      <c r="G137" s="82"/>
      <c r="H137" s="82"/>
      <c r="I137" s="82"/>
      <c r="J137" s="82"/>
      <c r="K137" s="82"/>
      <c r="L137" s="82"/>
      <c r="M137" s="82"/>
      <c r="N137" s="82"/>
      <c r="O137" s="82"/>
      <c r="P137" s="82"/>
      <c r="Q137" s="82"/>
      <c r="R137" s="82"/>
      <c r="S137" s="82"/>
    </row>
    <row r="138" spans="1:19" ht="13.5" customHeight="1">
      <c r="A138" s="82"/>
      <c r="B138" s="82"/>
      <c r="C138" s="123"/>
      <c r="D138" s="82"/>
      <c r="E138" s="82"/>
      <c r="F138" s="82"/>
      <c r="G138" s="82"/>
      <c r="H138" s="82"/>
      <c r="I138" s="82"/>
      <c r="J138" s="82"/>
      <c r="K138" s="82"/>
      <c r="L138" s="82"/>
      <c r="M138" s="82"/>
      <c r="N138" s="82"/>
      <c r="O138" s="82"/>
      <c r="P138" s="82"/>
      <c r="Q138" s="82"/>
      <c r="R138" s="82"/>
      <c r="S138" s="82"/>
    </row>
    <row r="139" spans="1:19" ht="13.5" customHeight="1">
      <c r="A139" s="82"/>
      <c r="B139" s="82"/>
      <c r="C139" s="82"/>
      <c r="D139" s="82"/>
      <c r="E139" s="82"/>
      <c r="F139" s="124"/>
      <c r="G139" s="124"/>
      <c r="H139" s="82"/>
      <c r="I139" s="82"/>
      <c r="J139" s="82"/>
      <c r="K139" s="82"/>
      <c r="L139" s="82"/>
      <c r="M139" s="82"/>
      <c r="N139" s="82"/>
      <c r="O139" s="82"/>
      <c r="P139" s="82"/>
      <c r="Q139" s="82"/>
      <c r="R139" s="82"/>
      <c r="S139" s="82"/>
    </row>
    <row r="140" spans="1:19" ht="13.5" customHeight="1">
      <c r="A140" s="82"/>
      <c r="B140" s="82"/>
      <c r="C140" s="82"/>
      <c r="D140" s="82"/>
      <c r="E140" s="82"/>
      <c r="F140" s="124"/>
      <c r="G140" s="124"/>
      <c r="H140" s="82"/>
      <c r="I140" s="82"/>
      <c r="J140" s="82"/>
      <c r="K140" s="82"/>
      <c r="L140" s="82"/>
      <c r="M140" s="82"/>
      <c r="N140" s="82"/>
      <c r="O140" s="82"/>
      <c r="P140" s="82"/>
      <c r="Q140" s="82"/>
      <c r="R140" s="82"/>
      <c r="S140" s="82"/>
    </row>
    <row r="141" spans="1:19" ht="13.5" customHeight="1">
      <c r="A141" s="82"/>
      <c r="B141" s="82"/>
      <c r="C141" s="82"/>
      <c r="D141" s="82"/>
      <c r="E141" s="82"/>
      <c r="F141" s="124"/>
      <c r="G141" s="124"/>
      <c r="H141" s="82"/>
      <c r="I141" s="82"/>
      <c r="J141" s="82"/>
      <c r="K141" s="82"/>
      <c r="L141" s="82"/>
      <c r="M141" s="82"/>
      <c r="N141" s="82"/>
      <c r="O141" s="82"/>
      <c r="P141" s="82"/>
      <c r="Q141" s="82"/>
      <c r="R141" s="82"/>
      <c r="S141" s="82"/>
    </row>
    <row r="142" spans="1:19" ht="13.5" customHeight="1">
      <c r="A142" s="82"/>
      <c r="B142" s="82"/>
      <c r="C142" s="82"/>
      <c r="D142" s="82"/>
      <c r="E142" s="82"/>
      <c r="F142" s="124"/>
      <c r="G142" s="124"/>
      <c r="H142" s="82"/>
      <c r="I142" s="82"/>
      <c r="J142" s="82"/>
      <c r="K142" s="82"/>
      <c r="L142" s="82"/>
      <c r="M142" s="82"/>
      <c r="N142" s="82"/>
      <c r="O142" s="82"/>
      <c r="P142" s="82"/>
      <c r="Q142" s="82"/>
      <c r="R142" s="82"/>
      <c r="S142" s="82"/>
    </row>
    <row r="143" spans="1:19" ht="5.0999999999999996" customHeight="1">
      <c r="A143" s="82"/>
      <c r="B143" s="82"/>
      <c r="C143" s="82"/>
      <c r="D143" s="82"/>
      <c r="E143" s="82"/>
      <c r="F143" s="82"/>
      <c r="G143" s="82"/>
      <c r="H143" s="82"/>
      <c r="I143" s="82"/>
      <c r="J143" s="82"/>
      <c r="K143" s="82"/>
      <c r="L143" s="82"/>
      <c r="M143" s="82"/>
      <c r="N143" s="82"/>
      <c r="O143" s="82"/>
      <c r="P143" s="82"/>
      <c r="Q143" s="82"/>
      <c r="R143" s="82"/>
      <c r="S143" s="82"/>
    </row>
    <row r="144" spans="1:19" ht="13.5" customHeight="1">
      <c r="A144" s="82"/>
      <c r="B144" s="82"/>
      <c r="C144" s="82"/>
      <c r="D144" s="82"/>
      <c r="E144" s="82"/>
      <c r="F144" s="124"/>
      <c r="G144" s="124"/>
      <c r="H144" s="82"/>
      <c r="I144" s="82"/>
      <c r="J144" s="82"/>
      <c r="K144" s="82"/>
      <c r="L144" s="82"/>
      <c r="M144" s="82"/>
      <c r="N144" s="82"/>
      <c r="O144" s="82"/>
      <c r="P144" s="82"/>
      <c r="Q144" s="82"/>
      <c r="R144" s="82"/>
      <c r="S144" s="82"/>
    </row>
    <row r="145" spans="1:19" ht="13.5" customHeight="1">
      <c r="A145" s="82"/>
      <c r="B145" s="82"/>
      <c r="C145" s="82"/>
      <c r="D145" s="82"/>
      <c r="E145" s="82"/>
      <c r="F145" s="124"/>
      <c r="G145" s="124"/>
      <c r="H145" s="82"/>
      <c r="I145" s="82"/>
      <c r="J145" s="82"/>
      <c r="K145" s="82"/>
      <c r="L145" s="82"/>
      <c r="M145" s="82"/>
      <c r="N145" s="82"/>
      <c r="O145" s="82"/>
      <c r="P145" s="82"/>
      <c r="Q145" s="82"/>
      <c r="R145" s="82"/>
      <c r="S145" s="82"/>
    </row>
    <row r="146" spans="1:19" ht="13.5" customHeight="1">
      <c r="A146" s="82"/>
      <c r="B146" s="82"/>
      <c r="C146" s="82"/>
      <c r="D146" s="82"/>
      <c r="E146" s="82"/>
      <c r="F146" s="82"/>
      <c r="G146" s="82"/>
      <c r="H146" s="82"/>
      <c r="I146" s="82"/>
      <c r="J146" s="82"/>
      <c r="K146" s="82"/>
      <c r="L146" s="82"/>
      <c r="M146" s="82"/>
      <c r="N146" s="82"/>
      <c r="O146" s="82"/>
      <c r="P146" s="82"/>
      <c r="Q146" s="82"/>
      <c r="R146" s="82"/>
      <c r="S146" s="82"/>
    </row>
    <row r="147" spans="1:19" ht="13.5" customHeight="1">
      <c r="F147" s="124"/>
      <c r="G147" s="124"/>
    </row>
  </sheetData>
  <pageMargins left="0.25" right="0.25" top="0.75" bottom="0.75" header="0.3" footer="0.3"/>
  <pageSetup scale="47" orientation="landscape" r:id="rId1"/>
  <headerFooter alignWithMargins="0">
    <oddHeader>&amp;A</oddHeader>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C4E61526377E47AF828979A7A771F0" ma:contentTypeVersion="12" ma:contentTypeDescription="Create a new document." ma:contentTypeScope="" ma:versionID="0b4d727f8e0090d90ec79830cdf4dda3">
  <xsd:schema xmlns:xsd="http://www.w3.org/2001/XMLSchema" xmlns:xs="http://www.w3.org/2001/XMLSchema" xmlns:p="http://schemas.microsoft.com/office/2006/metadata/properties" xmlns:ns2="2e8f0d28-a7bd-4ba5-af77-49452aacead3" xmlns:ns3="0943dc99-765d-4763-a2da-dd5dd934c3aa" targetNamespace="http://schemas.microsoft.com/office/2006/metadata/properties" ma:root="true" ma:fieldsID="7380d60c0617d7f8fa5f6d960c1f6aa1" ns2:_="" ns3:_="">
    <xsd:import namespace="2e8f0d28-a7bd-4ba5-af77-49452aacead3"/>
    <xsd:import namespace="0943dc99-765d-4763-a2da-dd5dd934c3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8f0d28-a7bd-4ba5-af77-49452aacea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aa049ea-3849-4ddd-aa67-d6de9634ed4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43dc99-765d-4763-a2da-dd5dd934c3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0fe633-aac5-4ebd-8e4d-5a85816953f9}" ma:internalName="TaxCatchAll" ma:showField="CatchAllData" ma:web="0943dc99-765d-4763-a2da-dd5dd934c3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e8f0d28-a7bd-4ba5-af77-49452aacead3">
      <Terms xmlns="http://schemas.microsoft.com/office/infopath/2007/PartnerControls"/>
    </lcf76f155ced4ddcb4097134ff3c332f>
    <TaxCatchAll xmlns="0943dc99-765d-4763-a2da-dd5dd934c3aa" xsi:nil="true"/>
  </documentManagement>
</p:properties>
</file>

<file path=customXml/itemProps1.xml><?xml version="1.0" encoding="utf-8"?>
<ds:datastoreItem xmlns:ds="http://schemas.openxmlformats.org/officeDocument/2006/customXml" ds:itemID="{4BC47D28-5CDD-41C5-B5C0-F8FFE240C853}"/>
</file>

<file path=customXml/itemProps2.xml><?xml version="1.0" encoding="utf-8"?>
<ds:datastoreItem xmlns:ds="http://schemas.openxmlformats.org/officeDocument/2006/customXml" ds:itemID="{7395954B-8DCA-40CA-A11B-C58C6734F546}"/>
</file>

<file path=customXml/itemProps3.xml><?xml version="1.0" encoding="utf-8"?>
<ds:datastoreItem xmlns:ds="http://schemas.openxmlformats.org/officeDocument/2006/customXml" ds:itemID="{F04A74C9-33BC-480A-811C-C3EA9CD9199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PART I - MODEL BUILD &gt;&gt;&gt;</vt:lpstr>
      <vt:lpstr>Financials from CIP</vt:lpstr>
      <vt:lpstr>Step 1</vt:lpstr>
      <vt:lpstr>Step 1 Answer Key</vt:lpstr>
      <vt:lpstr>Step 2</vt:lpstr>
      <vt:lpstr>Step 2 Answer Key</vt:lpstr>
      <vt:lpstr>Step 3</vt:lpstr>
      <vt:lpstr>'Financials from CIP'!Print_Area</vt:lpstr>
      <vt:lpstr>'Step 1'!Print_Area</vt:lpstr>
      <vt:lpstr>'Step 1 Answer Key'!Print_Area</vt:lpstr>
      <vt:lpstr>'Step 2'!Print_Area</vt:lpstr>
      <vt:lpstr>'Step 2 Answer Key'!Print_Area</vt:lpstr>
      <vt:lpstr>'Step 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Wolinsky</dc:creator>
  <cp:lastModifiedBy>David Wolinsky</cp:lastModifiedBy>
  <dcterms:created xsi:type="dcterms:W3CDTF">2026-02-19T01:46:31Z</dcterms:created>
  <dcterms:modified xsi:type="dcterms:W3CDTF">2026-02-19T01:49:47Z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0x010100FFC4E61526377E47AF828979A7A771F0</vt:lpwstr>
  </property>
</Properties>
</file>