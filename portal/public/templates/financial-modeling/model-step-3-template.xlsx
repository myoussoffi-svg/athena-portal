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athenape.sharepoint.com/sites/AthenaDocuments/Shared Documents/_DOCS/_Teaching Content/_WIP/Module 4 - Model Building Steps/"/>
    </mc:Choice>
  </mc:AlternateContent>
  <xr:revisionPtr revIDLastSave="1" documentId="8_{6BFDA75F-19B7-4CA3-810D-09D71E2F9D57}" xr6:coauthVersionLast="47" xr6:coauthVersionMax="47" xr10:uidLastSave="{FD05BF9E-5BF5-46BB-AA87-367C4EEB34E4}"/>
  <bookViews>
    <workbookView xWindow="-120" yWindow="-120" windowWidth="29040" windowHeight="17520" firstSheet="2" activeTab="4" xr2:uid="{A1503B94-E01D-4922-9F16-563AB0DE8626}"/>
  </bookViews>
  <sheets>
    <sheet name="PART I - MODEL BUILD &gt;&gt;&gt;" sheetId="1" r:id="rId1"/>
    <sheet name="Financials from CIP" sheetId="2" r:id="rId2"/>
    <sheet name="Step 1" sheetId="3" r:id="rId3"/>
    <sheet name="Step 1 Answer Key" sheetId="4" r:id="rId4"/>
    <sheet name="Step 2" sheetId="5" r:id="rId5"/>
  </sheets>
  <externalReferences>
    <externalReference r:id="rId6"/>
  </externalReferences>
  <definedNames>
    <definedName name="__123Graph_A" hidden="1">#REF!</definedName>
    <definedName name="__123Graph_AChart1" hidden="1">#REF!</definedName>
    <definedName name="__123Graph_ACurrent" hidden="1">#REF!</definedName>
    <definedName name="__123Graph_B" hidden="1">#REF!</definedName>
    <definedName name="__123Graph_X" hidden="1">#REF!</definedName>
    <definedName name="__Actual_Total_208_209_210_Act_v_Budget_01" hidden="1">#REF!</definedName>
    <definedName name="__FDS_HYPERLINK_TOGGLE_STATE__" hidden="1">"ON"</definedName>
    <definedName name="__Total_208_209_210_Level6member_Name_by_Fiscal_00_00" hidden="1">#REF!</definedName>
    <definedName name="__Total_208_209_210_Level6member_Name_by_Fiscal_00_01" hidden="1">#REF!</definedName>
    <definedName name="__Total_208_209_210_Level6member_Name_by_Fiscal_01" hidden="1">#REF!</definedName>
    <definedName name="_1__FDSAUDITLINK__" localSheetId="1"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1__FDSAUDITLINK__" localSheetId="1"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3__FDSAUDITLINK__" localSheetId="1"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6__FDSAUDITLINK__" localSheetId="1"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localSheetId="1"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8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9__123Graph_ACHART_1" hidden="1">#REF!</definedName>
    <definedName name="_19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__123Graph_AChart_1A" hidden="1">#REF!</definedName>
    <definedName name="_2__123Graph_AChart_1A_" hidden="1">#REF!</definedName>
    <definedName name="_2__FDSAUDITLINK__" localSheetId="1"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0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1__FDSAUDITLINK__" localSheetId="1"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2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localSheetId="1"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6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7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0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1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4__123Graph_BChart_1A" hidden="1">#REF!</definedName>
    <definedName name="_4__123Graph_BCHart_1A_" hidden="1">#REF!</definedName>
    <definedName name="_4__FDSAUDITLINK__" localSheetId="1"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6__123Graph_XChart_1A" hidden="1">#REF!</definedName>
    <definedName name="_6__FDSAUDITLINK__" localSheetId="1"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7___123Graph_ACHART_1" hidden="1">#REF!</definedName>
    <definedName name="_7__FDSAUDITLINK__" localSheetId="1"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8__FDSAUDITLINK__" localSheetId="1"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9__123Graph_ACHART_1" hidden="1">#REF!</definedName>
    <definedName name="_9__FDSAUDITLINK__" localSheetId="1"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Actual_Dmaname_00" hidden="1">#REF!</definedName>
    <definedName name="_Actual_Total_208_209_210_Act_v_Budget_00" hidden="1">#REF!</definedName>
    <definedName name="_bdm.027F8800880F434B81A9C2A89DCC8C4A.edm" hidden="1">#REF!</definedName>
    <definedName name="_bdm.05C86319A7A34B6FA1DD54078DB04ADF.edm" hidden="1">#REF!</definedName>
    <definedName name="_bdm.076963F0805044F7A551C15654E4035D.edm" hidden="1">#REF!</definedName>
    <definedName name="_bdm.0B2EC36587664FCAAFAD2A6102D11FF7.edm" hidden="1">#REF!</definedName>
    <definedName name="_bdm.0C4E292BC10E49148B4AD96C7ED759BF.edm" hidden="1">#REF!</definedName>
    <definedName name="_bdm.14E12C44B2244BF4A4C86061C14FF480.edm" hidden="1">#REF!</definedName>
    <definedName name="_bdm.15532E20B1FF46539CE99D4F06003620.edm" hidden="1">#REF!</definedName>
    <definedName name="_bdm.17C6DB35F253421CA37F6DECBB53CB09.edm" hidden="1">#REF!</definedName>
    <definedName name="_bdm.1AF687A1E5ED45509674CBEECB86F11E.edm" hidden="1">#REF!</definedName>
    <definedName name="_bdm.1E81B4231B01419BAB1F7629BF57760E.edm" hidden="1">#REF!</definedName>
    <definedName name="_bdm.2246936292114AFCAC138C7D9D396F97.edm" hidden="1">#REF!</definedName>
    <definedName name="_bdm.22AD675AC94D4AFDB265799534DA88B6.edm" hidden="1">#REF!</definedName>
    <definedName name="_bdm.27BBF0899CDA4B0B8C7F6BB9B96E97B9.edm" hidden="1">#REF!</definedName>
    <definedName name="_bdm.28AD9BC5E3734025886BCB13389E0C5C.edm" hidden="1">#REF!</definedName>
    <definedName name="_bdm.2910D8A914AA47CB9BD32BF0A51EB1D9.edm" hidden="1">#REF!</definedName>
    <definedName name="_bdm.2AB6882CBF0147C7A1E52A575553A68B.edm" hidden="1">#REF!</definedName>
    <definedName name="_bdm.2AC364EC557B4DE9871125A7EA06067E.edm" hidden="1">#REF!</definedName>
    <definedName name="_bdm.2BEA366AF93F49AD8224CA9700F1EB81.edm" hidden="1">#REF!</definedName>
    <definedName name="_bdm.2C72CEEE222D4D34B105F10FCC846016.edm" hidden="1">#REF!</definedName>
    <definedName name="_bdm.2D4F8479E7044B6E9793C47E15E26658.edm" hidden="1">#REF!</definedName>
    <definedName name="_bdm.2D618CBB3A8C4DAA9BE9905DB9511DDC.edm" hidden="1">#REF!</definedName>
    <definedName name="_bdm.3418471FD2B243478AC1C676C4E8C5FC.edm" hidden="1">#REF!</definedName>
    <definedName name="_bdm.35C995F189BC41DAAC3F44625A6E292F.edm" hidden="1">#REF!</definedName>
    <definedName name="_bdm.36037A84D6F14885BD15EF420BC6D13A.edm" hidden="1">#REF!</definedName>
    <definedName name="_bdm.3EF881079894438BA7659EB9FF6E25DD.edm" hidden="1">#REF!</definedName>
    <definedName name="_bdm.413BEB5CE0294B15AC90D7DF8DF74345.edm" hidden="1">#REF!</definedName>
    <definedName name="_bdm.41BFA87685854FE88D3D6EB2C8112366.edm" hidden="1">#REF!</definedName>
    <definedName name="_bdm.4287C95B1398429F816153A26570B2F4.edm" hidden="1">#REF!</definedName>
    <definedName name="_bdm.463865BEA38643A6B5EA19C48E7DD61B.edm" hidden="1">#REF!</definedName>
    <definedName name="_bdm.51A2D8508DAB4D008B17FAAF7FA1EF3C.edm" hidden="1">#REF!</definedName>
    <definedName name="_bdm.53E95D570F0E450199C885D6AB439EDB.edm" hidden="1">#REF!</definedName>
    <definedName name="_bdm.5687C9EBCCE349AE869A299D9958753B.edm" hidden="1">#REF!</definedName>
    <definedName name="_bdm.57E8B17D34C04A829449F6DBC62DB6FF.edm" hidden="1">#REF!</definedName>
    <definedName name="_bdm.5DEC2A588B2D4D22B7B208818CC8FD85.edm" hidden="1">#REF!</definedName>
    <definedName name="_bdm.5F3A07197DF14426A5AF2056E21ABA4A.edm" hidden="1">#REF!</definedName>
    <definedName name="_bdm.6025BA6B51C743E1AD96EEE3105BF3D0.edm" hidden="1">#REF!</definedName>
    <definedName name="_bdm.61C015219123495FB66B0B9458B58C4F.edm" hidden="1">#REF!</definedName>
    <definedName name="_bdm.633EB5F9D13D4B02A76654B7C7AA5FE4.edm" hidden="1">#REF!</definedName>
    <definedName name="_bdm.6A4D64318E7C49E3A309FEAFD3C914ED.edm" hidden="1">#REF!</definedName>
    <definedName name="_bdm.6B764F624FD64FE48689F7B0C3C5105A.edm" hidden="1">#REF!</definedName>
    <definedName name="_bdm.7B582216104D4FC3AD7A52D599B1C43A.edm" hidden="1">#REF!</definedName>
    <definedName name="_bdm.8161120405654232B4CD7904DF34AD10.edm" hidden="1">#REF!</definedName>
    <definedName name="_bdm.82810F34DEC543B0938EAF91531EAF0D.edm" hidden="1">#REF!</definedName>
    <definedName name="_bdm.8649F3B960184A0E9CC5311F749236B9.edm" hidden="1">#REF!</definedName>
    <definedName name="_bdm.8677447478264074BAF1FF345884C57C.edm" hidden="1">#REF!</definedName>
    <definedName name="_bdm.8CCC0F9C648F42E7B681E322CDAABB0B.edm" hidden="1">#REF!</definedName>
    <definedName name="_bdm.9AB08E8B9DD242CD86AB346DB45BC7EA.edm" hidden="1">#REF!</definedName>
    <definedName name="_bdm.A30C0767F84B45589EEE7453C94BCB6E.edm" hidden="1">#REF!</definedName>
    <definedName name="_bdm.A3C74F68435B4A2F946E8A7166EE8A58.edm" hidden="1">#REF!</definedName>
    <definedName name="_bdm.A4DA664F0D8D40439812270DD015A5FC.edm" hidden="1">#REF!</definedName>
    <definedName name="_bdm.AE68C2B6B205464EA6DE0BCF961588FD.edm" hidden="1">#REF!</definedName>
    <definedName name="_bdm.AEB7040D03DE41988DDCA3F5FAF13B03.edm" hidden="1">#REF!</definedName>
    <definedName name="_bdm.B32EECEF008048CB8820362F735767B2.edm" hidden="1">#REF!</definedName>
    <definedName name="_bdm.B5807A90851A4FFD80A55244D63565EC.edm" hidden="1">#REF!</definedName>
    <definedName name="_bdm.BAC8A75873BD47C898F7FA00AB6AF1F7.edm" hidden="1">#REF!</definedName>
    <definedName name="_bdm.BBDFA80AE11F4793AA814D13DE9E8639.edm" hidden="1">#REF!</definedName>
    <definedName name="_bdm.C5DBACA85DED48339A640388347A0422.edm" hidden="1">#REF!</definedName>
    <definedName name="_bdm.CEECD5A4BBD44CA18565D39876649090.edm" hidden="1">#REF!</definedName>
    <definedName name="_bdm.CF8AEAF52A8A4887A0B828A298C40612.edm" hidden="1">#REF!</definedName>
    <definedName name="_bdm.D0617DFC048A4E06B33A16ECE92185C2.edm" hidden="1">#REF!</definedName>
    <definedName name="_bdm.D2356439F5E04D59804E8B79D675D554.edm" hidden="1">#REF!</definedName>
    <definedName name="_bdm.D8485C725B4A4D2ABEF86761D5A0AF79.edm" hidden="1">#REF!</definedName>
    <definedName name="_bdm.D9912FF757C643AF874356426ECCD0C2.edm" hidden="1">#REF!</definedName>
    <definedName name="_bdm.DD366674451544BF93BC8D487636644E.edm" hidden="1">#REF!</definedName>
    <definedName name="_bdm.E29CC2CCE143482595B4593DE68FFC66.edm" hidden="1">#REF!</definedName>
    <definedName name="_bdm.E5BDB6F1C2C945E59CAD61487277009E.edm" hidden="1">#REF!</definedName>
    <definedName name="_bdm.E5E791ED8BD04267A71BD33F4FFBEA2A.edm" hidden="1">#REF!</definedName>
    <definedName name="_bdm.E707CBC911714632A3B5B6760EB38EC2.edm" hidden="1">#REF!</definedName>
    <definedName name="_bdm.E8798BE2C6784495B4B2F5965A63DD45.edm" hidden="1">#REF!</definedName>
    <definedName name="_bdm.ED6FE57296254F039CFA264D6C0DBF2C.edm" hidden="1">#REF!</definedName>
    <definedName name="_bdm.EE29D448DCFC4D9482FD4C4939471795.edm" hidden="1">#REF!</definedName>
    <definedName name="_bdm.F1438972761941AFBBAD0E56AC142EA0.edm" hidden="1">#REF!</definedName>
    <definedName name="_bdm.F289BB85805949C4A2DB02778B66B1FC.edm" hidden="1">#REF!</definedName>
    <definedName name="_bdm.FastTrackBookmark.3_7_2019_11_35_41_AM.edm" hidden="1">#REF!</definedName>
    <definedName name="_bdm.FE163486EC8B4FD68CD11B0B1DCE74BB.edm" hidden="1">#REF!</definedName>
    <definedName name="_Bud210_Level7member_Name_00" hidden="1">#REF!</definedName>
    <definedName name="_Fil1" hidden="1">#REF!</definedName>
    <definedName name="_Fill" hidden="1">#REF!</definedName>
    <definedName name="_Key1" hidden="1">#REF!</definedName>
    <definedName name="_Key2" hidden="1">#REF!</definedName>
    <definedName name="_Order1" hidden="1">255</definedName>
    <definedName name="_Order2" hidden="1">255</definedName>
    <definedName name="_pcSlicerSheet_Slicer1" hidden="1">#REF!</definedName>
    <definedName name="_Sort" hidden="1">#REF!</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gs1" localSheetId="2" hidden="1">"&lt;tags&gt;&lt;tag n=""Palette"" v=""-1"" /&gt;&lt;tag n=""ClosestPalette"" v=""1"" /&gt;&lt;/tags&gt;"</definedName>
    <definedName name="_tags1" localSheetId="3" hidden="1">"&lt;tags&gt;&lt;tag n=""Palette"" v=""-1"" /&gt;&lt;tag n=""ClosestPalette"" v=""1"" /&gt;&lt;/tags&gt;"</definedName>
    <definedName name="_tags1" localSheetId="4" hidden="1">"&lt;tags&gt;&lt;tag n=""Palette"" v=""-1"" /&gt;&lt;tag n=""ClosestPalette"" v=""1"" /&gt;&lt;/tags&gt;"</definedName>
    <definedName name="_Total_208_209_210_for_Mobile_Level6member_Name_00" hidden="1">#REF!</definedName>
    <definedName name="_Total_208_209_210_Level6member_Name_by_Fiscal_00" hidden="1">#REF!</definedName>
    <definedName name="_Total_208_209_210_Level7member_Name_00"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#REF!</definedName>
    <definedName name="AccessDatabase" hidden="1">"G:\Finance\Projections\2001 Projections\Pivot 2001.mdb"</definedName>
    <definedName name="AS2DocOpenMode" hidden="1">"AS2DocumentBrowse"</definedName>
    <definedName name="AS2HasNoAutoHeaderFooter" hidden="1">" "</definedName>
    <definedName name="AS2NamedRange" hidden="1">3</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08" hidden="1">#REF!</definedName>
    <definedName name="BLPB109" hidden="1">#REF!</definedName>
    <definedName name="BLPB11" hidden="1">#REF!</definedName>
    <definedName name="BLPB110" hidden="1">#REF!</definedName>
    <definedName name="BLPB111" hidden="1">#REF!</definedName>
    <definedName name="BLPB112" hidden="1">#REF!</definedName>
    <definedName name="BLPB113" hidden="1">#REF!</definedName>
    <definedName name="BLPB114" hidden="1">#REF!</definedName>
    <definedName name="BLPB115" hidden="1">#REF!</definedName>
    <definedName name="BLPB116" hidden="1">#REF!</definedName>
    <definedName name="BLPB117" hidden="1">#REF!</definedName>
    <definedName name="BLPB118" hidden="1">#REF!</definedName>
    <definedName name="BLPB119" hidden="1">#REF!</definedName>
    <definedName name="BLPB12" hidden="1">#REF!</definedName>
    <definedName name="BLPB120" hidden="1">#REF!</definedName>
    <definedName name="BLPB121" hidden="1">#REF!</definedName>
    <definedName name="BLPB122" hidden="1">#REF!</definedName>
    <definedName name="BLPB123" hidden="1">#REF!</definedName>
    <definedName name="BLPB124" hidden="1">#REF!</definedName>
    <definedName name="BLPB125" hidden="1">#REF!</definedName>
    <definedName name="BLPB126" hidden="1">#REF!</definedName>
    <definedName name="BLPB127" hidden="1">#REF!</definedName>
    <definedName name="BLPB128" hidden="1">#REF!</definedName>
    <definedName name="BLPB129" hidden="1">#REF!</definedName>
    <definedName name="BLPB13" hidden="1">#REF!</definedName>
    <definedName name="BLPB136" hidden="1">#REF!</definedName>
    <definedName name="BLPB137"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10" hidden="1">#REF!</definedName>
    <definedName name="BLPH11" hidden="1">#REF!</definedName>
    <definedName name="BLPH14" hidden="1">#REF!</definedName>
    <definedName name="BLPH1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IQWBGuid" localSheetId="1" hidden="1">"540f3042-7976-4467-9d88-72aa3cab8ff7"</definedName>
    <definedName name="CIQWBGuid" hidden="1">"c36e0a5d-d90c-4aad-b751-96208262ef45"</definedName>
    <definedName name="CompanyName1" hidden="1">#REF!</definedName>
    <definedName name="CompanyName2" hidden="1">#REF!</definedName>
    <definedName name="CompanyName3" hidden="1">#REF!</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wvu.GREY_ALL." hidden="1">#REF!</definedName>
    <definedName name="DateRangeComp" hidden="1">#N/A</definedName>
    <definedName name="DateRangeCompMain" hidden="1">#REF!</definedName>
    <definedName name="DateRangePrice" hidden="1">#N/A</definedName>
    <definedName name="DateRangePriceMain" hidden="1">#REF!</definedName>
    <definedName name="Editable" hidden="1">#REF!,#REF!,#REF!,#REF!</definedName>
    <definedName name="EV__LASTREFTIME__" hidden="1">39104.6256481481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1聄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聄D_172_0" hidden="1">"A30681"</definedName>
    <definedName name="F聄D_179_1" hidden="1">"E36525"</definedName>
    <definedName name="F聄D_82_11" hidden="1">"A34699"</definedName>
    <definedName name="hhhhh" localSheetId="1" hidden="1">{"overall",#N/A,FALSE,"Taylor";"Jul24Sum",#N/A,FALSE,"Finance";"Jul24COS",#N/A,FALSE,"Finance";"Jul24C3",#N/A,FALSE,"Finance";"jul24tax&amp;debtcalcs",#N/A,FALSE,"Finance";"jeepsum",#N/A,FALSE,"Finance";"taysum1",#N/A,FALSE,"Taylor";"BS",#N/A,FALSE,"Taylor";"backup",#N/A,FALSE,"Taylor";"jeepop",#N/A,FALSE,"Operating costs"}</definedName>
    <definedName name="hhhhh" hidden="1">{"overall",#N/A,FALSE,"Taylor";"Jul24Sum",#N/A,FALSE,"Finance";"Jul24COS",#N/A,FALSE,"Finance";"Jul24C3",#N/A,FALSE,"Finance";"jul24tax&amp;debtcalcs",#N/A,FALSE,"Finance";"jeepsum",#N/A,FALSE,"Finance";"taysum1",#N/A,FALSE,"Taylor";"BS",#N/A,FALSE,"Taylor";"backup",#N/A,FALSE,"Taylor";"jeepop",#N/A,FALSE,"Operating costs"}</definedName>
    <definedName name="HTML_CodePage" hidden="1">1252</definedName>
    <definedName name="HTML_Control" localSheetId="1" hidden="1">{"'xls'!$A$71:$A$78","'xls'!$A$1:$J$77"}</definedName>
    <definedName name="HTML_Control" hidden="1">{"'xls'!$A$71:$A$78","'xls'!$A$1:$J$77"}</definedName>
    <definedName name="HTML_Description" hidden="1">""</definedName>
    <definedName name="HTML_Email" hidden="1">""</definedName>
    <definedName name="HTML_Header" hidden="1">"tab34"</definedName>
    <definedName name="HTML_LastUpdate" hidden="1">"1/5/00"</definedName>
    <definedName name="HTML_LineAfter" hidden="1">FALSE</definedName>
    <definedName name="HTML_LineBefore" hidden="1">FALSE</definedName>
    <definedName name="HTML_Name" hidden="1">"William J. Hussar"</definedName>
    <definedName name="HTML_OBDlg2" hidden="1">TRUE</definedName>
    <definedName name="HTML_OBDlg4" hidden="1">TRUE</definedName>
    <definedName name="HTML_OS" hidden="1">0</definedName>
    <definedName name="HTML_PathFile" hidden="1">"D:\PROJ2009\WP\Test\tabxxxxx.htm"</definedName>
    <definedName name="HTML_Title" hidden="1">"tab35plainerb1y"</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rs" hidden="1">39210.6342708333</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DET_EST_REUT_CURRENCY_CURRENCY_REUT" hidden="1">"c12526"</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"019773000"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OTHER_INCOME" hidden="1">"c15257"</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PROVIDED_DIVIDEND" hidden="1">"c19252"</definedName>
    <definedName name="IQ_INDEX_TYPE" hidden="1">"c15223"</definedName>
    <definedName name="IQ_INDEXCONSTITUENT_CLOSEPRICE" hidden="1">"c19241"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QUARTERLY_AVG_FFIEC" hidden="1">"c15471"</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DA_NON_TRANS_ACCTS_FFIEC" hidden="1">"c15330"</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NAMES_REVISION_DATE_" localSheetId="1" hidden="1">41677.725474537</definedName>
    <definedName name="IQ_NAMES_REVISION_DATE_" hidden="1">42912.7543981482</definedName>
    <definedName name="IQ_NAMES_REVISION_DATE__" hidden="1">43558.745474537</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STRIKE_PRICE_GRANTED" hidden="1">"c2692"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BEFORE_LOAN_LOSS_FOREIGN_FFIEC" hidden="1">"c15381"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38971.4766666667</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ANK_CAPITAL" hidden="1">"c2668"</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0" hidden="1">"$A$11:$A$262"</definedName>
    <definedName name="IQRA14" hidden="1">"$A$15:$A$99"</definedName>
    <definedName name="IQRA8" hidden="1">"$A$9:$A$763"</definedName>
    <definedName name="IQRA9" hidden="1">"$A$10:$A$46"</definedName>
    <definedName name="IQRAF17" hidden="1">"$AF$18:$AF$270"</definedName>
    <definedName name="IQRAP17" hidden="1">"$AP$18"</definedName>
    <definedName name="IQRAP89" hidden="1">"$AP$90"</definedName>
    <definedName name="IQRAQ17" hidden="1">"$AQ$18"</definedName>
    <definedName name="IQRAQ89" hidden="1">"$AQ$90"</definedName>
    <definedName name="IQRAR89" hidden="1">"$AR$90"</definedName>
    <definedName name="IQRAS17" hidden="1">"$AS$18:$AS$25"</definedName>
    <definedName name="IQRAS89" hidden="1">"$AS$90:$AS$93"</definedName>
    <definedName name="IQRAT17" hidden="1">"$AT$18:$AT$25"</definedName>
    <definedName name="IQRAT89" hidden="1">"$AT$90"</definedName>
    <definedName name="IQRAU17" hidden="1">"$AU$18"</definedName>
    <definedName name="IQRAV89" hidden="1">"$AV$90"</definedName>
    <definedName name="IQRAX89" hidden="1">"$AX$90"</definedName>
    <definedName name="IQRAZ17" hidden="1">"$AZ$18:$AZ$19"</definedName>
    <definedName name="IQRB11" hidden="1">"$B$12:$B$1616"</definedName>
    <definedName name="IQRB6" hidden="1">"$B$7:$B$258"</definedName>
    <definedName name="IQRB7" hidden="1">"$B$8:$B$103"</definedName>
    <definedName name="IQRB8" hidden="1">"$B$9:$B$262"</definedName>
    <definedName name="IQRBA17" hidden="1">"$BA$18"</definedName>
    <definedName name="IQRC8" hidden="1">"$C$9:$C$260"</definedName>
    <definedName name="IQRD32" hidden="1">"$D$33:$D$37"</definedName>
    <definedName name="IQRD33" hidden="1">"$D$34:$D$38"</definedName>
    <definedName name="IQRD34" hidden="1">"$D$35:$D$39"</definedName>
    <definedName name="IQRD35" hidden="1">"$D$36:$D$40"</definedName>
    <definedName name="IQRD36" hidden="1">"$D$37:$D$41"</definedName>
    <definedName name="IQRD37" hidden="1">"$D$38:$D$42"</definedName>
    <definedName name="IQRD38" hidden="1">"$D$39:$D$295"</definedName>
    <definedName name="IQRD39" hidden="1">"$D$40:$D$44"</definedName>
    <definedName name="IQRD40" hidden="1">"$D$41:$D$45"</definedName>
    <definedName name="IQRD41" hidden="1">"$D$42:$D$46"</definedName>
    <definedName name="IQRD42" hidden="1">"$D$43:$D$299"</definedName>
    <definedName name="IQRD43" hidden="1">"$D$44:$D$299"</definedName>
    <definedName name="IQRD44" hidden="1">"$D$45:$D$49"</definedName>
    <definedName name="IQRD45" hidden="1">"$D$46:$D$50"</definedName>
    <definedName name="IQRD46" hidden="1">"$D$47:$D$51"</definedName>
    <definedName name="IQRD48" hidden="1">"$D$49:$D$53"</definedName>
    <definedName name="IQRD49" hidden="1">"$D$50:$D$54"</definedName>
    <definedName name="IQRD50" hidden="1">"$D$51:$D$55"</definedName>
    <definedName name="IQRD51" hidden="1">"$D$52:$D$303"</definedName>
    <definedName name="IQRD52" hidden="1">"$D$53:$D$57"</definedName>
    <definedName name="IQRD53" hidden="1">"$D$54:$D$58"</definedName>
    <definedName name="IQRD54" hidden="1">"$D$55:$D$59"</definedName>
    <definedName name="IQRD55" hidden="1">"$D$56:$D$60"</definedName>
    <definedName name="IQRD56" hidden="1">"$D$57:$D$61"</definedName>
    <definedName name="IQRD57" hidden="1">"$D$58:$D$62"</definedName>
    <definedName name="IQRD58" hidden="1">"$D$59:$D$63"</definedName>
    <definedName name="IQRD59" hidden="1">"$D$60:$D$64"</definedName>
    <definedName name="IQRD60" hidden="1">"$D$61:$D$65"</definedName>
    <definedName name="IQRD61" hidden="1">"$D$62:$D$66"</definedName>
    <definedName name="IQRD62" hidden="1">"$D$63:$D$67"</definedName>
    <definedName name="IQRD63" hidden="1">"$D$64:$D$68"</definedName>
    <definedName name="IQRD64" hidden="1">"$D$65:$D$69"</definedName>
    <definedName name="IQRD65" hidden="1">"$D$66:$D$70"</definedName>
    <definedName name="IQRD66" hidden="1">"$D$67:$D$71"</definedName>
    <definedName name="IQRD67" hidden="1">"$D$68:$D$72"</definedName>
    <definedName name="IQRD68" hidden="1">"$D$69:$D$73"</definedName>
    <definedName name="IQRD69" hidden="1">"$D$70:$D$74"</definedName>
    <definedName name="IQRD70" hidden="1">"$D$71:$D$75"</definedName>
    <definedName name="IQRD71" hidden="1">"$D$72:$D$76"</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E10" hidden="1">"$E$11:$E$15"</definedName>
    <definedName name="IQRE11" hidden="1">"$E$12:$E$16"</definedName>
    <definedName name="IQRE12" hidden="1">"$E$13:$E$17"</definedName>
    <definedName name="IQRE13" hidden="1">"$E$14:$E$18"</definedName>
    <definedName name="IQRE14" hidden="1">"$E$15:$E$19"</definedName>
    <definedName name="IQRE15" hidden="1">"$E$16:$E$20"</definedName>
    <definedName name="IQRE16" hidden="1">"$E$17:$E$18"</definedName>
    <definedName name="IQRE7" hidden="1">"$E$8:$E$12"</definedName>
    <definedName name="IQRE8" hidden="1">"$E$9:$E$13"</definedName>
    <definedName name="IQRE9" hidden="1">"$E$10:$E$14"</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G26" hidden="1">"$G$27:$G$31"</definedName>
    <definedName name="IQRI2" hidden="1">"$I$3:$I$264"</definedName>
    <definedName name="IQRJ8" hidden="1">"$J$9:$J$260"</definedName>
    <definedName name="IQRK8" hidden="1">"$K$9:$K$261"</definedName>
    <definedName name="IQRM67" hidden="1">"$M$68:$M$320"</definedName>
    <definedName name="IQRM68" hidden="1">"$M$69:$M$321"</definedName>
    <definedName name="IQRM69" hidden="1">"$M$70:$M$322"</definedName>
    <definedName name="IQRM70" hidden="1">"$M$71:$M$323"</definedName>
    <definedName name="IQRO9" hidden="1">"$O$10"</definedName>
    <definedName name="IQRP9" hidden="1">"$P$10:$P$64"</definedName>
    <definedName name="IQRQ35" hidden="1">"$Q$36:$Q$227"</definedName>
    <definedName name="IQRR67" hidden="1">"$R$68:$R$320"</definedName>
    <definedName name="IQRS68" hidden="1">"$S$69:$S$321"</definedName>
    <definedName name="Jeep" localSheetId="1" hidden="1">{"overall",#N/A,FALSE,"Taylor";"Jul24Sum",#N/A,FALSE,"Finance";"Jul24COS",#N/A,FALSE,"Finance";"Jul24C3",#N/A,FALSE,"Finance";"jul24tax&amp;debtcalcs",#N/A,FALSE,"Finance";"jeepsum",#N/A,FALSE,"Finance";"taysum1",#N/A,FALSE,"Taylor";"BS",#N/A,FALSE,"Taylor";"backup",#N/A,FALSE,"Taylor";"jeepop",#N/A,FALSE,"Operating costs"}</definedName>
    <definedName name="Jeep" hidden="1">{"overall",#N/A,FALSE,"Taylor";"Jul24Sum",#N/A,FALSE,"Finance";"Jul24COS",#N/A,FALSE,"Finance";"Jul24C3",#N/A,FALSE,"Finance";"jul24tax&amp;debtcalcs",#N/A,FALSE,"Finance";"jeepsum",#N/A,FALSE,"Finance";"taysum1",#N/A,FALSE,"Taylor";"BS",#N/A,FALSE,"Taylor";"backup",#N/A,FALSE,"Taylor";"jeepop",#N/A,FALSE,"Operating costs"}</definedName>
    <definedName name="ListOffset" hidden="1">1</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PlaceofPath" hidden="1">"F:\MREGAN\win\EXL\CO\HVAC\WLV\WLV_vdf.xls"</definedName>
    <definedName name="MLNK0c9445f2645d4a1093dbe137a2574261" hidden="1">#REF!</definedName>
    <definedName name="MLNK39324e12ea41496aa030b0a5d2cd4844" hidden="1">#REF!</definedName>
    <definedName name="MLNK430769720e454fd2a44b2e97b9b1d09e" hidden="1">#REF!</definedName>
    <definedName name="MLNK7c324a6d604349da9cf8ffb1c22b8c82" hidden="1">#REF!</definedName>
    <definedName name="MLNKc56fd6ce82704d1dae96810cfbcecb05" hidden="1">#REF!</definedName>
    <definedName name="MLNKce70daba1d3c440e94a6e8ebd0809296" hidden="1">#REF!</definedName>
    <definedName name="MLNKd7ea5fc1d5ba4187aae5345e775f20ab" hidden="1">#REF!</definedName>
    <definedName name="MLNKde3e725730d44f498290c34986afa042" hidden="1">#REF!</definedName>
    <definedName name="MLNKe67864e4353e4c1687a89fc2aa54e040" hidden="1">#REF!</definedName>
    <definedName name="MLNKff48372a8aa1404baba3a00b1f000f31" hidden="1">#REF!</definedName>
    <definedName name="oldkey1" hidden="1">#REF!</definedName>
    <definedName name="oldsort" hidden="1">#REF!</definedName>
    <definedName name="P11P12P13" hidden="1">#REF!</definedName>
    <definedName name="PriceRange" hidden="1">#N/A</definedName>
    <definedName name="PriceRangeMain" hidden="1">#REF!</definedName>
    <definedName name="_xlnm.Print_Area" localSheetId="1">'Financials from CIP'!$A$2:$G$82</definedName>
    <definedName name="_xlnm.Print_Area" localSheetId="2">'Step 1'!$A$1:$M$77</definedName>
    <definedName name="_xlnm.Print_Area" localSheetId="3">'Step 1 Answer Key'!$A$1:$M$77</definedName>
    <definedName name="_xlnm.Print_Area" localSheetId="4">'Step 2'!$A$1:$M$90</definedName>
    <definedName name="REP7P01" hidden="1">#REF!</definedName>
    <definedName name="REP7P02" hidden="1">#REF!</definedName>
    <definedName name="REP7P03" hidden="1">#REF!</definedName>
    <definedName name="ReportGroup" hidden="1">6</definedName>
    <definedName name="SAPBEXdnldView" hidden="1">"48D4APZ6RE52FPA89IW8VMM22"</definedName>
    <definedName name="SAPBEXrevision" hidden="1">1</definedName>
    <definedName name="SAPBEXsysID" hidden="1">"BWP"</definedName>
    <definedName name="SAPBEXwbID" hidden="1">"3MIIGAE7VHTLTPJLQTSR9TQD9"</definedName>
    <definedName name="sencount" hidden="1">2</definedName>
    <definedName name="solver_adj" hidden="1">#REF!</definedName>
    <definedName name="solver_lhs1" hidden="1">#REF!</definedName>
    <definedName name="solver_lin" hidden="1">0</definedName>
    <definedName name="solver_num" hidden="1">1</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uppressPressed" hidden="1">FALSE</definedName>
    <definedName name="TextRefCopyRangeCount" hidden="1">13</definedName>
    <definedName name="Val" hidden="1">39273.5911689815</definedName>
    <definedName name="VersionNumber" hidden="1">"4.8.6710"</definedName>
    <definedName name="VI7_AxisOffset" localSheetId="2" hidden="1">_xll.ContributionAxisOffset(#REF!,#REF!,#REF!,0)</definedName>
    <definedName name="VI7_AxisOffset" localSheetId="3" hidden="1">_xll.ContributionAxisOffset(#REF!,#REF!,#REF!,0)</definedName>
    <definedName name="VI7_AxisOffset" localSheetId="4" hidden="1">_xll.ContributionAxisOffset(#REF!,#REF!,#REF!,0)</definedName>
    <definedName name="VI7_AxisOffset" hidden="1">_xll.ContributionAxisOffset(#REF!,#REF!,#REF!,0)</definedName>
    <definedName name="VI7_BaseColumn" hidden="1">"#NA"</definedName>
    <definedName name="VI7_CategoriesClass1" hidden="1">#REF!</definedName>
    <definedName name="VI7_CategoriesColumn" hidden="1">#REF!</definedName>
    <definedName name="VI7_ComparisonColumn1" hidden="1">#REF!</definedName>
    <definedName name="VI7_Cumulative" localSheetId="2" hidden="1">_xll.ContributionCumulative(#REF!,#REF!,#REF!)</definedName>
    <definedName name="VI7_Cumulative" localSheetId="3" hidden="1">_xll.ContributionCumulative(#REF!,#REF!,#REF!)</definedName>
    <definedName name="VI7_Cumulative" localSheetId="4" hidden="1">_xll.ContributionCumulative(#REF!,#REF!,#REF!)</definedName>
    <definedName name="VI7_Cumulative" hidden="1">_xll.ContributionCumulative(#REF!,#REF!,#REF!)</definedName>
    <definedName name="VI7_Difference1CalculatedIndex1" localSheetId="2" hidden="1">_xll.DifferenceCalculatedIndex(#REF!,#REF!,#REF!,#REF!)</definedName>
    <definedName name="VI7_Difference1CalculatedIndex1" localSheetId="3" hidden="1">_xll.DifferenceCalculatedIndex(#REF!,#REF!,#REF!,#REF!)</definedName>
    <definedName name="VI7_Difference1CalculatedIndex1" localSheetId="4" hidden="1">_xll.DifferenceCalculatedIndex(#REF!,#REF!,#REF!,#REF!)</definedName>
    <definedName name="VI7_Difference1CalculatedIndex1" hidden="1">_xll.DifferenceCalculatedIndex(#REF!,#REF!,#REF!,#REF!)</definedName>
    <definedName name="VI7_Difference1CalculatedIndex2" localSheetId="2" hidden="1">_xll.DifferenceCalculatedIndex(#REF!,#REF!,#REF!,#REF!)</definedName>
    <definedName name="VI7_Difference1CalculatedIndex2" localSheetId="3" hidden="1">_xll.DifferenceCalculatedIndex(#REF!,#REF!,#REF!,#REF!)</definedName>
    <definedName name="VI7_Difference1CalculatedIndex2" localSheetId="4" hidden="1">_xll.DifferenceCalculatedIndex(#REF!,#REF!,#REF!,#REF!)</definedName>
    <definedName name="VI7_Difference1CalculatedIndex2" hidden="1">_xll.DifferenceCalculatedIndex(#REF!,#REF!,#REF!,#REF!)</definedName>
    <definedName name="VI7_Difference1Category1" hidden="1">"FY16"</definedName>
    <definedName name="VI7_Difference1Category2" hidden="1">"FY17"</definedName>
    <definedName name="VI7_Difference1Index1" hidden="1">1</definedName>
    <definedName name="VI7_Difference1Index2" hidden="1">1</definedName>
    <definedName name="VI7_Difference1LabelY1" localSheetId="2" hidden="1">_xll.ContributionDifferenceY(#REF!,#REF!,0,0,0)</definedName>
    <definedName name="VI7_Difference1LabelY1" localSheetId="3" hidden="1">_xll.ContributionDifferenceY(#REF!,#REF!,0,0,0)</definedName>
    <definedName name="VI7_Difference1LabelY1" localSheetId="4" hidden="1">_xll.ContributionDifferenceY(#REF!,#REF!,0,0,0)</definedName>
    <definedName name="VI7_Difference1LabelY1" hidden="1">_xll.ContributionDifferenceY(#REF!,#REF!,0,0,0)</definedName>
    <definedName name="VI7_Difference1LabelY2" localSheetId="2" hidden="1">_xll.ContributionDifferenceY(#REF!,#REF!,0,0,0)</definedName>
    <definedName name="VI7_Difference1LabelY2" localSheetId="3" hidden="1">_xll.ContributionDifferenceY(#REF!,#REF!,0,0,0)</definedName>
    <definedName name="VI7_Difference1LabelY2" localSheetId="4" hidden="1">_xll.ContributionDifferenceY(#REF!,#REF!,0,0,0)</definedName>
    <definedName name="VI7_Difference1LabelY2" hidden="1">_xll.ContributionDifferenceY(#REF!,#REF!,0,0,0)</definedName>
    <definedName name="VI7_LabelOffsetMax" localSheetId="2" hidden="1">_xll.LabelOffset(#REF!,#REF!,204,10,"$#,##0.0",1,0,0)</definedName>
    <definedName name="VI7_LabelOffsetMax" localSheetId="3" hidden="1">_xll.LabelOffset(#REF!,#REF!,204,10,"$#,##0.0",1,0,0)</definedName>
    <definedName name="VI7_LabelOffsetMax" localSheetId="4" hidden="1">_xll.LabelOffset(#REF!,#REF!,204,10,"$#,##0.0",1,0,0)</definedName>
    <definedName name="VI7_LabelOffsetMax" hidden="1">_xll.LabelOffset(#REF!,#REF!,204,10,"$#,##0.0",1,0,0)</definedName>
    <definedName name="VI7_LabelOffsetMin" localSheetId="2" hidden="1">_xll.LabelOffset(#REF!,#REF!,204,10,"$#,##0.0",0,0,0)</definedName>
    <definedName name="VI7_LabelOffsetMin" localSheetId="3" hidden="1">_xll.LabelOffset(#REF!,#REF!,204,10,"$#,##0.0",0,0,0)</definedName>
    <definedName name="VI7_LabelOffsetMin" localSheetId="4" hidden="1">_xll.LabelOffset(#REF!,#REF!,204,10,"$#,##0.0",0,0,0)</definedName>
    <definedName name="VI7_LabelOffsetMin" hidden="1">_xll.LabelOffset(#REF!,#REF!,204,10,"$#,##0.0",0,0,0)</definedName>
    <definedName name="VI7_Max" localSheetId="2" hidden="1">_xll.MaxFromSeriesWithBreak(#REF!,#REF!,0)</definedName>
    <definedName name="VI7_Max" localSheetId="3" hidden="1">_xll.MaxFromSeriesWithBreak(#REF!,#REF!,0)</definedName>
    <definedName name="VI7_Max" localSheetId="4" hidden="1">_xll.MaxFromSeriesWithBreak(#REF!,#REF!,0)</definedName>
    <definedName name="VI7_Max" hidden="1">_xll.MaxFromSeriesWithBreak(#REF!,#REF!,0)</definedName>
    <definedName name="VI7_Min" localSheetId="2" hidden="1">_xll.MinFromSeries(#REF!)</definedName>
    <definedName name="VI7_Min" localSheetId="3" hidden="1">_xll.MinFromSeries(#REF!)</definedName>
    <definedName name="VI7_Min" localSheetId="4" hidden="1">_xll.MinFromSeries(#REF!)</definedName>
    <definedName name="VI7_Min" hidden="1">_xll.MinFromSeries(#REF!)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pple." hidden="1">{#N/A,#N/A,FALSE,"Quarterlies";#N/A,#N/A,FALSE,"Annual";#N/A,#N/A,FALSE,"Balance";#N/A,#N/A,FALSE,"Cash Flow";#N/A,#N/A,FALSE,"Store Openings";#N/A,#N/A,FALSE,"Comps"}</definedName>
    <definedName name="wrn.Cracker." hidden="1">{#N/A,#N/A,FALSE,"Quarts";#N/A,#N/A,FALSE,"Annual";#N/A,#N/A,FALSE,"Balance";#N/A,#N/A,FALSE,"Cash Flow";#N/A,#N/A,FALSE,"Comps";#N/A,#N/A,FALSE,"Stores"}</definedName>
    <definedName name="wrn.Darden." hidden="1">{#N/A,#N/A,FALSE,"Annual";#N/A,#N/A,FALSE,"Balance";#N/A,#N/A,FALSE,"Stores"}</definedName>
    <definedName name="wrn.IND." hidden="1">{#N/A,#N/A,FALSE,"Cover 1";#N/A,#N/A,FALSE,"APPB";#N/A,#N/A,FALSE,"BOBE";#N/A,#N/A,FALSE,"EAT";#N/A,#N/A,FALSE,"CBRL";#N/A,#N/A,FALSE,"DRI";#N/A,#N/A,FALSE,"MCD";#N/A,#N/A,FALSE,"RI";#N/A,#N/A,FALSE,"WEN"}</definedName>
    <definedName name="wrn.jeep." localSheetId="1" hidden="1">{"taysum1",#N/A,FALSE,"Taylor";"jeepsum1",#N/A,FALSE,"Finance";"BS",#N/A,FALSE,"Taylor";"Tay",#N/A,FALSE,"Taylor";"ConsolLoan",#N/A,FALSE,"Taylor";"Jeep1",#N/A,FALSE,"Finance";"Jeep2",#N/A,FALSE,"Finance";"jeep3",#N/A,FALSE,"Finance";"jeep4",#N/A,FALSE,"Finance";"Jeepprod",#N/A,FALSE,"Production";"jeepop",#N/A,FALSE,"Operating costs"}</definedName>
    <definedName name="wrn.jeep." hidden="1">{"taysum1",#N/A,FALSE,"Taylor";"jeepsum1",#N/A,FALSE,"Finance";"BS",#N/A,FALSE,"Taylor";"Tay",#N/A,FALSE,"Taylor";"ConsolLoan",#N/A,FALSE,"Taylor";"Jeep1",#N/A,FALSE,"Finance";"Jeep2",#N/A,FALSE,"Finance";"jeep3",#N/A,FALSE,"Finance";"jeep4",#N/A,FALSE,"Finance";"Jeepprod",#N/A,FALSE,"Production";"jeepop",#N/A,FALSE,"Operating costs"}</definedName>
    <definedName name="wrn.jeepJul24." localSheetId="1" hidden="1">{"overall",#N/A,FALSE,"Taylor";"Jul24Sum",#N/A,FALSE,"Finance";"Jul24COS",#N/A,FALSE,"Finance";"Jul24C3",#N/A,FALSE,"Finance";"jul24tax&amp;debtcalcs",#N/A,FALSE,"Finance";"jeepsum",#N/A,FALSE,"Finance";"taysum1",#N/A,FALSE,"Taylor";"BS",#N/A,FALSE,"Taylor";"backup",#N/A,FALSE,"Taylor";"jeepop",#N/A,FALSE,"Operating costs"}</definedName>
    <definedName name="wrn.jeepJul24." hidden="1">{"overall",#N/A,FALSE,"Taylor";"Jul24Sum",#N/A,FALSE,"Finance";"Jul24COS",#N/A,FALSE,"Finance";"Jul24C3",#N/A,FALSE,"Finance";"jul24tax&amp;debtcalcs",#N/A,FALSE,"Finance";"jeepsum",#N/A,FALSE,"Finance";"taysum1",#N/A,FALSE,"Taylor";"BS",#N/A,FALSE,"Taylor";"backup",#N/A,FALSE,"Taylor";"jeepop",#N/A,FALSE,"Operating costs"}</definedName>
    <definedName name="wrn.Morrison." hidden="1">{#N/A,#N/A,FALSE,"Quarts";#N/A,#N/A,FALSE,"Annual";#N/A,#N/A,FALSE,"Balance";#N/A,#N/A,FALSE,"Cash Flow";#N/A,#N/A,FALSE,"Store Openings"}</definedName>
    <definedName name="wrn.Wendy." hidden="1">{#N/A,#N/A,FALSE,"Quarts";#N/A,#N/A,FALSE,"Annual";#N/A,#N/A,FALSE,"Cash Flow";#N/A,#N/A,FALSE,"Dividends";#N/A,#N/A,FALSE,"Stats"}</definedName>
    <definedName name="xdif_ActivateOnOpen" hidden="1">TRUE</definedName>
    <definedName name="xdif_AutomationClearCache" hidden="1">TRUE</definedName>
    <definedName name="xdif_AutomationCreateFolderStructure" hidden="1">FALSE</definedName>
    <definedName name="xdif_AutomationDropFormulas" hidden="1">"DropIncludingOtherWorkbookFormulas"</definedName>
    <definedName name="xdif_AutomationEmailSubject" hidden="1">"Automated workbook email from SmartView"</definedName>
    <definedName name="xdif_AutomationIgnoreHiddenRows" hidden="1">TRUE</definedName>
    <definedName name="xdif_AutomationMode" hidden="1">"AutomationSheet"</definedName>
    <definedName name="xdif_AutomationProtection" hidden="1">FALSE</definedName>
    <definedName name="xdif_AutomationRange" hidden="1">#REF!</definedName>
    <definedName name="xdif_AutomationSuppressZeros" hidden="1">TRUE</definedName>
    <definedName name="xdif_AutomationType01" hidden="1">"MultipleSheets"</definedName>
    <definedName name="xdif_AutomationType02" hidden="1">"SingleSheet"</definedName>
    <definedName name="xdif_AutomationUpdateLists" hidden="1">FALSE</definedName>
    <definedName name="xdif_RefreshIncludeLists" hidden="1">FALSE</definedName>
    <definedName name="xdif_RefreshOnOpen" hidden="1">FALSE</definedName>
    <definedName name="xdif_SheetToAutomate01" hidden="1">#REF!</definedName>
    <definedName name="xdif_SheetToAutomate02" hidden="1">#REF!</definedName>
    <definedName name="xdifExcludeHiddenBudgetUpload" hidden="1">TRUE</definedName>
    <definedName name="xdifSelectedSheetsBudgetUpload" localSheetId="1" hidden="1">{"BK Brand Summary"}</definedName>
    <definedName name="xdifSelectedSheetsBudgetUpload" hidden="1">{"BK Brand Summary"}</definedName>
    <definedName name="xjey1" hidden="1">#REF!</definedName>
    <definedName name="XREF_COLUMN_1" hidden="1">#REF!</definedName>
    <definedName name="XREF_COLUMN_12" hidden="1">#REF!</definedName>
    <definedName name="XREF_COLUMN_13" hidden="1">#REF!</definedName>
    <definedName name="XREF_COLUMN_2" hidden="1">#REF!</definedName>
    <definedName name="XREF_COLUMN_22" hidden="1">#REF!</definedName>
    <definedName name="XREF_COLUMN_3" hidden="1">#REF!</definedName>
    <definedName name="XREF_COLUMN_4" hidden="1">#REF!</definedName>
    <definedName name="XRefActiveRow" hidden="1">#REF!</definedName>
    <definedName name="XRefColumnsCount" hidden="1">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2Row" hidden="1">#REF!</definedName>
    <definedName name="XRefPaste17Row" hidden="1">#REF!</definedName>
    <definedName name="XRefPaste18"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11</definedName>
    <definedName name="xsort2" hidden="1">#REF!</definedName>
    <definedName name="xxxxxx" localSheetId="1" hidden="1">{"taysum1",#N/A,FALSE,"Taylor";"jeepsum1",#N/A,FALSE,"Finance";"BS",#N/A,FALSE,"Taylor";"Tay",#N/A,FALSE,"Taylor";"ConsolLoan",#N/A,FALSE,"Taylor";"Jeep1",#N/A,FALSE,"Finance";"Jeep2",#N/A,FALSE,"Finance";"jeep3",#N/A,FALSE,"Finance";"jeep4",#N/A,FALSE,"Finance";"Jeepprod",#N/A,FALSE,"Production";"jeepop",#N/A,FALSE,"Operating costs"}</definedName>
    <definedName name="xxxxxx" hidden="1">{"taysum1",#N/A,FALSE,"Taylor";"jeepsum1",#N/A,FALSE,"Finance";"BS",#N/A,FALSE,"Taylor";"Tay",#N/A,FALSE,"Taylor";"ConsolLoan",#N/A,FALSE,"Taylor";"Jeep1",#N/A,FALSE,"Finance";"Jeep2",#N/A,FALSE,"Finance";"jeep3",#N/A,FALSE,"Finance";"jeep4",#N/A,FALSE,"Finance";"Jeepprod",#N/A,FALSE,"Production";"jeepop",#N/A,FALSE,"Operating costs"}</definedName>
    <definedName name="yyyyyy" localSheetId="1" hidden="1">{"overall",#N/A,FALSE,"Taylor";"Jul24Sum",#N/A,FALSE,"Finance";"Jul24COS",#N/A,FALSE,"Finance";"Jul24C3",#N/A,FALSE,"Finance";"jul24tax&amp;debtcalcs",#N/A,FALSE,"Finance";"jeepsum",#N/A,FALSE,"Finance";"taysum1",#N/A,FALSE,"Taylor";"BS",#N/A,FALSE,"Taylor";"backup",#N/A,FALSE,"Taylor";"jeepop",#N/A,FALSE,"Operating costs"}</definedName>
    <definedName name="yyyyyy" hidden="1">{"overall",#N/A,FALSE,"Taylor";"Jul24Sum",#N/A,FALSE,"Finance";"Jul24COS",#N/A,FALSE,"Finance";"Jul24C3",#N/A,FALSE,"Finance";"jul24tax&amp;debtcalcs",#N/A,FALSE,"Finance";"jeepsum",#N/A,FALSE,"Finance";"taysum1",#N/A,FALSE,"Taylor";"BS",#N/A,FALSE,"Taylor";"backup",#N/A,FALSE,"Taylor";"jeepop",#N/A,FALSE,"Operating costs"}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6" i="5" l="1"/>
  <c r="K126" i="5"/>
  <c r="J126" i="5"/>
  <c r="I126" i="5"/>
  <c r="H126" i="5"/>
  <c r="C119" i="5"/>
  <c r="I117" i="5"/>
  <c r="C121" i="5" s="1"/>
  <c r="G86" i="5"/>
  <c r="F86" i="5"/>
  <c r="F105" i="5" s="1"/>
  <c r="G85" i="5"/>
  <c r="G105" i="5" s="1"/>
  <c r="F85" i="5"/>
  <c r="G83" i="5"/>
  <c r="F83" i="5"/>
  <c r="G81" i="5"/>
  <c r="F81" i="5"/>
  <c r="G80" i="5"/>
  <c r="F80" i="5"/>
  <c r="G79" i="5"/>
  <c r="F79" i="5"/>
  <c r="G78" i="5"/>
  <c r="F78" i="5"/>
  <c r="F82" i="5" s="1"/>
  <c r="G76" i="5"/>
  <c r="F76" i="5"/>
  <c r="G75" i="5"/>
  <c r="F75" i="5"/>
  <c r="G74" i="5"/>
  <c r="F74" i="5"/>
  <c r="F77" i="5" s="1"/>
  <c r="G69" i="5"/>
  <c r="F69" i="5"/>
  <c r="G67" i="5"/>
  <c r="D119" i="5" s="1"/>
  <c r="G119" i="5" s="1"/>
  <c r="F67" i="5"/>
  <c r="G63" i="5"/>
  <c r="F63" i="5"/>
  <c r="G62" i="5"/>
  <c r="F62" i="5"/>
  <c r="G61" i="5"/>
  <c r="F61" i="5"/>
  <c r="G60" i="5"/>
  <c r="G100" i="5" s="1"/>
  <c r="F60" i="5"/>
  <c r="G56" i="5"/>
  <c r="F56" i="5"/>
  <c r="H33" i="5"/>
  <c r="H34" i="5" s="1"/>
  <c r="G32" i="5"/>
  <c r="F32" i="5"/>
  <c r="G30" i="5"/>
  <c r="F30" i="5"/>
  <c r="L29" i="5"/>
  <c r="K29" i="5"/>
  <c r="J29" i="5"/>
  <c r="I29" i="5"/>
  <c r="H29" i="5"/>
  <c r="G29" i="5"/>
  <c r="F29" i="5"/>
  <c r="C28" i="5"/>
  <c r="C27" i="5"/>
  <c r="C26" i="5"/>
  <c r="I22" i="5"/>
  <c r="I31" i="5" s="1"/>
  <c r="I33" i="5" s="1"/>
  <c r="I34" i="5" s="1"/>
  <c r="H22" i="5"/>
  <c r="H31" i="5" s="1"/>
  <c r="G21" i="5"/>
  <c r="F21" i="5"/>
  <c r="G20" i="5"/>
  <c r="F119" i="5" s="1"/>
  <c r="F20" i="5"/>
  <c r="I19" i="5"/>
  <c r="J18" i="5"/>
  <c r="H18" i="5"/>
  <c r="H19" i="5" s="1"/>
  <c r="G17" i="5"/>
  <c r="F17" i="5"/>
  <c r="L16" i="5"/>
  <c r="K16" i="5"/>
  <c r="J16" i="5"/>
  <c r="I16" i="5"/>
  <c r="L15" i="5"/>
  <c r="L18" i="5" s="1"/>
  <c r="K15" i="5"/>
  <c r="K18" i="5" s="1"/>
  <c r="K19" i="5" s="1"/>
  <c r="J15" i="5"/>
  <c r="I15" i="5"/>
  <c r="I18" i="5" s="1"/>
  <c r="H15" i="5"/>
  <c r="H16" i="5" s="1"/>
  <c r="G14" i="5"/>
  <c r="F14" i="5"/>
  <c r="G13" i="5"/>
  <c r="G15" i="5" s="1"/>
  <c r="G16" i="5" s="1"/>
  <c r="I11" i="5"/>
  <c r="H11" i="5"/>
  <c r="F11" i="5"/>
  <c r="F87" i="4"/>
  <c r="G73" i="4"/>
  <c r="F73" i="4"/>
  <c r="G72" i="4"/>
  <c r="G92" i="4" s="1"/>
  <c r="F72" i="4"/>
  <c r="F92" i="4" s="1"/>
  <c r="G70" i="4"/>
  <c r="F70" i="4"/>
  <c r="G68" i="4"/>
  <c r="F68" i="4"/>
  <c r="G67" i="4"/>
  <c r="F67" i="4"/>
  <c r="G66" i="4"/>
  <c r="F66" i="4"/>
  <c r="G65" i="4"/>
  <c r="F65" i="4"/>
  <c r="F69" i="4" s="1"/>
  <c r="G63" i="4"/>
  <c r="F63" i="4"/>
  <c r="G62" i="4"/>
  <c r="F62" i="4"/>
  <c r="G61" i="4"/>
  <c r="G64" i="4" s="1"/>
  <c r="F61" i="4"/>
  <c r="G56" i="4"/>
  <c r="F56" i="4"/>
  <c r="G54" i="4"/>
  <c r="F54" i="4"/>
  <c r="G50" i="4"/>
  <c r="F50" i="4"/>
  <c r="G49" i="4"/>
  <c r="F49" i="4"/>
  <c r="G48" i="4"/>
  <c r="F48" i="4"/>
  <c r="G47" i="4"/>
  <c r="G87" i="4" s="1"/>
  <c r="F47" i="4"/>
  <c r="G43" i="4"/>
  <c r="F43" i="4"/>
  <c r="G32" i="4"/>
  <c r="F32" i="4"/>
  <c r="G30" i="4"/>
  <c r="F30" i="4"/>
  <c r="G29" i="4"/>
  <c r="F29" i="4"/>
  <c r="C28" i="4"/>
  <c r="C27" i="4"/>
  <c r="C26" i="4"/>
  <c r="G21" i="4"/>
  <c r="F21" i="4"/>
  <c r="G20" i="4"/>
  <c r="F20" i="4"/>
  <c r="G17" i="4"/>
  <c r="F17" i="4"/>
  <c r="G14" i="4"/>
  <c r="F14" i="4"/>
  <c r="G13" i="4"/>
  <c r="G81" i="4" s="1"/>
  <c r="H11" i="4"/>
  <c r="F11" i="4"/>
  <c r="G69" i="3"/>
  <c r="G71" i="3" s="1"/>
  <c r="G74" i="3" s="1"/>
  <c r="F69" i="3"/>
  <c r="G64" i="3"/>
  <c r="F64" i="3"/>
  <c r="F71" i="3" s="1"/>
  <c r="F74" i="3" s="1"/>
  <c r="G51" i="3"/>
  <c r="G57" i="3" s="1"/>
  <c r="F51" i="3"/>
  <c r="F57" i="3" s="1"/>
  <c r="H43" i="3"/>
  <c r="G43" i="3"/>
  <c r="F43" i="3"/>
  <c r="C28" i="3"/>
  <c r="C27" i="3"/>
  <c r="C26" i="3"/>
  <c r="G18" i="3"/>
  <c r="G19" i="3" s="1"/>
  <c r="F18" i="3"/>
  <c r="G16" i="3"/>
  <c r="F16" i="3"/>
  <c r="G15" i="3"/>
  <c r="F15" i="3"/>
  <c r="H11" i="3"/>
  <c r="I11" i="3" s="1"/>
  <c r="F11" i="3"/>
  <c r="E79" i="2"/>
  <c r="E73" i="2"/>
  <c r="D73" i="2"/>
  <c r="E61" i="2"/>
  <c r="D61" i="2"/>
  <c r="E56" i="2"/>
  <c r="D56" i="2"/>
  <c r="E51" i="2"/>
  <c r="D51" i="2"/>
  <c r="D45" i="2"/>
  <c r="E45" i="2" s="1"/>
  <c r="E30" i="2"/>
  <c r="D30" i="2"/>
  <c r="E19" i="2"/>
  <c r="E13" i="2"/>
  <c r="D13" i="2"/>
  <c r="G94" i="5" l="1"/>
  <c r="G69" i="4"/>
  <c r="G82" i="5"/>
  <c r="G84" i="5" s="1"/>
  <c r="G87" i="5" s="1"/>
  <c r="G77" i="5"/>
  <c r="F51" i="4"/>
  <c r="F57" i="4" s="1"/>
  <c r="F89" i="4" s="1"/>
  <c r="F64" i="4"/>
  <c r="F90" i="4" s="1"/>
  <c r="F22" i="3"/>
  <c r="F31" i="3" s="1"/>
  <c r="F33" i="3" s="1"/>
  <c r="F34" i="3" s="1"/>
  <c r="F19" i="3"/>
  <c r="I56" i="5"/>
  <c r="J11" i="5"/>
  <c r="J11" i="3"/>
  <c r="I43" i="3"/>
  <c r="I11" i="4"/>
  <c r="H43" i="4"/>
  <c r="J19" i="5"/>
  <c r="J22" i="5"/>
  <c r="J31" i="5" s="1"/>
  <c r="J33" i="5" s="1"/>
  <c r="J34" i="5" s="1"/>
  <c r="F13" i="5"/>
  <c r="F15" i="5" s="1"/>
  <c r="F13" i="4"/>
  <c r="F15" i="4" s="1"/>
  <c r="D19" i="2"/>
  <c r="G95" i="5"/>
  <c r="E34" i="2"/>
  <c r="E21" i="2"/>
  <c r="F81" i="4"/>
  <c r="F64" i="5"/>
  <c r="F100" i="5"/>
  <c r="F84" i="5"/>
  <c r="F87" i="5" s="1"/>
  <c r="D79" i="2"/>
  <c r="G71" i="4"/>
  <c r="G74" i="4" s="1"/>
  <c r="G18" i="5"/>
  <c r="F103" i="5"/>
  <c r="D69" i="2"/>
  <c r="K22" i="5"/>
  <c r="K31" i="5" s="1"/>
  <c r="K33" i="5" s="1"/>
  <c r="K34" i="5" s="1"/>
  <c r="G22" i="3"/>
  <c r="G31" i="3" s="1"/>
  <c r="G33" i="3" s="1"/>
  <c r="G34" i="3" s="1"/>
  <c r="G51" i="4"/>
  <c r="H117" i="5"/>
  <c r="C120" i="5" s="1"/>
  <c r="H56" i="5"/>
  <c r="L19" i="5"/>
  <c r="L22" i="5"/>
  <c r="L31" i="5" s="1"/>
  <c r="L33" i="5" s="1"/>
  <c r="L34" i="5" s="1"/>
  <c r="G90" i="4"/>
  <c r="E69" i="2"/>
  <c r="G15" i="4"/>
  <c r="G82" i="4" s="1"/>
  <c r="G103" i="5"/>
  <c r="G64" i="5"/>
  <c r="D78" i="2"/>
  <c r="E78" i="2"/>
  <c r="F71" i="4" l="1"/>
  <c r="F74" i="4" s="1"/>
  <c r="F95" i="4"/>
  <c r="F88" i="4"/>
  <c r="F16" i="5"/>
  <c r="F18" i="5"/>
  <c r="F104" i="5"/>
  <c r="D76" i="2"/>
  <c r="D81" i="2" s="1"/>
  <c r="J11" i="4"/>
  <c r="I43" i="4"/>
  <c r="K11" i="3"/>
  <c r="J43" i="3"/>
  <c r="E39" i="2"/>
  <c r="E36" i="2"/>
  <c r="F82" i="4"/>
  <c r="D34" i="2"/>
  <c r="F95" i="5"/>
  <c r="D21" i="2"/>
  <c r="F18" i="4"/>
  <c r="F16" i="4"/>
  <c r="G18" i="4"/>
  <c r="G16" i="4"/>
  <c r="F70" i="5"/>
  <c r="F101" i="5"/>
  <c r="F94" i="5"/>
  <c r="G104" i="5"/>
  <c r="E76" i="2"/>
  <c r="E81" i="2" s="1"/>
  <c r="G91" i="4"/>
  <c r="G70" i="5"/>
  <c r="G101" i="5"/>
  <c r="G19" i="5"/>
  <c r="G22" i="5"/>
  <c r="G31" i="5" s="1"/>
  <c r="G33" i="5" s="1"/>
  <c r="G34" i="5" s="1"/>
  <c r="G88" i="4"/>
  <c r="G57" i="4"/>
  <c r="J117" i="5"/>
  <c r="C122" i="5" s="1"/>
  <c r="K11" i="5"/>
  <c r="J56" i="5"/>
  <c r="F91" i="4" l="1"/>
  <c r="D39" i="2"/>
  <c r="D36" i="2"/>
  <c r="F84" i="4"/>
  <c r="F22" i="5"/>
  <c r="F31" i="5" s="1"/>
  <c r="F33" i="5" s="1"/>
  <c r="F34" i="5" s="1"/>
  <c r="F19" i="5"/>
  <c r="G95" i="4"/>
  <c r="G89" i="4"/>
  <c r="G19" i="4"/>
  <c r="G22" i="4"/>
  <c r="G31" i="4" s="1"/>
  <c r="G33" i="4" s="1"/>
  <c r="L11" i="5"/>
  <c r="K56" i="5"/>
  <c r="K117" i="5"/>
  <c r="C123" i="5" s="1"/>
  <c r="G108" i="5"/>
  <c r="G102" i="5"/>
  <c r="G97" i="5"/>
  <c r="K43" i="3"/>
  <c r="L11" i="3"/>
  <c r="L43" i="3" s="1"/>
  <c r="F19" i="4"/>
  <c r="F22" i="4"/>
  <c r="F31" i="4" s="1"/>
  <c r="F33" i="4" s="1"/>
  <c r="F34" i="4" s="1"/>
  <c r="G96" i="5"/>
  <c r="G83" i="4"/>
  <c r="E40" i="2"/>
  <c r="K11" i="4"/>
  <c r="J43" i="4"/>
  <c r="F108" i="5"/>
  <c r="F102" i="5"/>
  <c r="F97" i="5" l="1"/>
  <c r="G34" i="4"/>
  <c r="G84" i="4"/>
  <c r="F96" i="5"/>
  <c r="D40" i="2"/>
  <c r="F83" i="4"/>
  <c r="L56" i="5"/>
  <c r="L117" i="5"/>
  <c r="C124" i="5" s="1"/>
  <c r="K43" i="4"/>
  <c r="L11" i="4"/>
  <c r="L43" i="4" s="1"/>
</calcChain>
</file>

<file path=xl/sharedStrings.xml><?xml version="1.0" encoding="utf-8"?>
<sst xmlns="http://schemas.openxmlformats.org/spreadsheetml/2006/main" count="334" uniqueCount="132">
  <si>
    <t>Project Athena</t>
  </si>
  <si>
    <t>Quarterly and Annual Financial Statements</t>
  </si>
  <si>
    <t>($s in 000s)</t>
  </si>
  <si>
    <t>Income Statement</t>
  </si>
  <si>
    <t>FY</t>
  </si>
  <si>
    <t>Service Revenues</t>
  </si>
  <si>
    <t>Parts &amp; Other</t>
  </si>
  <si>
    <t>Total Revenue</t>
  </si>
  <si>
    <t>Labor</t>
  </si>
  <si>
    <t>Materials</t>
  </si>
  <si>
    <t>Other CoGS</t>
  </si>
  <si>
    <t>Total Gross Profit</t>
  </si>
  <si>
    <t>Total Gross Margin %</t>
  </si>
  <si>
    <t>Payroll &amp; Related Expenses</t>
  </si>
  <si>
    <t>Rent &amp; Occupancy</t>
  </si>
  <si>
    <t>Depreciation</t>
  </si>
  <si>
    <t>Amortization</t>
  </si>
  <si>
    <t>Interest</t>
  </si>
  <si>
    <t>Other SG&amp;A</t>
  </si>
  <si>
    <t>Income Taxes</t>
  </si>
  <si>
    <t>Total SG&amp;A</t>
  </si>
  <si>
    <t>Other Expense (Income)</t>
  </si>
  <si>
    <t>Net Income</t>
  </si>
  <si>
    <t>EBITDA, Unadjusted</t>
  </si>
  <si>
    <t>Total Profit Margin %</t>
  </si>
  <si>
    <t>Total EBITDA Margin %</t>
  </si>
  <si>
    <t>Balance Sheet</t>
  </si>
  <si>
    <t>YE</t>
  </si>
  <si>
    <t>Cash &amp; Cash Equivalents</t>
  </si>
  <si>
    <t>Accounts Receivable, Gross</t>
  </si>
  <si>
    <t>Allowance for Doubtful Accounts</t>
  </si>
  <si>
    <t>Inventory</t>
  </si>
  <si>
    <t>Prepaids &amp; Other</t>
  </si>
  <si>
    <t>Total Current Assets</t>
  </si>
  <si>
    <t>PP&amp;E, Net</t>
  </si>
  <si>
    <t>Long-Term Intangible Assets</t>
  </si>
  <si>
    <t>Total Assets</t>
  </si>
  <si>
    <t>Accounts Payable</t>
  </si>
  <si>
    <t>Wages Payable</t>
  </si>
  <si>
    <t>Accrued Expenses &amp; Other</t>
  </si>
  <si>
    <t>Total Current Liabilities</t>
  </si>
  <si>
    <t>Revolver</t>
  </si>
  <si>
    <t>Term Loan A</t>
  </si>
  <si>
    <t>Subordinated Debt - Note 1</t>
  </si>
  <si>
    <t>Subordinated Debt - Note 2</t>
  </si>
  <si>
    <t>Other Long-Term Liabilities</t>
  </si>
  <si>
    <t xml:space="preserve">Total Liabilities </t>
  </si>
  <si>
    <t>Common Stock</t>
  </si>
  <si>
    <t>Retained Earnings</t>
  </si>
  <si>
    <t>Total Equity</t>
  </si>
  <si>
    <t>Total Liabilities and Equity</t>
  </si>
  <si>
    <t>Net Working Capital</t>
  </si>
  <si>
    <t>Net Working Capital, less Cash</t>
  </si>
  <si>
    <t>Check</t>
  </si>
  <si>
    <t>Athena Modeling Exercise</t>
  </si>
  <si>
    <t>Step 1 - Historicals</t>
  </si>
  <si>
    <t>Black font = Calculation</t>
  </si>
  <si>
    <t>YELLOWS ARE FILLS</t>
  </si>
  <si>
    <t>SKIP FOR NOW</t>
  </si>
  <si>
    <t>Blue font = Hardcoded Input/Assumption</t>
  </si>
  <si>
    <t>Green font = Pulled from another Sheet</t>
  </si>
  <si>
    <t>x</t>
  </si>
  <si>
    <t>Use the historical financial statements (Income Statement and Balance Sheet) to get started. Copy the financial statements as they appear from your research</t>
  </si>
  <si>
    <t>MRY</t>
  </si>
  <si>
    <t>Fiscal Years Ending December 31,</t>
  </si>
  <si>
    <t>($ in millions)</t>
  </si>
  <si>
    <t>COGS</t>
  </si>
  <si>
    <t>Gross Profit</t>
  </si>
  <si>
    <t>Gross Margin (%)</t>
  </si>
  <si>
    <t>SG&amp;A</t>
  </si>
  <si>
    <t>EBITDA</t>
  </si>
  <si>
    <t>EBITDA Margin (%)</t>
  </si>
  <si>
    <t>EBIT</t>
  </si>
  <si>
    <t>Interest (Income) / Expense</t>
  </si>
  <si>
    <t>Revolver – Interest</t>
  </si>
  <si>
    <t>Revolver – Undrawn Commitment Fee</t>
  </si>
  <si>
    <t>Other (Income) / Expense</t>
  </si>
  <si>
    <t>Income Before Taxes</t>
  </si>
  <si>
    <t>Provision for Tax</t>
  </si>
  <si>
    <t>Profit Margin (%)</t>
  </si>
  <si>
    <t>Capital Expenditures</t>
  </si>
  <si>
    <t>Assets</t>
  </si>
  <si>
    <t>Cash and Equivalents</t>
  </si>
  <si>
    <t>Accounts Receivable, net</t>
  </si>
  <si>
    <t>Prepaids and Other Current Assets</t>
  </si>
  <si>
    <t>PP&amp;E, Gross</t>
  </si>
  <si>
    <t>( – ) Accumulated Depreciation</t>
  </si>
  <si>
    <t>Goodwill</t>
  </si>
  <si>
    <t>Intangible and Long-Term Other Assets</t>
  </si>
  <si>
    <t>Liabilities &amp; Shareholders' Equity</t>
  </si>
  <si>
    <t>Subordinated - Note 1</t>
  </si>
  <si>
    <t>Subordinated - Note 2</t>
  </si>
  <si>
    <t>Total Debt</t>
  </si>
  <si>
    <t>Other Long-term Liabilities</t>
  </si>
  <si>
    <t>Total liabilities</t>
  </si>
  <si>
    <t>Total Liabilities &amp; Shareholders' Equity</t>
  </si>
  <si>
    <t>Checks to Source</t>
  </si>
  <si>
    <t>Revenue</t>
  </si>
  <si>
    <t>Cash</t>
  </si>
  <si>
    <t>Current Assets</t>
  </si>
  <si>
    <t>Current Liabilities</t>
  </si>
  <si>
    <t>Total Liabilities</t>
  </si>
  <si>
    <t>Internal Checks</t>
  </si>
  <si>
    <t>A= L + E</t>
  </si>
  <si>
    <t>Step 2 - Begin Projecting the Income Statement</t>
  </si>
  <si>
    <t>Revenue is grown year-over-year. Project total revenue based on the growth rate assumption below and the prior period revenue (line 41)</t>
  </si>
  <si>
    <t>CoGS typically fluctuates with Revenue - it is the cost of the goods and services we sell. We call this a "Variable Cost." As such, project as a % of Sales based on the performance driver below - that way CoGS moves with Revenue</t>
  </si>
  <si>
    <t>Calculate Gross Profit Margin (Gross Profit / Total Revenue)</t>
  </si>
  <si>
    <t xml:space="preserve">SG&amp;A typically has a part that is fixed (cost that does not fluctuate with revenue - like Rent) and a part that is Variable Cost. When I look at what the components of SG&amp;A are using information from the 'Financials from CIP' tab, I see the majority of it is in Payroll &amp; Related Expense - something that is most likely Variable. For simplicity sake, let's project SG&amp;A in the business to be Variable. As such, project as a % of Sales based on the performance driver below </t>
  </si>
  <si>
    <t>Calculate EBITDA Margin (EBITDA / Total Revenue)</t>
  </si>
  <si>
    <t>See the schedule, below. Link total Depreciation per year from the schedule to here. Follow the Depreciation schedule instructions carefully</t>
  </si>
  <si>
    <t>Amortization Expense reduces Other Intangibles Assets on the Balance sheet. It is similar to Depreciation but for Assets that are not physical (like a copyright). For simplicity sake, let's hold the 2024 amount consistent per year going forward but be careful to not to amortize more than the Balance of the Other Intangible Assets in any given year. We will revisit this calculation to ensure its working properly in a later step</t>
  </si>
  <si>
    <t>This is very low in 2023 and 2024. Let's assume it stays zero going forward</t>
  </si>
  <si>
    <t>Calculate tax expense based on the tax rate below</t>
  </si>
  <si>
    <t>Key Performance Metrics &amp; Drivers</t>
  </si>
  <si>
    <t>Sales Growth (%)</t>
  </si>
  <si>
    <t>Round your 2024 growth rate to the nearest percent and use that for 2025 and 2026, reducing it by 3% per year thereafter</t>
  </si>
  <si>
    <t>COGS / Sales (%)</t>
  </si>
  <si>
    <t>Divide by sales to get the % in 2023 and 2024. Use an average as your assumption and hold constant going forward</t>
  </si>
  <si>
    <t>SG&amp;A / Sales (%)</t>
  </si>
  <si>
    <t>Same as above</t>
  </si>
  <si>
    <t>Tax Rate (%)</t>
  </si>
  <si>
    <t>Round the 2024 tax rate to the nearest % and use that going forward</t>
  </si>
  <si>
    <t>Capex / Sales (%)</t>
  </si>
  <si>
    <t>Depreciation Schedule</t>
  </si>
  <si>
    <t>Depreciation is how much your long-term, physical assets (such as equipment) decrease in value each year. We have to know the cost of our the long-term, physical assets (CapEx) and then choose an "estimated life" to find the depreciation each year</t>
  </si>
  <si>
    <t>PP&amp;E to Depr</t>
  </si>
  <si>
    <t>SL Years (Est  Life)</t>
  </si>
  <si>
    <t>Last Year</t>
  </si>
  <si>
    <t>Depr/Year</t>
  </si>
  <si>
    <t>Link Amt to Depr to this year's capex. Straight line Depr for 10 more years. Use a rolling formula to determine what the amount should be each year - how much is left over vs annual depreciation per year. The first year formula can be written as: =-MIN(-$G119,$D119). Following that, we can write it as: =-MIN(-$H119,SUM($H119:H119,$D119))</t>
  </si>
  <si>
    <t>Total Depr.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</si>
</sst>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_(* \(#,##0\);_(* &quot;-&quot;_);_(@_)"/>
    <numFmt numFmtId="43" formatCode="_(* #,##0.00_);_(* \(#,##0.00\);_(* &quot;-&quot;??_);_(@_)"/>
    <numFmt numFmtId="164" formatCode="&quot;ERROR&quot;;&quot;ERROR&quot;;&quot;OK&quot;"/>
    <numFmt numFmtId="165" formatCode="[$-409]mmm\-yy;@"/>
    <numFmt numFmtId="166" formatCode="_(* #,##0.0_);_(* \(#,##0.0\);_(* &quot;-&quot;?_);_(@_)"/>
    <numFmt numFmtId="167" formatCode="0.0%"/>
    <numFmt numFmtId="168" formatCode="0_)_%;_(\(0\)_%;0_)_%;@_(_%"/>
    <numFmt numFmtId="169" formatCode="_(#,##0.00_)_%;_(\(#,##0.00\)_%;_(&quot;–&quot;_)_%;@_(_%"/>
    <numFmt numFmtId="170" formatCode="_(#,##0.0_)_%;_(\(#,##0.0\)_%;_(&quot;–&quot;_)_%;@_(_%"/>
    <numFmt numFmtId="171" formatCode="yyyy"/>
    <numFmt numFmtId="172" formatCode="mm/dd/yy;@"/>
    <numFmt numFmtId="173" formatCode="&quot;$&quot;#,##0.0_);\(&quot;$&quot;#,##0.0\);&quot;$&quot;#,##0.0_);@_)"/>
    <numFmt numFmtId="174" formatCode="&quot;$&quot;#,##0.0"/>
    <numFmt numFmtId="175" formatCode="#,##0.0_);\(#,##0.0\);#,##0.0_);@_)"/>
    <numFmt numFmtId="176" formatCode="_(#,##0_)_%;_(\(#,##0\)_%;_(&quot;–&quot;_)_%;@_(_%"/>
    <numFmt numFmtId="177" formatCode="_(&quot;$&quot;#,##0.0_)_%;_(\(&quot;$&quot;#,##0.0\)_%;_(&quot;–&quot;_)_%;@_(_%"/>
    <numFmt numFmtId="178" formatCode="_([$$]#,##0.0_)_%;\([$$]#,##0.0\)_%;_(&quot;–&quot;_)_%;@_)_%"/>
    <numFmt numFmtId="179" formatCode="&quot;$&quot;#,##0.0_);\(&quot;$&quot;#,##0.0\)"/>
    <numFmt numFmtId="180" formatCode="_(#,##0.000_)_%;_(\(#,##0.000\)_%;_(&quot;–&quot;_)_%;@_(_%"/>
    <numFmt numFmtId="181" formatCode="_(0.0%_);\(0.0%\);_(&quot;–&quot;_)_%;@_(_%"/>
    <numFmt numFmtId="182" formatCode="#,##0.0_);\(#,##0.0\)"/>
  </numFmts>
  <fonts count="55">
    <font>
      <sz val="10"/>
      <color indexed="16"/>
      <name val="Credit Suisse Type Roman"/>
      <family val="2"/>
    </font>
    <font>
      <sz val="11"/>
      <color theme="1"/>
      <name val="Open Sans"/>
      <family val="2"/>
    </font>
    <font>
      <b/>
      <sz val="11"/>
      <color theme="0"/>
      <name val="Open Sans"/>
      <family val="2"/>
    </font>
    <font>
      <b/>
      <sz val="11"/>
      <color theme="1"/>
      <name val="Open Sans"/>
      <family val="2"/>
    </font>
    <font>
      <sz val="11"/>
      <color theme="1"/>
      <name val="Calibri"/>
      <family val="2"/>
      <scheme val="minor"/>
    </font>
    <font>
      <b/>
      <sz val="10"/>
      <color theme="1"/>
      <name val="Open Sans"/>
      <family val="2"/>
    </font>
    <font>
      <sz val="11"/>
      <color theme="1"/>
      <name val="Book Antiqua"/>
      <family val="2"/>
    </font>
    <font>
      <i/>
      <sz val="10"/>
      <color theme="0"/>
      <name val="Open Sans"/>
      <family val="2"/>
    </font>
    <font>
      <b/>
      <sz val="11"/>
      <color rgb="FF535456"/>
      <name val="Open Sans"/>
      <family val="2"/>
    </font>
    <font>
      <sz val="11"/>
      <color rgb="FF535456"/>
      <name val="Open Sans"/>
      <family val="2"/>
    </font>
    <font>
      <b/>
      <u/>
      <sz val="11"/>
      <color theme="1"/>
      <name val="Open Sans"/>
      <family val="2"/>
    </font>
    <font>
      <i/>
      <sz val="10"/>
      <color theme="1"/>
      <name val="Open Sans"/>
      <family val="2"/>
    </font>
    <font>
      <sz val="10"/>
      <color theme="1"/>
      <name val="Open Sans"/>
      <family val="2"/>
    </font>
    <font>
      <i/>
      <sz val="11"/>
      <color theme="1"/>
      <name val="Open Sans"/>
      <family val="2"/>
    </font>
    <font>
      <sz val="10"/>
      <color indexed="16"/>
      <name val="Open Sans"/>
      <family val="2"/>
    </font>
    <font>
      <b/>
      <sz val="10"/>
      <color indexed="16"/>
      <name val="Open Sans"/>
      <family val="2"/>
    </font>
    <font>
      <b/>
      <sz val="10"/>
      <color indexed="9"/>
      <name val="Open Sans"/>
      <family val="2"/>
    </font>
    <font>
      <sz val="12"/>
      <color indexed="16"/>
      <name val="Open Sans"/>
      <family val="2"/>
    </font>
    <font>
      <b/>
      <sz val="14"/>
      <color theme="0"/>
      <name val="Open Sans"/>
      <family val="2"/>
    </font>
    <font>
      <sz val="14"/>
      <color theme="0"/>
      <name val="Open Sans"/>
      <family val="2"/>
    </font>
    <font>
      <b/>
      <sz val="10"/>
      <color theme="0"/>
      <name val="Open Sans"/>
      <family val="2"/>
    </font>
    <font>
      <b/>
      <sz val="10"/>
      <name val="Open Sans"/>
      <family val="2"/>
    </font>
    <font>
      <b/>
      <i/>
      <sz val="10"/>
      <color rgb="FF0000FF"/>
      <name val="Open Sans"/>
      <family val="2"/>
    </font>
    <font>
      <sz val="12"/>
      <color rgb="FF0000FF"/>
      <name val="Open Sans"/>
      <family val="2"/>
    </font>
    <font>
      <sz val="12"/>
      <color indexed="9"/>
      <name val="Open Sans"/>
      <family val="2"/>
    </font>
    <font>
      <b/>
      <sz val="10"/>
      <color rgb="FF000000"/>
      <name val="Open Sans"/>
      <family val="2"/>
    </font>
    <font>
      <b/>
      <sz val="10"/>
      <color rgb="FF0000FF"/>
      <name val="Open Sans"/>
      <family val="2"/>
    </font>
    <font>
      <b/>
      <sz val="10"/>
      <color rgb="FF007E00"/>
      <name val="Open Sans"/>
      <family val="2"/>
    </font>
    <font>
      <b/>
      <sz val="14"/>
      <color rgb="FFFFFFFF"/>
      <name val="Open Sans"/>
      <family val="2"/>
    </font>
    <font>
      <b/>
      <sz val="12"/>
      <color indexed="16"/>
      <name val="Open Sans"/>
      <family val="2"/>
    </font>
    <font>
      <b/>
      <sz val="10"/>
      <color rgb="FF416D89"/>
      <name val="Open Sans"/>
      <family val="2"/>
    </font>
    <font>
      <sz val="8"/>
      <color indexed="16"/>
      <name val="Open Sans"/>
      <family val="2"/>
    </font>
    <font>
      <sz val="7"/>
      <color indexed="16"/>
      <name val="Open Sans"/>
      <family val="2"/>
    </font>
    <font>
      <b/>
      <sz val="10"/>
      <color rgb="FF003868"/>
      <name val="Open Sans"/>
      <family val="2"/>
    </font>
    <font>
      <b/>
      <sz val="10"/>
      <color rgb="FF003769"/>
      <name val="Open Sans"/>
      <family val="2"/>
    </font>
    <font>
      <b/>
      <u val="singleAccounting"/>
      <sz val="10"/>
      <color rgb="FF003769"/>
      <name val="Open Sans"/>
      <family val="2"/>
    </font>
    <font>
      <sz val="8"/>
      <color rgb="FF000000"/>
      <name val="Open Sans"/>
      <family val="2"/>
    </font>
    <font>
      <b/>
      <sz val="10"/>
      <color indexed="53"/>
      <name val="Open Sans"/>
      <family val="2"/>
    </font>
    <font>
      <sz val="10"/>
      <name val="Open Sans"/>
      <family val="2"/>
    </font>
    <font>
      <sz val="10"/>
      <color rgb="FF007E00"/>
      <name val="Open Sans"/>
      <family val="2"/>
    </font>
    <font>
      <sz val="10"/>
      <color rgb="FF000000"/>
      <name val="Open Sans"/>
      <family val="2"/>
    </font>
    <font>
      <i/>
      <sz val="10"/>
      <name val="Open Sans"/>
      <family val="2"/>
    </font>
    <font>
      <i/>
      <sz val="10"/>
      <color rgb="FF000000"/>
      <name val="Open Sans"/>
      <family val="2"/>
    </font>
    <font>
      <i/>
      <u/>
      <sz val="10"/>
      <name val="Open Sans"/>
      <family val="2"/>
    </font>
    <font>
      <i/>
      <sz val="10"/>
      <color rgb="FF007E00"/>
      <name val="Open Sans"/>
      <family val="2"/>
    </font>
    <font>
      <sz val="10"/>
      <color rgb="FF0000FF"/>
      <name val="Open Sans"/>
      <family val="2"/>
    </font>
    <font>
      <i/>
      <sz val="10"/>
      <color indexed="16"/>
      <name val="Open Sans"/>
      <family val="2"/>
    </font>
    <font>
      <i/>
      <sz val="8"/>
      <color indexed="60"/>
      <name val="Open Sans"/>
      <family val="2"/>
    </font>
    <font>
      <i/>
      <sz val="12"/>
      <color rgb="FFC00000"/>
      <name val="Open Sans"/>
      <family val="2"/>
    </font>
    <font>
      <i/>
      <sz val="10"/>
      <color rgb="FFC00000"/>
      <name val="Open Sans"/>
      <family val="2"/>
    </font>
    <font>
      <i/>
      <sz val="10"/>
      <color rgb="FFC23841"/>
      <name val="Open Sans"/>
      <family val="2"/>
    </font>
    <font>
      <b/>
      <u/>
      <sz val="10"/>
      <color indexed="16"/>
      <name val="Open Sans"/>
      <family val="2"/>
    </font>
    <font>
      <i/>
      <u/>
      <sz val="10"/>
      <color indexed="16"/>
      <name val="Open Sans"/>
      <family val="2"/>
    </font>
    <font>
      <u/>
      <sz val="10"/>
      <color indexed="16"/>
      <name val="Open Sans"/>
      <family val="2"/>
    </font>
    <font>
      <i/>
      <sz val="10"/>
      <color rgb="FF0000FF"/>
      <name val="Open Sans"/>
      <family val="2"/>
    </font>
  </fonts>
  <fills count="8">
    <fill>
      <patternFill patternType="none"/>
    </fill>
    <fill>
      <patternFill patternType="gray125"/>
    </fill>
    <fill>
      <patternFill patternType="solid">
        <fgColor rgb="FF416D89"/>
        <bgColor indexed="64"/>
      </patternFill>
    </fill>
    <fill>
      <patternFill patternType="solid">
        <fgColor rgb="FFD8D8D8"/>
        <bgColor indexed="64"/>
      </patternFill>
    </fill>
    <fill>
      <patternFill patternType="solid">
        <fgColor rgb="FFFFFF00"/>
        <bgColor indexed="64"/>
      </patternFill>
    </fill>
    <fill>
      <patternFill patternType="solid">
        <fgColor rgb="FFF5DCDC"/>
        <bgColor indexed="64"/>
      </patternFill>
    </fill>
    <fill>
      <patternFill patternType="solid">
        <fgColor rgb="FF005A9F"/>
        <bgColor indexed="64"/>
      </patternFill>
    </fill>
    <fill>
      <patternFill patternType="solid">
        <fgColor theme="1"/>
        <bgColor indexed="64"/>
      </patternFill>
    </fill>
  </fills>
  <borders count="10">
    <border>
      <left/>
      <right/>
      <top/>
      <bottom/>
      <diagonal/>
    </border>
    <border>
      <left/>
      <right/>
      <top style="thin">
        <color auto="1"/>
      </top>
      <bottom/>
      <diagonal/>
    </border>
    <border>
      <left/>
      <right/>
      <top style="thick">
        <color theme="0"/>
      </top>
      <bottom/>
      <diagonal/>
    </border>
    <border>
      <left/>
      <right/>
      <top/>
      <bottom style="medium">
        <color rgb="FF235A8C"/>
      </bottom>
      <diagonal/>
    </border>
    <border>
      <left/>
      <right/>
      <top style="hair">
        <color auto="1"/>
      </top>
      <bottom/>
      <diagonal/>
    </border>
    <border>
      <left/>
      <right/>
      <top/>
      <bottom style="medium">
        <color rgb="FF000000"/>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thin">
        <color rgb="FFB4C3D2"/>
      </bottom>
      <diagonal/>
    </border>
  </borders>
  <cellStyleXfs count="3">
    <xf numFmtId="0" fontId="0" fillId="0" borderId="0"/>
    <xf numFmtId="0" fontId="4" fillId="0" borderId="0"/>
    <xf numFmtId="0" fontId="6" fillId="0" borderId="0"/>
  </cellStyleXfs>
  <cellXfs count="158">
    <xf numFmtId="0" fontId="0" fillId="0" borderId="0" xfId="0"/>
    <xf numFmtId="164" fontId="5" fillId="0" borderId="0" xfId="1" applyNumberFormat="1" applyFont="1" applyAlignment="1">
      <alignment horizontal="centerContinuous"/>
    </xf>
    <xf numFmtId="0" fontId="1" fillId="0" borderId="0" xfId="2" applyFont="1"/>
    <xf numFmtId="0" fontId="2" fillId="2" borderId="0" xfId="1" applyFont="1" applyFill="1"/>
    <xf numFmtId="0" fontId="7" fillId="2" borderId="0" xfId="1" applyFont="1" applyFill="1"/>
    <xf numFmtId="0" fontId="8" fillId="3" borderId="0" xfId="2" applyFont="1" applyFill="1"/>
    <xf numFmtId="0" fontId="9" fillId="3" borderId="0" xfId="2" applyFont="1" applyFill="1"/>
    <xf numFmtId="165" fontId="1" fillId="0" borderId="0" xfId="2" applyNumberFormat="1" applyFont="1"/>
    <xf numFmtId="0" fontId="10" fillId="0" borderId="0" xfId="2" applyFont="1" applyAlignment="1">
      <alignment horizontal="center"/>
    </xf>
    <xf numFmtId="0" fontId="1" fillId="0" borderId="0" xfId="2" applyFont="1" applyAlignment="1">
      <alignment wrapText="1"/>
    </xf>
    <xf numFmtId="0" fontId="1" fillId="0" borderId="0" xfId="2" applyFont="1" applyAlignment="1">
      <alignment horizontal="left" indent="1"/>
    </xf>
    <xf numFmtId="166" fontId="1" fillId="0" borderId="0" xfId="2" applyNumberFormat="1" applyFont="1"/>
    <xf numFmtId="43" fontId="1" fillId="0" borderId="0" xfId="2" applyNumberFormat="1" applyFont="1"/>
    <xf numFmtId="0" fontId="3" fillId="0" borderId="1" xfId="2" applyFont="1" applyBorder="1"/>
    <xf numFmtId="0" fontId="1" fillId="0" borderId="1" xfId="2" applyFont="1" applyBorder="1"/>
    <xf numFmtId="166" fontId="3" fillId="0" borderId="1" xfId="2" applyNumberFormat="1" applyFont="1" applyBorder="1"/>
    <xf numFmtId="0" fontId="3" fillId="0" borderId="0" xfId="2" applyFont="1"/>
    <xf numFmtId="166" fontId="3" fillId="0" borderId="0" xfId="2" applyNumberFormat="1" applyFont="1"/>
    <xf numFmtId="0" fontId="11" fillId="0" borderId="0" xfId="2" applyFont="1" applyAlignment="1">
      <alignment horizontal="left" indent="2"/>
    </xf>
    <xf numFmtId="0" fontId="12" fillId="0" borderId="0" xfId="2" applyFont="1"/>
    <xf numFmtId="167" fontId="11" fillId="0" borderId="0" xfId="2" applyNumberFormat="1" applyFont="1"/>
    <xf numFmtId="167" fontId="13" fillId="0" borderId="0" xfId="2" applyNumberFormat="1" applyFont="1"/>
    <xf numFmtId="0" fontId="3" fillId="0" borderId="0" xfId="2" applyFont="1" applyAlignment="1">
      <alignment horizontal="left"/>
    </xf>
    <xf numFmtId="0" fontId="10" fillId="0" borderId="0" xfId="2" applyFont="1" applyAlignment="1">
      <alignment horizontal="right" indent="1"/>
    </xf>
    <xf numFmtId="0" fontId="1" fillId="0" borderId="0" xfId="2" applyFont="1" applyAlignment="1">
      <alignment horizontal="left" indent="2"/>
    </xf>
    <xf numFmtId="0" fontId="1" fillId="0" borderId="0" xfId="2" applyFont="1" applyAlignment="1">
      <alignment horizontal="left"/>
    </xf>
    <xf numFmtId="0" fontId="13" fillId="0" borderId="0" xfId="2" applyFont="1"/>
    <xf numFmtId="166" fontId="13" fillId="0" borderId="0" xfId="2" applyNumberFormat="1" applyFont="1"/>
    <xf numFmtId="0" fontId="13" fillId="0" borderId="0" xfId="2" applyFont="1" applyAlignment="1">
      <alignment horizontal="left"/>
    </xf>
    <xf numFmtId="0" fontId="14" fillId="0" borderId="0" xfId="0" applyFont="1" applyAlignment="1">
      <alignment vertical="center"/>
    </xf>
    <xf numFmtId="0" fontId="15" fillId="0" borderId="0" xfId="0" applyFont="1" applyAlignment="1">
      <alignment vertical="center"/>
    </xf>
    <xf numFmtId="168" fontId="16" fillId="0" borderId="0" xfId="0" applyNumberFormat="1" applyFont="1" applyAlignment="1">
      <alignment horizontal="right" vertical="center"/>
    </xf>
    <xf numFmtId="0" fontId="17" fillId="0" borderId="0" xfId="0" applyFont="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168" fontId="19" fillId="2" borderId="0" xfId="0" applyNumberFormat="1" applyFont="1" applyFill="1" applyAlignment="1">
      <alignment horizontal="right" vertical="center"/>
    </xf>
    <xf numFmtId="169" fontId="19" fillId="2" borderId="0" xfId="0" applyNumberFormat="1" applyFont="1" applyFill="1" applyAlignment="1">
      <alignment horizontal="right" vertical="center"/>
    </xf>
    <xf numFmtId="0" fontId="20" fillId="2" borderId="0" xfId="0" applyFont="1" applyFill="1" applyAlignment="1">
      <alignment vertical="center"/>
    </xf>
    <xf numFmtId="168" fontId="18" fillId="2" borderId="0" xfId="0" applyNumberFormat="1" applyFont="1" applyFill="1" applyAlignment="1">
      <alignment horizontal="right" vertical="center"/>
    </xf>
    <xf numFmtId="0" fontId="21" fillId="0" borderId="0" xfId="0" applyFont="1" applyAlignment="1">
      <alignment vertical="center"/>
    </xf>
    <xf numFmtId="0" fontId="22" fillId="4" borderId="0" xfId="0" applyFont="1" applyFill="1" applyAlignment="1">
      <alignment vertical="center"/>
    </xf>
    <xf numFmtId="0" fontId="23" fillId="4" borderId="0" xfId="0" applyFont="1" applyFill="1" applyAlignment="1">
      <alignment vertical="center"/>
    </xf>
    <xf numFmtId="168" fontId="24" fillId="0" borderId="0" xfId="0" applyNumberFormat="1" applyFont="1" applyAlignment="1">
      <alignment horizontal="right" vertical="center"/>
    </xf>
    <xf numFmtId="170" fontId="25" fillId="5" borderId="0" xfId="0" applyNumberFormat="1" applyFont="1" applyFill="1" applyAlignment="1">
      <alignment vertical="center"/>
    </xf>
    <xf numFmtId="0" fontId="26" fillId="0" borderId="0" xfId="0" applyFont="1" applyAlignment="1">
      <alignment vertical="center"/>
    </xf>
    <xf numFmtId="0" fontId="27" fillId="0" borderId="0" xfId="0" applyFont="1" applyAlignment="1">
      <alignment vertical="center"/>
    </xf>
    <xf numFmtId="0" fontId="14" fillId="0" borderId="2" xfId="0" applyFont="1" applyBorder="1" applyAlignment="1">
      <alignment horizontal="center" vertical="center"/>
    </xf>
    <xf numFmtId="0" fontId="28" fillId="6" borderId="2" xfId="0" applyFont="1" applyFill="1" applyBorder="1" applyAlignment="1">
      <alignment vertical="center"/>
    </xf>
    <xf numFmtId="0" fontId="29" fillId="6" borderId="2" xfId="0" applyFont="1" applyFill="1" applyBorder="1" applyAlignment="1">
      <alignment vertical="center"/>
    </xf>
    <xf numFmtId="0" fontId="14" fillId="6" borderId="2" xfId="0" applyFont="1" applyFill="1" applyBorder="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left" vertical="center"/>
    </xf>
    <xf numFmtId="0" fontId="34" fillId="0" borderId="0" xfId="0" applyFont="1" applyAlignment="1">
      <alignment horizontal="center" vertical="center"/>
    </xf>
    <xf numFmtId="49" fontId="35" fillId="0" borderId="0" xfId="0" applyNumberFormat="1" applyFont="1" applyAlignment="1">
      <alignment horizontal="centerContinuous" vertical="center"/>
    </xf>
    <xf numFmtId="0" fontId="36" fillId="0" borderId="3" xfId="0" applyFont="1" applyBorder="1" applyAlignment="1">
      <alignment horizontal="left" vertical="center"/>
    </xf>
    <xf numFmtId="0" fontId="33" fillId="0" borderId="3" xfId="0" applyFont="1" applyBorder="1" applyAlignment="1">
      <alignment horizontal="left" vertical="center"/>
    </xf>
    <xf numFmtId="171" fontId="34" fillId="0" borderId="3" xfId="0" applyNumberFormat="1" applyFont="1" applyBorder="1" applyAlignment="1">
      <alignment horizontal="center" vertical="center"/>
    </xf>
    <xf numFmtId="0" fontId="37" fillId="0" borderId="0" xfId="0" applyFont="1" applyAlignment="1">
      <alignment horizontal="left" vertical="center"/>
    </xf>
    <xf numFmtId="172" fontId="37" fillId="0" borderId="0" xfId="0" applyNumberFormat="1" applyFont="1" applyAlignment="1">
      <alignment horizontal="center" vertical="center"/>
    </xf>
    <xf numFmtId="173" fontId="21" fillId="0" borderId="0" xfId="0" applyNumberFormat="1" applyFont="1" applyAlignment="1">
      <alignment vertical="center"/>
    </xf>
    <xf numFmtId="174" fontId="27" fillId="4" borderId="0" xfId="0" applyNumberFormat="1" applyFont="1" applyFill="1" applyAlignment="1">
      <alignment vertical="center"/>
    </xf>
    <xf numFmtId="175" fontId="38" fillId="0" borderId="0" xfId="0" applyNumberFormat="1" applyFont="1" applyAlignment="1">
      <alignment vertical="center"/>
    </xf>
    <xf numFmtId="166" fontId="39" fillId="4" borderId="0" xfId="0" applyNumberFormat="1" applyFont="1" applyFill="1" applyAlignment="1">
      <alignment vertical="center"/>
    </xf>
    <xf numFmtId="0" fontId="38" fillId="0" borderId="4" xfId="0" applyFont="1" applyBorder="1" applyAlignment="1">
      <alignment vertical="center"/>
    </xf>
    <xf numFmtId="166" fontId="40" fillId="0" borderId="4" xfId="0" applyNumberFormat="1" applyFont="1" applyBorder="1" applyAlignment="1">
      <alignment vertical="center"/>
    </xf>
    <xf numFmtId="0" fontId="41" fillId="0" borderId="0" xfId="0" applyFont="1" applyAlignment="1">
      <alignment horizontal="left" vertical="center" indent="1"/>
    </xf>
    <xf numFmtId="0" fontId="38" fillId="0" borderId="0" xfId="0" applyFont="1" applyAlignment="1">
      <alignment vertical="center"/>
    </xf>
    <xf numFmtId="167" fontId="42" fillId="0" borderId="0" xfId="0" applyNumberFormat="1" applyFont="1" applyAlignment="1">
      <alignment horizontal="right" vertical="center"/>
    </xf>
    <xf numFmtId="0" fontId="21" fillId="0" borderId="4" xfId="0" applyFont="1" applyBorder="1" applyAlignment="1">
      <alignment vertical="center"/>
    </xf>
    <xf numFmtId="174" fontId="25" fillId="0" borderId="4" xfId="0" applyNumberFormat="1" applyFont="1" applyBorder="1" applyAlignment="1">
      <alignment vertical="center"/>
    </xf>
    <xf numFmtId="0" fontId="43" fillId="0" borderId="0" xfId="0" applyFont="1" applyAlignment="1">
      <alignment vertical="center"/>
    </xf>
    <xf numFmtId="167" fontId="44" fillId="0" borderId="0" xfId="0" applyNumberFormat="1" applyFont="1" applyAlignment="1">
      <alignment vertical="center"/>
    </xf>
    <xf numFmtId="175" fontId="38" fillId="0" borderId="0" xfId="0" applyNumberFormat="1" applyFont="1" applyAlignment="1">
      <alignment horizontal="left" vertical="center" indent="1"/>
    </xf>
    <xf numFmtId="170" fontId="39" fillId="0" borderId="0" xfId="0" applyNumberFormat="1" applyFont="1" applyAlignment="1">
      <alignment horizontal="right" vertical="center"/>
    </xf>
    <xf numFmtId="0" fontId="38" fillId="0" borderId="4" xfId="0" applyFont="1" applyBorder="1" applyAlignment="1">
      <alignment horizontal="left" vertical="center"/>
    </xf>
    <xf numFmtId="0" fontId="14" fillId="0" borderId="4" xfId="0" applyFont="1" applyBorder="1" applyAlignment="1">
      <alignment horizontal="left" vertical="center"/>
    </xf>
    <xf numFmtId="166" fontId="39" fillId="4" borderId="4" xfId="0" applyNumberFormat="1" applyFont="1" applyFill="1" applyBorder="1" applyAlignment="1">
      <alignment horizontal="right" vertical="center"/>
    </xf>
    <xf numFmtId="176" fontId="21" fillId="0" borderId="4" xfId="0" applyNumberFormat="1" applyFont="1" applyBorder="1" applyAlignment="1">
      <alignment vertical="center"/>
    </xf>
    <xf numFmtId="173" fontId="38" fillId="0" borderId="0" xfId="0" applyNumberFormat="1" applyFont="1" applyAlignment="1">
      <alignment vertical="center"/>
    </xf>
    <xf numFmtId="177" fontId="45" fillId="0" borderId="0" xfId="0" applyNumberFormat="1" applyFont="1" applyAlignment="1">
      <alignment vertical="center"/>
    </xf>
    <xf numFmtId="0" fontId="14" fillId="0" borderId="0" xfId="0" applyFont="1"/>
    <xf numFmtId="0" fontId="14" fillId="0" borderId="5" xfId="0" applyFont="1" applyBorder="1" applyAlignment="1">
      <alignment vertical="center"/>
    </xf>
    <xf numFmtId="0" fontId="20" fillId="2" borderId="6" xfId="0" applyFont="1" applyFill="1" applyBorder="1" applyAlignment="1">
      <alignment horizontal="left" vertical="center"/>
    </xf>
    <xf numFmtId="0" fontId="20" fillId="2" borderId="7" xfId="0" applyFont="1" applyFill="1" applyBorder="1" applyAlignment="1">
      <alignment horizontal="left" vertical="center" indent="1"/>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21" fillId="0" borderId="0" xfId="0" applyFont="1" applyAlignment="1">
      <alignment horizontal="left" vertical="center" indent="1"/>
    </xf>
    <xf numFmtId="174" fontId="27" fillId="4" borderId="0" xfId="0" applyNumberFormat="1" applyFont="1" applyFill="1" applyAlignment="1">
      <alignment horizontal="right" vertical="center"/>
    </xf>
    <xf numFmtId="178" fontId="14" fillId="0" borderId="0" xfId="0" applyNumberFormat="1" applyFont="1" applyAlignment="1">
      <alignment horizontal="right" vertical="center"/>
    </xf>
    <xf numFmtId="0" fontId="38" fillId="0" borderId="0" xfId="0" applyFont="1" applyAlignment="1">
      <alignment horizontal="left" vertical="center" indent="1"/>
    </xf>
    <xf numFmtId="166" fontId="39" fillId="4" borderId="0" xfId="0" applyNumberFormat="1" applyFont="1" applyFill="1" applyAlignment="1">
      <alignment horizontal="right" vertical="center"/>
    </xf>
    <xf numFmtId="166" fontId="38" fillId="0" borderId="4" xfId="0" applyNumberFormat="1" applyFont="1" applyBorder="1" applyAlignment="1">
      <alignment horizontal="right" vertical="center"/>
    </xf>
    <xf numFmtId="170" fontId="14" fillId="0" borderId="0" xfId="0" applyNumberFormat="1" applyFont="1" applyAlignment="1">
      <alignment horizontal="right" vertical="center"/>
    </xf>
    <xf numFmtId="0" fontId="14" fillId="0" borderId="0" xfId="0" applyFont="1" applyAlignment="1">
      <alignment horizontal="left" vertical="center"/>
    </xf>
    <xf numFmtId="166" fontId="39" fillId="0" borderId="0" xfId="0" applyNumberFormat="1" applyFont="1" applyAlignment="1">
      <alignment horizontal="right" vertical="center"/>
    </xf>
    <xf numFmtId="170" fontId="40" fillId="0" borderId="0" xfId="0" applyNumberFormat="1" applyFont="1" applyAlignment="1">
      <alignment horizontal="right" vertical="center"/>
    </xf>
    <xf numFmtId="0" fontId="38" fillId="0" borderId="0" xfId="0" applyFont="1" applyAlignment="1">
      <alignment horizontal="left" vertical="center"/>
    </xf>
    <xf numFmtId="166" fontId="45" fillId="0" borderId="0" xfId="0" applyNumberFormat="1" applyFont="1" applyAlignment="1">
      <alignment horizontal="right" vertical="center"/>
    </xf>
    <xf numFmtId="0" fontId="21" fillId="0" borderId="1" xfId="0" applyFont="1" applyBorder="1" applyAlignment="1">
      <alignment horizontal="left" vertical="center"/>
    </xf>
    <xf numFmtId="0" fontId="15" fillId="0" borderId="1" xfId="0" applyFont="1" applyBorder="1" applyAlignment="1">
      <alignment horizontal="left" vertical="center"/>
    </xf>
    <xf numFmtId="174" fontId="21" fillId="0" borderId="1" xfId="0" applyNumberFormat="1" applyFont="1" applyBorder="1" applyAlignment="1">
      <alignment horizontal="right" vertical="center"/>
    </xf>
    <xf numFmtId="178" fontId="15" fillId="0" borderId="0" xfId="0" applyNumberFormat="1" applyFont="1" applyAlignment="1">
      <alignment horizontal="right" vertical="center"/>
    </xf>
    <xf numFmtId="0" fontId="14" fillId="0" borderId="9" xfId="0" applyFont="1" applyBorder="1" applyAlignment="1">
      <alignment vertical="center"/>
    </xf>
    <xf numFmtId="179" fontId="21" fillId="0" borderId="1" xfId="0" applyNumberFormat="1" applyFont="1" applyBorder="1" applyAlignment="1">
      <alignment horizontal="right" vertical="center"/>
    </xf>
    <xf numFmtId="0" fontId="46" fillId="0" borderId="0" xfId="0" applyFont="1" applyAlignment="1">
      <alignment vertical="center"/>
    </xf>
    <xf numFmtId="0" fontId="47" fillId="0" borderId="0" xfId="0" applyFont="1" applyAlignment="1">
      <alignment horizontal="left" vertical="center" indent="1"/>
    </xf>
    <xf numFmtId="0" fontId="47" fillId="0" borderId="0" xfId="0" applyFont="1" applyAlignment="1">
      <alignment horizontal="left" vertical="center"/>
    </xf>
    <xf numFmtId="170" fontId="47" fillId="0" borderId="0" xfId="0" applyNumberFormat="1" applyFont="1" applyAlignment="1">
      <alignment horizontal="right" vertical="center"/>
    </xf>
    <xf numFmtId="0" fontId="48" fillId="0" borderId="0" xfId="0" applyFont="1" applyAlignment="1">
      <alignment vertical="center"/>
    </xf>
    <xf numFmtId="0" fontId="49" fillId="0" borderId="0" xfId="0" applyFont="1" applyAlignment="1">
      <alignment horizontal="left" vertical="center"/>
    </xf>
    <xf numFmtId="170" fontId="49" fillId="0" borderId="0" xfId="0" applyNumberFormat="1" applyFont="1" applyAlignment="1">
      <alignment horizontal="right" vertical="center"/>
    </xf>
    <xf numFmtId="180" fontId="49" fillId="0" borderId="0" xfId="0" applyNumberFormat="1" applyFont="1" applyAlignment="1">
      <alignment horizontal="right" vertical="center"/>
    </xf>
    <xf numFmtId="0" fontId="49" fillId="0" borderId="0" xfId="0" applyFont="1" applyAlignment="1">
      <alignment vertical="center"/>
    </xf>
    <xf numFmtId="0" fontId="38" fillId="0" borderId="5" xfId="0" applyFont="1" applyBorder="1" applyAlignment="1">
      <alignment vertical="center"/>
    </xf>
    <xf numFmtId="181" fontId="50" fillId="0" borderId="5" xfId="0" applyNumberFormat="1" applyFont="1" applyBorder="1" applyAlignment="1">
      <alignment vertical="center"/>
    </xf>
    <xf numFmtId="181" fontId="50" fillId="0" borderId="0" xfId="0" applyNumberFormat="1" applyFont="1" applyAlignment="1">
      <alignment vertical="center"/>
    </xf>
    <xf numFmtId="0" fontId="37" fillId="0" borderId="0" xfId="0" applyFont="1" applyAlignment="1">
      <alignment vertical="center"/>
    </xf>
    <xf numFmtId="0" fontId="51" fillId="0" borderId="0" xfId="0" applyFont="1"/>
    <xf numFmtId="0" fontId="52" fillId="0" borderId="0" xfId="0" applyFont="1"/>
    <xf numFmtId="0" fontId="46" fillId="0" borderId="0" xfId="0" applyFont="1"/>
    <xf numFmtId="41" fontId="14" fillId="0" borderId="0" xfId="0" applyNumberFormat="1" applyFont="1"/>
    <xf numFmtId="0" fontId="53" fillId="0" borderId="0" xfId="0" applyFont="1"/>
    <xf numFmtId="43" fontId="14" fillId="0" borderId="0" xfId="0" applyNumberFormat="1" applyFont="1"/>
    <xf numFmtId="0" fontId="14" fillId="7" borderId="0" xfId="0" applyFont="1" applyFill="1" applyAlignment="1">
      <alignment vertical="center"/>
    </xf>
    <xf numFmtId="174" fontId="27" fillId="0" borderId="0" xfId="0" applyNumberFormat="1" applyFont="1" applyAlignment="1">
      <alignment vertical="center"/>
    </xf>
    <xf numFmtId="174" fontId="21" fillId="4" borderId="0" xfId="0" applyNumberFormat="1" applyFont="1" applyFill="1" applyAlignment="1">
      <alignment vertical="center"/>
    </xf>
    <xf numFmtId="166" fontId="39" fillId="0" borderId="0" xfId="0" applyNumberFormat="1" applyFont="1" applyAlignment="1">
      <alignment vertical="center"/>
    </xf>
    <xf numFmtId="166" fontId="38" fillId="4" borderId="0" xfId="0" applyNumberFormat="1" applyFont="1" applyFill="1" applyAlignment="1">
      <alignment vertical="center"/>
    </xf>
    <xf numFmtId="166" fontId="45" fillId="4" borderId="0" xfId="0" applyNumberFormat="1" applyFont="1" applyFill="1" applyAlignment="1">
      <alignment vertical="center"/>
    </xf>
    <xf numFmtId="166" fontId="39" fillId="0" borderId="4" xfId="0" applyNumberFormat="1" applyFont="1" applyBorder="1" applyAlignment="1">
      <alignment horizontal="right" vertical="center"/>
    </xf>
    <xf numFmtId="177" fontId="40" fillId="0" borderId="0" xfId="0" applyNumberFormat="1" applyFont="1" applyAlignment="1">
      <alignment vertical="center"/>
    </xf>
    <xf numFmtId="0" fontId="41" fillId="0" borderId="0" xfId="0" applyFont="1" applyAlignment="1">
      <alignment vertical="center"/>
    </xf>
    <xf numFmtId="181" fontId="41" fillId="4" borderId="0" xfId="0" applyNumberFormat="1" applyFont="1" applyFill="1" applyAlignment="1">
      <alignment horizontal="right" vertical="center"/>
    </xf>
    <xf numFmtId="167" fontId="54" fillId="4" borderId="0" xfId="0" applyNumberFormat="1" applyFont="1" applyFill="1" applyAlignment="1">
      <alignment horizontal="right" vertical="center"/>
    </xf>
    <xf numFmtId="177" fontId="38" fillId="4" borderId="0" xfId="0" applyNumberFormat="1" applyFont="1" applyFill="1" applyAlignment="1">
      <alignment vertical="center"/>
    </xf>
    <xf numFmtId="177" fontId="45" fillId="4" borderId="0" xfId="0" applyNumberFormat="1" applyFont="1" applyFill="1" applyAlignment="1">
      <alignment vertical="center"/>
    </xf>
    <xf numFmtId="181" fontId="41" fillId="0" borderId="0" xfId="0" applyNumberFormat="1" applyFont="1" applyAlignment="1">
      <alignment horizontal="right" vertical="center"/>
    </xf>
    <xf numFmtId="167" fontId="54" fillId="0" borderId="0" xfId="0" applyNumberFormat="1" applyFont="1" applyAlignment="1">
      <alignment horizontal="right" vertical="center"/>
    </xf>
    <xf numFmtId="181" fontId="42" fillId="0" borderId="0" xfId="0" applyNumberFormat="1" applyFont="1" applyAlignment="1">
      <alignment horizontal="right" vertical="center"/>
    </xf>
    <xf numFmtId="174" fontId="27" fillId="0" borderId="0" xfId="0" applyNumberFormat="1" applyFont="1" applyAlignment="1">
      <alignment horizontal="right" vertical="center"/>
    </xf>
    <xf numFmtId="0" fontId="30" fillId="0" borderId="0" xfId="0" applyFont="1"/>
    <xf numFmtId="0" fontId="33" fillId="0" borderId="0" xfId="0" applyFont="1" applyAlignment="1">
      <alignment horizontal="center" vertical="center"/>
    </xf>
    <xf numFmtId="0" fontId="33" fillId="0" borderId="3" xfId="0" applyFont="1" applyBorder="1" applyAlignment="1">
      <alignment horizontal="center" vertical="center"/>
    </xf>
    <xf numFmtId="172" fontId="33" fillId="0" borderId="3" xfId="0" applyNumberFormat="1" applyFont="1" applyBorder="1" applyAlignment="1">
      <alignment horizontal="center" vertical="center"/>
    </xf>
    <xf numFmtId="171" fontId="38" fillId="0" borderId="0" xfId="0" applyNumberFormat="1" applyFont="1" applyAlignment="1">
      <alignment horizontal="left" vertical="center"/>
    </xf>
    <xf numFmtId="177" fontId="38" fillId="0" borderId="0" xfId="0" applyNumberFormat="1" applyFont="1" applyAlignment="1">
      <alignment vertical="center"/>
    </xf>
    <xf numFmtId="182" fontId="45" fillId="4" borderId="0" xfId="0" applyNumberFormat="1" applyFont="1" applyFill="1" applyAlignment="1">
      <alignment horizontal="center" vertical="center"/>
    </xf>
    <xf numFmtId="166" fontId="38" fillId="0" borderId="0" xfId="0" applyNumberFormat="1" applyFont="1" applyAlignment="1">
      <alignment vertical="center"/>
    </xf>
    <xf numFmtId="170" fontId="41" fillId="0" borderId="0" xfId="0" applyNumberFormat="1" applyFont="1" applyAlignment="1">
      <alignment horizontal="right" vertical="center"/>
    </xf>
    <xf numFmtId="170" fontId="38" fillId="4" borderId="0" xfId="0" applyNumberFormat="1" applyFont="1" applyFill="1" applyAlignment="1">
      <alignment vertical="center"/>
    </xf>
    <xf numFmtId="179" fontId="38" fillId="0" borderId="0" xfId="0" applyNumberFormat="1" applyFont="1" applyAlignment="1">
      <alignment vertical="center"/>
    </xf>
    <xf numFmtId="166" fontId="45" fillId="0" borderId="0" xfId="0" applyNumberFormat="1" applyFont="1" applyAlignment="1">
      <alignment horizontal="center" vertical="center"/>
    </xf>
    <xf numFmtId="170" fontId="38" fillId="0" borderId="0" xfId="0" applyNumberFormat="1" applyFont="1" applyAlignment="1">
      <alignment vertical="center"/>
    </xf>
    <xf numFmtId="177" fontId="14" fillId="0" borderId="0" xfId="0" applyNumberFormat="1" applyFont="1" applyAlignment="1">
      <alignment vertical="center"/>
    </xf>
    <xf numFmtId="170" fontId="21" fillId="0" borderId="1" xfId="0" applyNumberFormat="1" applyFont="1" applyBorder="1" applyAlignment="1">
      <alignment vertical="center"/>
    </xf>
    <xf numFmtId="0" fontId="37" fillId="0" borderId="5" xfId="0" applyFont="1" applyBorder="1" applyAlignment="1">
      <alignment vertical="center"/>
    </xf>
  </cellXfs>
  <cellStyles count="3">
    <cellStyle name="Normal" xfId="0" builtinId="0"/>
    <cellStyle name="Normal 10 2" xfId="1" xr:uid="{72F8DEEC-2B71-4EE8-BD43-13F79DC7B708}"/>
    <cellStyle name="Normal 5 2" xfId="2" xr:uid="{0E6D6010-9EC5-49A6-AAD7-94F09F30B2AE}"/>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thenape.sharepoint.com/sites/AthenaDocuments/Shared%20Documents/_DOCS/_Teaching%20Content/Model%20Examples/Nine%20Step%20Model%20Valuation%20Build%20-%20VIDEO.xlsx" TargetMode="External"/><Relationship Id="rId1" Type="http://schemas.openxmlformats.org/officeDocument/2006/relationships/externalLinkPath" Target="/sites/AthenaDocuments/Shared%20Documents/_DOCS/_Teaching%20Content/Model%20Examples/Nine%20Step%20Model%20Valuation%20Build%20-%20VID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I - MODEL BUILD &gt;&gt;&gt;"/>
      <sheetName val="Financials from CIP"/>
      <sheetName val="Step 1"/>
      <sheetName val="Step 1 Answer Key"/>
      <sheetName val="Step 2"/>
      <sheetName val="Step 2 Answer Key"/>
      <sheetName val="Step 3"/>
      <sheetName val="Step 3 Answer Key"/>
      <sheetName val="Step 4"/>
      <sheetName val="Step 4 Answer Key"/>
      <sheetName val="Step 5"/>
      <sheetName val="Step 5 Answer Key"/>
      <sheetName val="Step 6"/>
      <sheetName val="Step 6 Answer Key"/>
      <sheetName val="Step 7"/>
      <sheetName val="Step 7 Answer Key"/>
      <sheetName val="Step 8"/>
      <sheetName val="Step 8 Answer Key"/>
      <sheetName val="Step 9"/>
      <sheetName val="Step 9 Answer Key"/>
      <sheetName val="PART II - VALUATION BUILD &gt;&gt;&gt;"/>
      <sheetName val="Step 1 - Replacement Valuation"/>
      <sheetName val="Step 1 - Replacement Answer Key"/>
      <sheetName val="Step 2 - Comps"/>
      <sheetName val="Step 2 - Comps Answer Key"/>
      <sheetName val="Step 3 - DCF"/>
      <sheetName val="Step 3 - DCF Answer Key"/>
      <sheetName val="Step 4 - LBO"/>
      <sheetName val="Step 4 - LBO Answer Key"/>
      <sheetName val="Step 5 - Football Field Ans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19BC-DD9B-4D57-9654-3FDAD3E08DF1}">
  <sheetPr>
    <tabColor theme="1"/>
  </sheetPr>
  <dimension ref="A1"/>
  <sheetViews>
    <sheetView topLeftCell="XFD1" zoomScaleNormal="100" workbookViewId="0">
      <selection activeCell="C2" sqref="C2"/>
    </sheetView>
  </sheetViews>
  <sheetFormatPr defaultColWidth="0" defaultRowHeight="12.75"/>
  <cols>
    <col min="1" max="16384" width="9.140625" hidden="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DE9A-0426-44D7-B00D-61E95F7DD0BB}">
  <sheetPr>
    <tabColor rgb="FF005A9F"/>
    <pageSetUpPr fitToPage="1"/>
  </sheetPr>
  <dimension ref="B1:O94"/>
  <sheetViews>
    <sheetView showGridLines="0" view="pageBreakPreview" zoomScaleNormal="85" zoomScaleSheetLayoutView="100" workbookViewId="0">
      <pane xSplit="3" ySplit="10" topLeftCell="D11" activePane="bottomRight" state="frozen"/>
      <selection activeCell="C2" sqref="C2"/>
      <selection pane="topRight" activeCell="C2" sqref="C2"/>
      <selection pane="bottomLeft" activeCell="C2" sqref="C2"/>
      <selection pane="bottomRight" activeCell="B3" sqref="B3"/>
    </sheetView>
  </sheetViews>
  <sheetFormatPr defaultRowHeight="16.5" outlineLevelRow="1"/>
  <cols>
    <col min="1" max="1" width="9.140625" style="2"/>
    <col min="2" max="2" width="47" style="2" customWidth="1"/>
    <col min="3" max="3" width="3" style="2" customWidth="1"/>
    <col min="4" max="4" width="14.5703125" style="2" bestFit="1" customWidth="1"/>
    <col min="5" max="5" width="12.85546875" style="2" bestFit="1" customWidth="1"/>
    <col min="6" max="6" width="3" style="2" customWidth="1"/>
    <col min="7" max="7" width="2.85546875" style="2" customWidth="1"/>
    <col min="8" max="8" width="9.140625" style="2"/>
    <col min="9" max="9" width="12.5703125" style="2" bestFit="1" customWidth="1"/>
    <col min="10" max="10" width="18.5703125" style="2" bestFit="1" customWidth="1"/>
    <col min="11" max="11" width="12.5703125" style="2" bestFit="1" customWidth="1"/>
    <col min="12" max="12" width="9.140625" style="2"/>
    <col min="13" max="13" width="12.5703125" style="2" bestFit="1" customWidth="1"/>
    <col min="14" max="16384" width="9.140625" style="2"/>
  </cols>
  <sheetData>
    <row r="1" spans="2:11">
      <c r="B1" s="1"/>
    </row>
    <row r="3" spans="2:11">
      <c r="B3" s="3" t="s">
        <v>0</v>
      </c>
      <c r="C3" s="3"/>
      <c r="D3" s="3"/>
      <c r="E3" s="3"/>
      <c r="F3" s="3"/>
    </row>
    <row r="4" spans="2:11">
      <c r="B4" s="3" t="s">
        <v>1</v>
      </c>
      <c r="C4" s="3"/>
      <c r="D4" s="3"/>
      <c r="E4" s="3"/>
      <c r="F4" s="3"/>
    </row>
    <row r="5" spans="2:11">
      <c r="B5" s="4" t="s">
        <v>2</v>
      </c>
      <c r="C5" s="4"/>
      <c r="D5" s="4"/>
      <c r="E5" s="4"/>
      <c r="F5" s="4"/>
    </row>
    <row r="7" spans="2:11">
      <c r="B7" s="5" t="s">
        <v>3</v>
      </c>
      <c r="C7" s="6"/>
      <c r="D7" s="6"/>
      <c r="E7" s="6"/>
      <c r="F7" s="6"/>
      <c r="H7" s="7"/>
      <c r="I7" s="7"/>
      <c r="J7" s="7"/>
      <c r="K7" s="7"/>
    </row>
    <row r="8" spans="2:11">
      <c r="H8" s="7"/>
      <c r="I8" s="7"/>
      <c r="J8" s="7"/>
      <c r="K8" s="7"/>
    </row>
    <row r="9" spans="2:11">
      <c r="D9" s="8" t="s">
        <v>4</v>
      </c>
      <c r="E9" s="8" t="s">
        <v>4</v>
      </c>
    </row>
    <row r="10" spans="2:11">
      <c r="D10" s="8">
        <v>2023</v>
      </c>
      <c r="E10" s="8">
        <v>2024</v>
      </c>
      <c r="F10" s="9"/>
    </row>
    <row r="11" spans="2:11">
      <c r="B11" s="10" t="s">
        <v>5</v>
      </c>
      <c r="D11" s="11">
        <v>67988.161999999997</v>
      </c>
      <c r="E11" s="11">
        <v>74320.331999999995</v>
      </c>
      <c r="I11" s="12"/>
      <c r="J11" s="12"/>
      <c r="K11" s="12"/>
    </row>
    <row r="12" spans="2:11">
      <c r="B12" s="10" t="s">
        <v>6</v>
      </c>
      <c r="D12" s="11">
        <v>10577.513999999999</v>
      </c>
      <c r="E12" s="11">
        <v>16293.675999999999</v>
      </c>
      <c r="I12" s="12"/>
      <c r="J12" s="12"/>
      <c r="K12" s="12"/>
    </row>
    <row r="13" spans="2:11">
      <c r="B13" s="13" t="s">
        <v>7</v>
      </c>
      <c r="C13" s="14"/>
      <c r="D13" s="15">
        <f>+SUM(D11:D12)</f>
        <v>78565.675999999992</v>
      </c>
      <c r="E13" s="15">
        <f>+SUM(E11:E12)</f>
        <v>90614.008000000002</v>
      </c>
    </row>
    <row r="15" spans="2:11">
      <c r="B15" s="10" t="s">
        <v>8</v>
      </c>
      <c r="D15" s="11">
        <v>41584.93</v>
      </c>
      <c r="E15" s="11">
        <v>49665.089</v>
      </c>
      <c r="I15" s="12"/>
      <c r="J15" s="12"/>
      <c r="K15" s="12"/>
    </row>
    <row r="16" spans="2:11">
      <c r="B16" s="10" t="s">
        <v>9</v>
      </c>
      <c r="D16" s="11">
        <v>8321.4680000000008</v>
      </c>
      <c r="E16" s="11">
        <v>9548.8639999999996</v>
      </c>
      <c r="I16" s="12"/>
      <c r="J16" s="12"/>
      <c r="K16" s="12"/>
    </row>
    <row r="17" spans="2:15">
      <c r="B17" s="10" t="s">
        <v>10</v>
      </c>
      <c r="D17" s="11">
        <v>1655.7909999999999</v>
      </c>
      <c r="E17" s="11">
        <v>2404.723</v>
      </c>
      <c r="I17" s="12"/>
      <c r="J17" s="12"/>
      <c r="K17" s="12"/>
    </row>
    <row r="18" spans="2:15" ht="5.0999999999999996" customHeight="1">
      <c r="B18" s="10"/>
      <c r="D18" s="11"/>
      <c r="E18" s="11"/>
    </row>
    <row r="19" spans="2:15">
      <c r="B19" s="13" t="s">
        <v>11</v>
      </c>
      <c r="C19" s="14"/>
      <c r="D19" s="15">
        <f>+D13-SUM(D15:D18)</f>
        <v>27003.486999999994</v>
      </c>
      <c r="E19" s="15">
        <f t="shared" ref="E19" si="0">+E13-SUM(E15:E18)</f>
        <v>28995.332000000002</v>
      </c>
    </row>
    <row r="20" spans="2:15" ht="5.0999999999999996" customHeight="1">
      <c r="B20" s="16"/>
      <c r="D20" s="17"/>
      <c r="E20" s="17"/>
    </row>
    <row r="21" spans="2:15" s="19" customFormat="1" ht="15">
      <c r="B21" s="18" t="s">
        <v>12</v>
      </c>
      <c r="D21" s="20">
        <f>+D19/D$13</f>
        <v>0.34370590790818112</v>
      </c>
      <c r="E21" s="20">
        <f>+E19/E$13</f>
        <v>0.31998730262543956</v>
      </c>
    </row>
    <row r="22" spans="2:15" ht="5.0999999999999996" customHeight="1"/>
    <row r="23" spans="2:15">
      <c r="B23" s="10" t="s">
        <v>13</v>
      </c>
      <c r="D23" s="11">
        <v>10567.612999999999</v>
      </c>
      <c r="E23" s="11">
        <v>11023.057000000001</v>
      </c>
      <c r="I23" s="12"/>
      <c r="J23" s="12"/>
      <c r="K23" s="12"/>
      <c r="M23" s="12"/>
      <c r="N23" s="12"/>
      <c r="O23" s="12"/>
    </row>
    <row r="24" spans="2:15">
      <c r="B24" s="10" t="s">
        <v>14</v>
      </c>
      <c r="D24" s="11">
        <v>3246.1469999999999</v>
      </c>
      <c r="E24" s="11">
        <v>4150.1989395000001</v>
      </c>
      <c r="I24" s="12"/>
      <c r="J24" s="12"/>
      <c r="K24" s="12"/>
    </row>
    <row r="25" spans="2:15">
      <c r="B25" s="10" t="s">
        <v>15</v>
      </c>
      <c r="D25" s="11">
        <v>1180.1621</v>
      </c>
      <c r="E25" s="11">
        <v>1161.7642799999999</v>
      </c>
      <c r="I25" s="12"/>
      <c r="J25" s="12"/>
      <c r="K25" s="12"/>
    </row>
    <row r="26" spans="2:15">
      <c r="B26" s="10" t="s">
        <v>16</v>
      </c>
      <c r="D26" s="11">
        <v>208.26400000000001</v>
      </c>
      <c r="E26" s="11">
        <v>237.952</v>
      </c>
      <c r="I26" s="12"/>
      <c r="J26" s="12"/>
      <c r="K26" s="12"/>
    </row>
    <row r="27" spans="2:15">
      <c r="B27" s="10" t="s">
        <v>17</v>
      </c>
      <c r="D27" s="11">
        <v>2224.9549999999999</v>
      </c>
      <c r="E27" s="11">
        <v>1472.7629999999999</v>
      </c>
      <c r="I27" s="12"/>
      <c r="J27" s="12"/>
      <c r="K27" s="12"/>
    </row>
    <row r="28" spans="2:15">
      <c r="B28" s="10" t="s">
        <v>18</v>
      </c>
      <c r="D28" s="11">
        <v>366.15499999999997</v>
      </c>
      <c r="E28" s="11">
        <v>263.43299999999999</v>
      </c>
      <c r="I28" s="12"/>
      <c r="J28" s="12"/>
      <c r="K28" s="12"/>
      <c r="M28" s="12"/>
      <c r="N28" s="12"/>
      <c r="O28" s="12"/>
    </row>
    <row r="29" spans="2:15">
      <c r="B29" s="10" t="s">
        <v>19</v>
      </c>
      <c r="D29" s="11">
        <v>3201.0390000000002</v>
      </c>
      <c r="E29" s="11">
        <v>2809.107</v>
      </c>
      <c r="I29" s="12"/>
      <c r="J29" s="12"/>
      <c r="K29" s="12"/>
    </row>
    <row r="30" spans="2:15">
      <c r="B30" s="13" t="s">
        <v>20</v>
      </c>
      <c r="C30" s="14"/>
      <c r="D30" s="15">
        <f>+SUM(D23:D29)</f>
        <v>20994.335099999997</v>
      </c>
      <c r="E30" s="15">
        <f>+SUM(E23:E29)</f>
        <v>21118.275219499999</v>
      </c>
    </row>
    <row r="32" spans="2:15">
      <c r="B32" s="10" t="s">
        <v>21</v>
      </c>
      <c r="D32" s="11">
        <v>147.37100000000001</v>
      </c>
      <c r="E32" s="11">
        <v>273.43900000000002</v>
      </c>
      <c r="I32" s="12"/>
      <c r="J32" s="12"/>
      <c r="K32" s="12"/>
    </row>
    <row r="33" spans="2:11" ht="5.0999999999999996" customHeight="1"/>
    <row r="34" spans="2:11">
      <c r="B34" s="13" t="s">
        <v>22</v>
      </c>
      <c r="C34" s="14"/>
      <c r="D34" s="15">
        <f>+D19-D30-D32</f>
        <v>5861.780899999997</v>
      </c>
      <c r="E34" s="15">
        <f>+E19-E30-E32</f>
        <v>7603.6177805000025</v>
      </c>
      <c r="I34" s="21"/>
      <c r="J34" s="21"/>
      <c r="K34" s="21"/>
    </row>
    <row r="36" spans="2:11">
      <c r="B36" s="22" t="s">
        <v>23</v>
      </c>
      <c r="D36" s="17">
        <f>+D34+D25+D27+D29+D26+D32</f>
        <v>12823.571999999996</v>
      </c>
      <c r="E36" s="17">
        <f t="shared" ref="E36" si="1">+E34+E25+E27+E29+E26+E32</f>
        <v>13558.643060500002</v>
      </c>
      <c r="I36" s="21"/>
      <c r="J36" s="21"/>
      <c r="K36" s="21"/>
    </row>
    <row r="37" spans="2:11" ht="5.0999999999999996" customHeight="1">
      <c r="B37" s="22"/>
      <c r="D37" s="17"/>
      <c r="E37" s="17"/>
    </row>
    <row r="38" spans="2:11" ht="5.0999999999999996" customHeight="1">
      <c r="B38" s="16"/>
      <c r="D38" s="17"/>
      <c r="E38" s="17"/>
    </row>
    <row r="39" spans="2:11" s="19" customFormat="1" ht="15">
      <c r="B39" s="18" t="s">
        <v>24</v>
      </c>
      <c r="D39" s="20">
        <f>D34/D$13</f>
        <v>7.4609946715153294E-2</v>
      </c>
      <c r="E39" s="20">
        <f t="shared" ref="E39" si="2">E34/E$13</f>
        <v>8.3912167095621715E-2</v>
      </c>
    </row>
    <row r="40" spans="2:11" s="19" customFormat="1" ht="15">
      <c r="B40" s="18" t="s">
        <v>25</v>
      </c>
      <c r="D40" s="20">
        <f>D36/D$13</f>
        <v>0.16322104833668075</v>
      </c>
      <c r="E40" s="20">
        <f t="shared" ref="E40" si="3">E36/E$13</f>
        <v>0.14963076195128686</v>
      </c>
    </row>
    <row r="42" spans="2:11">
      <c r="B42" s="5" t="s">
        <v>26</v>
      </c>
      <c r="C42" s="6"/>
      <c r="D42" s="6"/>
      <c r="E42" s="6"/>
      <c r="F42" s="6"/>
    </row>
    <row r="44" spans="2:11">
      <c r="D44" s="8" t="s">
        <v>27</v>
      </c>
      <c r="E44" s="8" t="s">
        <v>27</v>
      </c>
    </row>
    <row r="45" spans="2:11">
      <c r="D45" s="23">
        <f>+D10</f>
        <v>2023</v>
      </c>
      <c r="E45" s="23">
        <f>+D45+1</f>
        <v>2024</v>
      </c>
    </row>
    <row r="46" spans="2:11">
      <c r="B46" s="10" t="s">
        <v>28</v>
      </c>
      <c r="D46" s="11">
        <v>7105.652</v>
      </c>
      <c r="E46" s="11">
        <v>2957.9920000000002</v>
      </c>
      <c r="I46" s="11"/>
    </row>
    <row r="47" spans="2:11">
      <c r="B47" s="10" t="s">
        <v>29</v>
      </c>
      <c r="D47" s="11">
        <v>17300.432000000001</v>
      </c>
      <c r="E47" s="11">
        <v>22973.94</v>
      </c>
      <c r="I47" s="12"/>
      <c r="J47" s="12"/>
      <c r="K47" s="12"/>
    </row>
    <row r="48" spans="2:11">
      <c r="B48" s="24" t="s">
        <v>30</v>
      </c>
      <c r="D48" s="11">
        <v>-519.01300000000003</v>
      </c>
      <c r="E48" s="11">
        <v>-689.21799999999996</v>
      </c>
      <c r="I48" s="12"/>
      <c r="J48" s="12"/>
      <c r="K48" s="12"/>
    </row>
    <row r="49" spans="2:11">
      <c r="B49" s="10" t="s">
        <v>31</v>
      </c>
      <c r="D49" s="11">
        <v>804.90099999999995</v>
      </c>
      <c r="E49" s="11">
        <v>1161.057</v>
      </c>
      <c r="I49" s="12"/>
      <c r="J49" s="12"/>
      <c r="K49" s="12"/>
    </row>
    <row r="50" spans="2:11">
      <c r="B50" s="10" t="s">
        <v>32</v>
      </c>
      <c r="D50" s="11">
        <v>269.78399999999999</v>
      </c>
      <c r="E50" s="11">
        <v>344.91899999999998</v>
      </c>
      <c r="I50" s="12"/>
      <c r="J50" s="12"/>
      <c r="K50" s="12"/>
    </row>
    <row r="51" spans="2:11">
      <c r="B51" s="13" t="s">
        <v>33</v>
      </c>
      <c r="C51" s="14"/>
      <c r="D51" s="15">
        <f>+SUM(D46:D50)</f>
        <v>24961.756000000005</v>
      </c>
      <c r="E51" s="15">
        <f>+SUM(E46:E50)</f>
        <v>26748.690000000002</v>
      </c>
    </row>
    <row r="52" spans="2:11">
      <c r="B52" s="25"/>
    </row>
    <row r="53" spans="2:11">
      <c r="B53" s="10" t="s">
        <v>34</v>
      </c>
      <c r="D53" s="11">
        <v>54584.7</v>
      </c>
      <c r="E53" s="11">
        <v>55684.983999999997</v>
      </c>
      <c r="I53" s="12"/>
      <c r="J53" s="12"/>
      <c r="K53" s="12"/>
    </row>
    <row r="54" spans="2:11">
      <c r="B54" s="10" t="s">
        <v>35</v>
      </c>
      <c r="D54" s="11">
        <v>4378.482</v>
      </c>
      <c r="E54" s="11">
        <v>4504.37</v>
      </c>
      <c r="I54" s="12"/>
      <c r="J54" s="12"/>
      <c r="K54" s="12"/>
    </row>
    <row r="55" spans="2:11" ht="5.0999999999999996" customHeight="1">
      <c r="B55" s="25"/>
    </row>
    <row r="56" spans="2:11">
      <c r="B56" s="13" t="s">
        <v>36</v>
      </c>
      <c r="C56" s="14"/>
      <c r="D56" s="15">
        <f t="shared" ref="D56:E56" si="4">+SUM(D51:D55)</f>
        <v>83924.938000000009</v>
      </c>
      <c r="E56" s="15">
        <f t="shared" si="4"/>
        <v>86938.043999999994</v>
      </c>
    </row>
    <row r="57" spans="2:11">
      <c r="B57" s="25"/>
    </row>
    <row r="58" spans="2:11">
      <c r="B58" s="10" t="s">
        <v>37</v>
      </c>
      <c r="D58" s="11">
        <v>2805.817</v>
      </c>
      <c r="E58" s="11">
        <v>2360.71</v>
      </c>
      <c r="I58" s="12"/>
      <c r="J58" s="12"/>
      <c r="K58" s="12"/>
    </row>
    <row r="59" spans="2:11">
      <c r="B59" s="10" t="s">
        <v>38</v>
      </c>
      <c r="D59" s="11">
        <v>2383.933</v>
      </c>
      <c r="E59" s="11">
        <v>2788.038</v>
      </c>
      <c r="I59" s="12"/>
      <c r="J59" s="12"/>
      <c r="K59" s="12"/>
    </row>
    <row r="60" spans="2:11">
      <c r="B60" s="10" t="s">
        <v>39</v>
      </c>
      <c r="D60" s="11">
        <v>2057.9079999999999</v>
      </c>
      <c r="E60" s="11">
        <v>3202.0309999999999</v>
      </c>
      <c r="I60" s="12"/>
      <c r="J60" s="12"/>
      <c r="K60" s="12"/>
    </row>
    <row r="61" spans="2:11">
      <c r="B61" s="13" t="s">
        <v>40</v>
      </c>
      <c r="C61" s="14"/>
      <c r="D61" s="15">
        <f t="shared" ref="D61:E61" si="5">+SUM(D58:D60)</f>
        <v>7247.6579999999994</v>
      </c>
      <c r="E61" s="15">
        <f t="shared" si="5"/>
        <v>8350.7789999999986</v>
      </c>
    </row>
    <row r="62" spans="2:11">
      <c r="B62" s="25"/>
    </row>
    <row r="63" spans="2:11">
      <c r="B63" s="25" t="s">
        <v>41</v>
      </c>
      <c r="D63" s="11">
        <v>645.88300000000004</v>
      </c>
      <c r="E63" s="11">
        <v>1289.3</v>
      </c>
    </row>
    <row r="64" spans="2:11">
      <c r="B64" s="25" t="s">
        <v>42</v>
      </c>
      <c r="D64" s="11">
        <v>18943.222000000002</v>
      </c>
      <c r="E64" s="11">
        <v>12001.450999999999</v>
      </c>
    </row>
    <row r="65" spans="2:5">
      <c r="B65" s="25" t="s">
        <v>43</v>
      </c>
      <c r="D65" s="11">
        <v>545.33299999999997</v>
      </c>
      <c r="E65" s="11">
        <v>85.337999999999994</v>
      </c>
    </row>
    <row r="66" spans="2:5">
      <c r="B66" s="25" t="s">
        <v>44</v>
      </c>
      <c r="D66" s="11">
        <v>92.447999999999993</v>
      </c>
      <c r="E66" s="11">
        <v>12.667</v>
      </c>
    </row>
    <row r="67" spans="2:5">
      <c r="B67" s="25" t="s">
        <v>45</v>
      </c>
      <c r="D67" s="11">
        <v>417.87400000000002</v>
      </c>
      <c r="E67" s="11">
        <v>429.88799999999998</v>
      </c>
    </row>
    <row r="68" spans="2:5" ht="5.0999999999999996" customHeight="1">
      <c r="B68" s="25"/>
    </row>
    <row r="69" spans="2:5">
      <c r="B69" s="13" t="s">
        <v>46</v>
      </c>
      <c r="C69" s="14"/>
      <c r="D69" s="15">
        <f>+SUM(D61:D68)</f>
        <v>27892.417999999998</v>
      </c>
      <c r="E69" s="15">
        <f>+SUM(E61:E68)</f>
        <v>22169.422999999999</v>
      </c>
    </row>
    <row r="70" spans="2:5">
      <c r="B70" s="25"/>
    </row>
    <row r="71" spans="2:5">
      <c r="B71" s="10" t="s">
        <v>47</v>
      </c>
      <c r="D71" s="11">
        <v>7783.6338279007268</v>
      </c>
      <c r="E71" s="11">
        <v>8916.115715308184</v>
      </c>
    </row>
    <row r="72" spans="2:5">
      <c r="B72" s="10" t="s">
        <v>48</v>
      </c>
      <c r="D72" s="11">
        <v>48248.887000000002</v>
      </c>
      <c r="E72" s="11">
        <v>55852.504780500007</v>
      </c>
    </row>
    <row r="73" spans="2:5">
      <c r="B73" s="13" t="s">
        <v>49</v>
      </c>
      <c r="C73" s="14"/>
      <c r="D73" s="15">
        <f>+SUM(D71:D72)</f>
        <v>56032.520827900727</v>
      </c>
      <c r="E73" s="15">
        <f>+SUM(E71:E72)</f>
        <v>64768.620495808194</v>
      </c>
    </row>
    <row r="74" spans="2:5">
      <c r="B74" s="16"/>
      <c r="D74" s="11"/>
      <c r="E74" s="11"/>
    </row>
    <row r="75" spans="2:5" ht="5.0999999999999996" customHeight="1">
      <c r="B75" s="25"/>
    </row>
    <row r="76" spans="2:5">
      <c r="B76" s="13" t="s">
        <v>50</v>
      </c>
      <c r="C76" s="14"/>
      <c r="D76" s="15">
        <f>+D73+D69</f>
        <v>83924.938827900725</v>
      </c>
      <c r="E76" s="15">
        <f>+E73+E69</f>
        <v>86938.04349580819</v>
      </c>
    </row>
    <row r="77" spans="2:5">
      <c r="B77" s="16"/>
      <c r="D77" s="17"/>
      <c r="E77" s="17"/>
    </row>
    <row r="78" spans="2:5">
      <c r="B78" s="26" t="s">
        <v>51</v>
      </c>
      <c r="C78" s="26"/>
      <c r="D78" s="27">
        <f>D51-D61</f>
        <v>17714.098000000005</v>
      </c>
      <c r="E78" s="27">
        <f>E51-E61</f>
        <v>18397.911000000004</v>
      </c>
    </row>
    <row r="79" spans="2:5">
      <c r="B79" s="26" t="s">
        <v>52</v>
      </c>
      <c r="D79" s="27">
        <f>(D51-D46)-D61</f>
        <v>10608.446000000007</v>
      </c>
      <c r="E79" s="27">
        <f>(E51-E46)-E61</f>
        <v>15439.919000000005</v>
      </c>
    </row>
    <row r="80" spans="2:5">
      <c r="B80" s="25"/>
    </row>
    <row r="81" spans="2:5" hidden="1" outlineLevel="1">
      <c r="B81" s="28" t="s">
        <v>53</v>
      </c>
      <c r="C81" s="26"/>
      <c r="D81" s="27">
        <f>+D76-D56</f>
        <v>8.2790071610361338E-4</v>
      </c>
      <c r="E81" s="27">
        <f>+E76-E56</f>
        <v>-5.0419180479366332E-4</v>
      </c>
    </row>
    <row r="82" spans="2:5" hidden="1" outlineLevel="1">
      <c r="B82" s="25"/>
      <c r="E82" s="11"/>
    </row>
    <row r="83" spans="2:5" collapsed="1"/>
    <row r="85" spans="2:5">
      <c r="E85" s="11"/>
    </row>
    <row r="86" spans="2:5">
      <c r="D86" s="12"/>
      <c r="E86" s="12"/>
    </row>
    <row r="87" spans="2:5">
      <c r="E87" s="11"/>
    </row>
    <row r="88" spans="2:5">
      <c r="E88" s="11"/>
    </row>
    <row r="89" spans="2:5">
      <c r="E89" s="11"/>
    </row>
    <row r="90" spans="2:5">
      <c r="E90" s="12"/>
    </row>
    <row r="91" spans="2:5">
      <c r="E91" s="11"/>
    </row>
    <row r="92" spans="2:5">
      <c r="E92" s="11"/>
    </row>
    <row r="93" spans="2:5">
      <c r="E93" s="11"/>
    </row>
    <row r="94" spans="2:5">
      <c r="E94" s="11"/>
    </row>
  </sheetData>
  <conditionalFormatting sqref="B1">
    <cfRule type="cellIs" dxfId="2" priority="1" operator="equal">
      <formula>0</formula>
    </cfRule>
    <cfRule type="cellIs" dxfId="1" priority="2" operator="lessThan">
      <formula>0</formula>
    </cfRule>
    <cfRule type="cellIs" dxfId="0" priority="3" operator="greaterThan">
      <formula>0</formula>
    </cfRule>
  </conditionalFormatting>
  <pageMargins left="0.7" right="0.7" top="0.75" bottom="0.75" header="0.3" footer="0.3"/>
  <pageSetup scale="59" orientation="portrait" r:id="rId1"/>
  <ignoredErrors>
    <ignoredError sqref="D13:E1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E2E-DF97-40B3-BA9A-098A9D128BEC}">
  <sheetPr>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55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t="s">
        <v>62</v>
      </c>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62"/>
      <c r="G13" s="62"/>
      <c r="H13" s="60"/>
      <c r="I13" s="60"/>
      <c r="J13" s="60"/>
      <c r="K13" s="60"/>
      <c r="L13" s="60"/>
      <c r="M13" s="60"/>
    </row>
    <row r="14" spans="2:13" ht="13.5" customHeight="1" outlineLevel="1">
      <c r="C14" s="63" t="s">
        <v>66</v>
      </c>
      <c r="D14" s="63"/>
      <c r="E14" s="63"/>
      <c r="F14" s="64"/>
      <c r="G14" s="64"/>
      <c r="H14" s="60"/>
      <c r="I14" s="60"/>
      <c r="J14" s="60"/>
      <c r="K14" s="60"/>
      <c r="L14" s="60"/>
      <c r="M14" s="60"/>
    </row>
    <row r="15" spans="2:13" ht="13.5" customHeight="1" outlineLevel="1">
      <c r="C15" s="65" t="s">
        <v>67</v>
      </c>
      <c r="D15" s="65"/>
      <c r="E15" s="65"/>
      <c r="F15" s="66">
        <f t="shared" ref="F15:G15" si="1">F13-F14</f>
        <v>0</v>
      </c>
      <c r="G15" s="66">
        <f t="shared" si="1"/>
        <v>0</v>
      </c>
      <c r="H15" s="60"/>
      <c r="I15" s="60"/>
      <c r="J15" s="60"/>
      <c r="K15" s="60"/>
      <c r="L15" s="60"/>
      <c r="M15" s="60"/>
    </row>
    <row r="16" spans="2:13" ht="13.5" customHeight="1" outlineLevel="1">
      <c r="C16" s="67" t="s">
        <v>68</v>
      </c>
      <c r="D16" s="68"/>
      <c r="E16" s="68"/>
      <c r="F16" s="69" t="str">
        <f>IFERROR(F15/F$13,"N/M")</f>
        <v>N/M</v>
      </c>
      <c r="G16" s="69" t="str">
        <f>IFERROR(G15/G$13,"N/M")</f>
        <v>N/M</v>
      </c>
      <c r="H16" s="60"/>
      <c r="I16" s="60"/>
      <c r="J16" s="60"/>
      <c r="K16" s="60"/>
      <c r="L16" s="60"/>
      <c r="M16" s="60"/>
    </row>
    <row r="17" spans="3:13" ht="13.5" customHeight="1" outlineLevel="1">
      <c r="C17" s="63" t="s">
        <v>69</v>
      </c>
      <c r="D17" s="63"/>
      <c r="E17" s="63"/>
      <c r="F17" s="64"/>
      <c r="G17" s="64"/>
      <c r="H17" s="60"/>
      <c r="I17" s="60"/>
      <c r="J17" s="60"/>
      <c r="K17" s="60"/>
      <c r="L17" s="60"/>
      <c r="M17" s="60"/>
    </row>
    <row r="18" spans="3:13" ht="13.5" customHeight="1" outlineLevel="1">
      <c r="C18" s="70" t="s">
        <v>70</v>
      </c>
      <c r="D18" s="70"/>
      <c r="E18" s="70"/>
      <c r="F18" s="71">
        <f t="shared" ref="F18:G18" si="2">F15-F17</f>
        <v>0</v>
      </c>
      <c r="G18" s="71">
        <f t="shared" si="2"/>
        <v>0</v>
      </c>
      <c r="H18" s="60"/>
      <c r="I18" s="60"/>
      <c r="J18" s="60"/>
      <c r="K18" s="60"/>
      <c r="L18" s="60"/>
      <c r="M18" s="60"/>
    </row>
    <row r="19" spans="3:13" ht="13.5" customHeight="1" outlineLevel="1">
      <c r="C19" s="67" t="s">
        <v>71</v>
      </c>
      <c r="D19" s="39"/>
      <c r="E19" s="39"/>
      <c r="F19" s="69" t="str">
        <f>IFERROR(F18/F$13,"N/M")</f>
        <v>N/M</v>
      </c>
      <c r="G19" s="69" t="str">
        <f>IFERROR(G18/G$13,"N/M")</f>
        <v>N/M</v>
      </c>
      <c r="H19" s="60"/>
      <c r="I19" s="60"/>
      <c r="J19" s="60"/>
      <c r="K19" s="60"/>
      <c r="L19" s="60"/>
      <c r="M19" s="60"/>
    </row>
    <row r="20" spans="3:13" ht="13.5" customHeight="1" outlineLevel="1">
      <c r="C20" s="63" t="s">
        <v>15</v>
      </c>
      <c r="D20" s="63"/>
      <c r="E20" s="63"/>
      <c r="F20" s="64"/>
      <c r="G20" s="64"/>
      <c r="H20" s="60"/>
      <c r="I20" s="60"/>
      <c r="J20" s="60"/>
      <c r="K20" s="60"/>
      <c r="L20" s="60"/>
      <c r="M20" s="60"/>
    </row>
    <row r="21" spans="3:13" ht="13.5" customHeight="1" outlineLevel="1">
      <c r="C21" s="63" t="s">
        <v>16</v>
      </c>
      <c r="D21" s="63"/>
      <c r="E21" s="63"/>
      <c r="F21" s="64"/>
      <c r="G21" s="64"/>
      <c r="H21" s="60"/>
      <c r="I21" s="60"/>
      <c r="J21" s="60"/>
      <c r="K21" s="60"/>
      <c r="L21" s="60"/>
      <c r="M21" s="60"/>
    </row>
    <row r="22" spans="3:13" ht="13.5" customHeight="1" outlineLevel="1">
      <c r="C22" s="70" t="s">
        <v>72</v>
      </c>
      <c r="D22" s="70"/>
      <c r="E22" s="70"/>
      <c r="F22" s="71">
        <f>F18-SUM(F20:F21)</f>
        <v>0</v>
      </c>
      <c r="G22" s="71">
        <f>G18-SUM(G20:G21)</f>
        <v>0</v>
      </c>
      <c r="H22" s="60"/>
      <c r="I22" s="60"/>
      <c r="J22" s="60"/>
      <c r="K22" s="60"/>
      <c r="L22" s="60"/>
      <c r="M22" s="60"/>
    </row>
    <row r="23" spans="3:13" ht="13.5" customHeight="1" outlineLevel="1">
      <c r="C23" s="72" t="s">
        <v>73</v>
      </c>
      <c r="D23" s="39"/>
      <c r="E23" s="39"/>
      <c r="F23" s="45"/>
      <c r="G23" s="73"/>
      <c r="H23" s="60"/>
      <c r="I23" s="60"/>
      <c r="J23" s="60"/>
      <c r="K23" s="60"/>
      <c r="L23" s="60"/>
      <c r="M23" s="60"/>
    </row>
    <row r="24" spans="3:13" ht="13.5" customHeight="1" outlineLevel="1">
      <c r="C24" s="74" t="s">
        <v>74</v>
      </c>
      <c r="D24" s="39"/>
      <c r="E24" s="39"/>
      <c r="F24" s="45"/>
      <c r="G24" s="75"/>
      <c r="H24" s="60"/>
      <c r="I24" s="60"/>
      <c r="J24" s="60"/>
      <c r="K24" s="60"/>
      <c r="L24" s="60"/>
      <c r="M24" s="60"/>
    </row>
    <row r="25" spans="3:13" ht="13.5" customHeight="1" outlineLevel="1">
      <c r="C25" s="74" t="s">
        <v>75</v>
      </c>
      <c r="D25" s="39"/>
      <c r="E25" s="39"/>
      <c r="F25" s="45"/>
      <c r="G25" s="75"/>
      <c r="H25" s="60"/>
      <c r="I25" s="60"/>
      <c r="J25" s="60"/>
      <c r="K25" s="60"/>
      <c r="L25" s="60"/>
      <c r="M25" s="60"/>
    </row>
    <row r="26" spans="3:13" ht="13.5" customHeight="1" outlineLevel="1">
      <c r="C26" s="74" t="str">
        <f>+C66</f>
        <v>Term Loan A</v>
      </c>
      <c r="D26" s="39"/>
      <c r="E26" s="39"/>
      <c r="F26" s="45"/>
      <c r="G26" s="75"/>
      <c r="H26" s="60"/>
      <c r="I26" s="60"/>
      <c r="J26" s="60"/>
      <c r="K26" s="60"/>
      <c r="L26" s="60"/>
      <c r="M26" s="60"/>
    </row>
    <row r="27" spans="3:13" ht="13.5" customHeight="1" outlineLevel="1">
      <c r="C27" s="74" t="str">
        <f>+C67</f>
        <v>Subordinated - Note 1</v>
      </c>
      <c r="D27" s="39"/>
      <c r="E27" s="39"/>
      <c r="F27" s="45"/>
      <c r="G27" s="75"/>
      <c r="H27" s="60"/>
      <c r="I27" s="60"/>
      <c r="J27" s="60"/>
      <c r="K27" s="60"/>
      <c r="L27" s="60"/>
      <c r="M27" s="60"/>
    </row>
    <row r="28" spans="3:13" ht="13.5" customHeight="1" outlineLevel="1">
      <c r="C28" s="74" t="str">
        <f>+C68</f>
        <v>Subordinated - Note 2</v>
      </c>
      <c r="D28" s="39"/>
      <c r="E28" s="39"/>
      <c r="F28" s="45"/>
      <c r="G28" s="75"/>
      <c r="H28" s="60"/>
      <c r="I28" s="60"/>
      <c r="J28" s="60"/>
      <c r="K28" s="60"/>
      <c r="L28" s="60"/>
      <c r="M28" s="60"/>
    </row>
    <row r="29" spans="3:13" ht="13.5" customHeight="1" outlineLevel="1">
      <c r="C29" s="76" t="s">
        <v>73</v>
      </c>
      <c r="D29" s="77"/>
      <c r="E29" s="77"/>
      <c r="F29" s="78"/>
      <c r="G29" s="78"/>
      <c r="H29" s="60"/>
      <c r="I29" s="60"/>
      <c r="J29" s="60"/>
      <c r="K29" s="60"/>
      <c r="L29" s="60"/>
      <c r="M29" s="60"/>
    </row>
    <row r="30" spans="3:13" ht="13.5" customHeight="1" outlineLevel="1">
      <c r="C30" s="63" t="s">
        <v>76</v>
      </c>
      <c r="D30" s="63"/>
      <c r="E30" s="63"/>
      <c r="F30" s="64"/>
      <c r="G30" s="64"/>
      <c r="H30" s="60"/>
      <c r="I30" s="60"/>
      <c r="J30" s="60"/>
      <c r="K30" s="60"/>
      <c r="L30" s="60"/>
      <c r="M30" s="60"/>
    </row>
    <row r="31" spans="3:13" ht="13.5" customHeight="1" outlineLevel="1">
      <c r="C31" s="65" t="s">
        <v>77</v>
      </c>
      <c r="D31" s="65"/>
      <c r="E31" s="65"/>
      <c r="F31" s="66">
        <f>F22-F29-F30</f>
        <v>0</v>
      </c>
      <c r="G31" s="66">
        <f>G22-G29-G30</f>
        <v>0</v>
      </c>
      <c r="H31" s="60"/>
      <c r="I31" s="60"/>
      <c r="J31" s="60"/>
      <c r="K31" s="60"/>
      <c r="L31" s="60"/>
      <c r="M31" s="60"/>
    </row>
    <row r="32" spans="3:13" ht="13.5" customHeight="1" outlineLevel="1">
      <c r="C32" s="63" t="s">
        <v>78</v>
      </c>
      <c r="D32" s="63"/>
      <c r="E32" s="63"/>
      <c r="F32" s="64"/>
      <c r="G32" s="64"/>
      <c r="H32" s="60"/>
      <c r="I32" s="60"/>
      <c r="J32" s="60"/>
      <c r="K32" s="60"/>
      <c r="L32" s="60"/>
      <c r="M32" s="60"/>
    </row>
    <row r="33" spans="1:13" ht="13.5" customHeight="1" outlineLevel="1">
      <c r="C33" s="79" t="s">
        <v>22</v>
      </c>
      <c r="D33" s="79"/>
      <c r="E33" s="79"/>
      <c r="F33" s="71">
        <f>F31-F32</f>
        <v>0</v>
      </c>
      <c r="G33" s="71">
        <f>G31-G32</f>
        <v>0</v>
      </c>
      <c r="H33" s="60"/>
      <c r="I33" s="60"/>
      <c r="J33" s="60"/>
      <c r="K33" s="60"/>
      <c r="L33" s="60"/>
      <c r="M33" s="60"/>
    </row>
    <row r="34" spans="1:13" ht="13.5" customHeight="1" outlineLevel="1">
      <c r="C34" s="67" t="s">
        <v>79</v>
      </c>
      <c r="D34" s="39"/>
      <c r="E34" s="39"/>
      <c r="F34" s="69" t="str">
        <f>IFERROR(F33/F$13,"N/M")</f>
        <v>N/M</v>
      </c>
      <c r="G34" s="69" t="str">
        <f>IFERROR(G33/G$13,"N/M")</f>
        <v>N/M</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82"/>
      <c r="C47" s="88" t="s">
        <v>82</v>
      </c>
      <c r="F47" s="89"/>
      <c r="G47" s="89"/>
      <c r="H47" s="90"/>
      <c r="I47" s="90"/>
      <c r="J47" s="90"/>
      <c r="K47" s="90"/>
      <c r="L47" s="90"/>
    </row>
    <row r="48" spans="1:13" ht="13.5" customHeight="1" outlineLevel="1">
      <c r="A48" s="82"/>
      <c r="C48" s="91" t="s">
        <v>83</v>
      </c>
      <c r="F48" s="92"/>
      <c r="G48" s="92"/>
      <c r="H48" s="90"/>
      <c r="I48" s="90"/>
      <c r="J48" s="90"/>
      <c r="K48" s="90"/>
      <c r="L48" s="90"/>
    </row>
    <row r="49" spans="1:12" ht="13.5" customHeight="1" outlineLevel="1">
      <c r="A49" s="82"/>
      <c r="C49" s="91" t="s">
        <v>31</v>
      </c>
      <c r="F49" s="92"/>
      <c r="G49" s="92"/>
      <c r="H49" s="90"/>
      <c r="I49" s="90"/>
      <c r="J49" s="90"/>
      <c r="K49" s="90"/>
      <c r="L49" s="90"/>
    </row>
    <row r="50" spans="1:12" ht="13.5" customHeight="1" outlineLevel="1">
      <c r="A50" s="82"/>
      <c r="C50" s="91" t="s">
        <v>84</v>
      </c>
      <c r="F50" s="92"/>
      <c r="G50" s="92"/>
      <c r="H50" s="90"/>
      <c r="I50" s="90"/>
      <c r="J50" s="90"/>
      <c r="K50" s="90"/>
      <c r="L50" s="90"/>
    </row>
    <row r="51" spans="1:12" ht="13.5" customHeight="1" outlineLevel="1">
      <c r="A51" s="82"/>
      <c r="C51" s="76" t="s">
        <v>33</v>
      </c>
      <c r="D51" s="77"/>
      <c r="E51" s="77"/>
      <c r="F51" s="93">
        <f>SUM(F47:F50)</f>
        <v>0</v>
      </c>
      <c r="G51" s="93">
        <f>SUM(G47:G50)</f>
        <v>0</v>
      </c>
      <c r="H51" s="94"/>
      <c r="I51" s="94"/>
      <c r="J51" s="94"/>
      <c r="K51" s="94"/>
      <c r="L51" s="94"/>
    </row>
    <row r="52" spans="1:12" ht="13.5" customHeight="1" outlineLevel="1">
      <c r="A52" s="82"/>
      <c r="C52" s="91" t="s">
        <v>85</v>
      </c>
      <c r="D52" s="95"/>
      <c r="E52" s="95"/>
      <c r="F52" s="96"/>
      <c r="G52" s="96"/>
      <c r="H52" s="97"/>
      <c r="I52" s="97"/>
      <c r="J52" s="97"/>
      <c r="K52" s="97"/>
      <c r="L52" s="97"/>
    </row>
    <row r="53" spans="1:12" ht="13.5" customHeight="1" outlineLevel="1">
      <c r="A53" s="82"/>
      <c r="C53" s="91" t="s">
        <v>86</v>
      </c>
      <c r="D53" s="95"/>
      <c r="E53" s="95"/>
      <c r="F53" s="96"/>
      <c r="G53" s="96"/>
      <c r="H53" s="94"/>
      <c r="I53" s="94"/>
      <c r="J53" s="94"/>
      <c r="K53" s="94"/>
      <c r="L53" s="94"/>
    </row>
    <row r="54" spans="1:12" ht="13.5" customHeight="1" outlineLevel="1">
      <c r="A54" s="82"/>
      <c r="C54" s="76" t="s">
        <v>34</v>
      </c>
      <c r="D54" s="77"/>
      <c r="E54" s="77"/>
      <c r="F54" s="78"/>
      <c r="G54" s="78"/>
      <c r="H54" s="94"/>
      <c r="I54" s="94"/>
      <c r="J54" s="94"/>
      <c r="K54" s="94"/>
      <c r="L54" s="94"/>
    </row>
    <row r="55" spans="1:12" ht="13.5" customHeight="1" outlineLevel="1">
      <c r="A55" s="82"/>
      <c r="C55" s="98" t="s">
        <v>87</v>
      </c>
      <c r="D55" s="95"/>
      <c r="E55" s="95"/>
      <c r="F55" s="99">
        <v>0</v>
      </c>
      <c r="G55" s="99">
        <v>0</v>
      </c>
      <c r="H55" s="94"/>
      <c r="I55" s="94"/>
      <c r="J55" s="94"/>
      <c r="K55" s="94"/>
      <c r="L55" s="94"/>
    </row>
    <row r="56" spans="1:12" ht="13.5" customHeight="1" outlineLevel="1">
      <c r="A56" s="82"/>
      <c r="C56" s="98" t="s">
        <v>88</v>
      </c>
      <c r="D56" s="95"/>
      <c r="E56" s="95"/>
      <c r="F56" s="92"/>
      <c r="G56" s="92"/>
      <c r="H56" s="94"/>
      <c r="I56" s="94"/>
      <c r="J56" s="94"/>
      <c r="K56" s="94"/>
      <c r="L56" s="94"/>
    </row>
    <row r="57" spans="1:12" ht="13.5" customHeight="1" outlineLevel="1">
      <c r="A57" s="82"/>
      <c r="C57" s="100" t="s">
        <v>36</v>
      </c>
      <c r="D57" s="101"/>
      <c r="E57" s="101"/>
      <c r="F57" s="102">
        <f>SUM(F51,F54:F56)</f>
        <v>0</v>
      </c>
      <c r="G57" s="102">
        <f>SUM(G51,G54:G56)</f>
        <v>0</v>
      </c>
      <c r="H57" s="103"/>
      <c r="I57" s="103"/>
      <c r="J57" s="103"/>
      <c r="K57" s="103"/>
      <c r="L57" s="103"/>
    </row>
    <row r="58" spans="1:12" ht="13.5" customHeight="1" outlineLevel="1">
      <c r="A58" s="82"/>
      <c r="H58" s="104"/>
      <c r="I58" s="104"/>
      <c r="J58" s="104"/>
      <c r="K58" s="104"/>
      <c r="L58" s="104"/>
    </row>
    <row r="59" spans="1:12" ht="13.5" customHeight="1" outlineLevel="1">
      <c r="A59" s="82"/>
      <c r="C59" s="84" t="s">
        <v>89</v>
      </c>
      <c r="D59" s="85"/>
      <c r="E59" s="86"/>
      <c r="F59" s="86"/>
      <c r="G59" s="86"/>
      <c r="H59" s="86"/>
      <c r="I59" s="86"/>
      <c r="J59" s="86"/>
      <c r="K59" s="86"/>
      <c r="L59" s="87"/>
    </row>
    <row r="60" spans="1:12" ht="13.5" customHeight="1" outlineLevel="1">
      <c r="A60" s="82"/>
      <c r="C60" s="59"/>
      <c r="D60" s="59"/>
      <c r="E60" s="59"/>
      <c r="F60" s="60"/>
      <c r="G60" s="60"/>
      <c r="H60" s="60"/>
      <c r="I60" s="60"/>
      <c r="J60" s="60"/>
      <c r="K60" s="60"/>
    </row>
    <row r="61" spans="1:12" ht="13.5" customHeight="1" outlineLevel="1">
      <c r="A61" s="82"/>
      <c r="C61" s="91" t="s">
        <v>37</v>
      </c>
      <c r="D61" s="95"/>
      <c r="E61" s="95"/>
      <c r="F61" s="92"/>
      <c r="G61" s="92"/>
      <c r="H61" s="90"/>
      <c r="I61" s="90"/>
      <c r="J61" s="90"/>
      <c r="K61" s="90"/>
      <c r="L61" s="90"/>
    </row>
    <row r="62" spans="1:12" ht="13.5" customHeight="1" outlineLevel="1">
      <c r="A62" s="82"/>
      <c r="C62" s="91" t="s">
        <v>38</v>
      </c>
      <c r="D62" s="95"/>
      <c r="E62" s="95"/>
      <c r="F62" s="92"/>
      <c r="G62" s="92"/>
      <c r="H62" s="90"/>
      <c r="I62" s="90"/>
      <c r="J62" s="90"/>
      <c r="K62" s="90"/>
      <c r="L62" s="90"/>
    </row>
    <row r="63" spans="1:12" ht="13.5" customHeight="1" outlineLevel="1">
      <c r="A63" s="82"/>
      <c r="C63" s="91" t="s">
        <v>39</v>
      </c>
      <c r="D63" s="95"/>
      <c r="E63" s="95"/>
      <c r="F63" s="92"/>
      <c r="G63" s="92"/>
      <c r="H63" s="90"/>
      <c r="I63" s="90"/>
      <c r="J63" s="90"/>
      <c r="K63" s="90"/>
      <c r="L63" s="90"/>
    </row>
    <row r="64" spans="1:12" ht="13.5" customHeight="1" outlineLevel="1">
      <c r="A64" s="82"/>
      <c r="C64" s="76" t="s">
        <v>40</v>
      </c>
      <c r="D64" s="77"/>
      <c r="E64" s="77"/>
      <c r="F64" s="93">
        <f>SUM(F61:F63)</f>
        <v>0</v>
      </c>
      <c r="G64" s="93">
        <f>SUM(G61:G63)</f>
        <v>0</v>
      </c>
      <c r="H64" s="94"/>
      <c r="I64" s="94"/>
      <c r="J64" s="94"/>
      <c r="K64" s="94"/>
      <c r="L64" s="94"/>
    </row>
    <row r="65" spans="1:19" ht="13.5" customHeight="1" outlineLevel="1">
      <c r="A65" s="82"/>
      <c r="C65" s="91" t="s">
        <v>41</v>
      </c>
      <c r="D65" s="95"/>
      <c r="E65" s="95"/>
      <c r="F65" s="92"/>
      <c r="G65" s="92"/>
      <c r="H65" s="97"/>
      <c r="I65" s="97"/>
      <c r="J65" s="97"/>
      <c r="K65" s="97"/>
      <c r="L65" s="97"/>
    </row>
    <row r="66" spans="1:19" ht="13.5" customHeight="1" outlineLevel="1">
      <c r="A66" s="82"/>
      <c r="C66" s="91" t="s">
        <v>42</v>
      </c>
      <c r="D66" s="95"/>
      <c r="E66" s="95"/>
      <c r="F66" s="92"/>
      <c r="G66" s="92"/>
      <c r="H66" s="94"/>
      <c r="I66" s="94"/>
      <c r="J66" s="94"/>
      <c r="K66" s="94"/>
      <c r="L66" s="94"/>
    </row>
    <row r="67" spans="1:19" ht="13.5" customHeight="1" outlineLevel="1">
      <c r="A67" s="82"/>
      <c r="C67" s="91" t="s">
        <v>90</v>
      </c>
      <c r="D67" s="95"/>
      <c r="E67" s="95"/>
      <c r="F67" s="92"/>
      <c r="G67" s="92"/>
      <c r="H67" s="97"/>
      <c r="I67" s="97"/>
      <c r="J67" s="97"/>
      <c r="K67" s="97"/>
      <c r="L67" s="97"/>
    </row>
    <row r="68" spans="1:19" ht="13.5" customHeight="1" outlineLevel="1">
      <c r="A68" s="82"/>
      <c r="C68" s="91" t="s">
        <v>91</v>
      </c>
      <c r="D68" s="95"/>
      <c r="E68" s="95"/>
      <c r="F68" s="92"/>
      <c r="G68" s="92"/>
      <c r="H68" s="97"/>
      <c r="I68" s="97"/>
      <c r="J68" s="97"/>
      <c r="K68" s="97"/>
      <c r="L68" s="97"/>
    </row>
    <row r="69" spans="1:19" ht="13.5" customHeight="1" outlineLevel="1">
      <c r="A69" s="82"/>
      <c r="C69" s="76" t="s">
        <v>92</v>
      </c>
      <c r="D69" s="77"/>
      <c r="E69" s="77"/>
      <c r="F69" s="93">
        <f>SUM(F65:F68)</f>
        <v>0</v>
      </c>
      <c r="G69" s="93">
        <f>SUM(G65:G68)</f>
        <v>0</v>
      </c>
      <c r="H69" s="94"/>
      <c r="I69" s="94"/>
      <c r="J69" s="94"/>
      <c r="K69" s="94"/>
      <c r="L69" s="94"/>
    </row>
    <row r="70" spans="1:19" ht="13.5" customHeight="1" outlineLevel="1">
      <c r="A70" s="82"/>
      <c r="C70" s="68" t="s">
        <v>93</v>
      </c>
      <c r="F70" s="92"/>
      <c r="G70" s="92"/>
      <c r="H70" s="97"/>
      <c r="I70" s="97"/>
      <c r="J70" s="97"/>
      <c r="K70" s="97"/>
      <c r="L70" s="97"/>
      <c r="M70" s="82"/>
    </row>
    <row r="71" spans="1:19" ht="13.5" customHeight="1" outlineLevel="1">
      <c r="A71" s="82"/>
      <c r="C71" s="76" t="s">
        <v>94</v>
      </c>
      <c r="D71" s="77"/>
      <c r="E71" s="77"/>
      <c r="F71" s="93">
        <f>SUM(F64,F69:F70)</f>
        <v>0</v>
      </c>
      <c r="G71" s="93">
        <f>SUM(G64,G69:G70)</f>
        <v>0</v>
      </c>
      <c r="H71" s="94"/>
      <c r="I71" s="94"/>
      <c r="J71" s="94"/>
      <c r="K71" s="94"/>
      <c r="L71" s="94"/>
      <c r="M71" s="82"/>
    </row>
    <row r="72" spans="1:19" ht="13.5" customHeight="1" outlineLevel="1">
      <c r="A72" s="82"/>
      <c r="C72" s="98" t="s">
        <v>47</v>
      </c>
      <c r="F72" s="92"/>
      <c r="G72" s="92"/>
      <c r="H72" s="97"/>
      <c r="I72" s="97"/>
      <c r="J72" s="97"/>
      <c r="K72" s="97"/>
      <c r="L72" s="97"/>
      <c r="M72" s="82"/>
    </row>
    <row r="73" spans="1:19" ht="13.5" customHeight="1" outlineLevel="1">
      <c r="A73" s="82"/>
      <c r="C73" s="98" t="s">
        <v>48</v>
      </c>
      <c r="F73" s="92"/>
      <c r="G73" s="92"/>
      <c r="H73" s="97"/>
      <c r="I73" s="97"/>
      <c r="J73" s="97"/>
      <c r="K73" s="97"/>
      <c r="L73" s="97"/>
      <c r="M73" s="82"/>
    </row>
    <row r="74" spans="1:19" ht="13.5" customHeight="1" outlineLevel="1">
      <c r="A74" s="82"/>
      <c r="C74" s="100" t="s">
        <v>95</v>
      </c>
      <c r="D74" s="101"/>
      <c r="E74" s="101"/>
      <c r="F74" s="105">
        <f>SUM(F71:F73)</f>
        <v>0</v>
      </c>
      <c r="G74" s="105">
        <f>SUM(G71:G73)</f>
        <v>0</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3.5" customHeight="1"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c r="G81" s="122"/>
      <c r="H81" s="82"/>
      <c r="I81" s="82"/>
      <c r="J81" s="82"/>
      <c r="K81" s="82"/>
      <c r="L81" s="82"/>
      <c r="M81" s="82"/>
      <c r="N81" s="82"/>
      <c r="O81" s="82"/>
      <c r="P81" s="82"/>
      <c r="Q81" s="82"/>
      <c r="R81" s="82"/>
      <c r="S81" s="82"/>
    </row>
    <row r="82" spans="1:19" ht="15" outlineLevel="1">
      <c r="A82" s="82"/>
      <c r="B82" s="82"/>
      <c r="C82" s="121" t="s">
        <v>67</v>
      </c>
      <c r="D82" s="82"/>
      <c r="E82" s="82"/>
      <c r="F82" s="122"/>
      <c r="G82" s="122"/>
      <c r="H82" s="82"/>
      <c r="I82" s="82"/>
      <c r="J82" s="82"/>
      <c r="K82" s="82"/>
      <c r="L82" s="82"/>
      <c r="M82" s="82"/>
      <c r="N82" s="82"/>
      <c r="O82" s="82"/>
      <c r="P82" s="82"/>
      <c r="Q82" s="82"/>
      <c r="R82" s="82"/>
      <c r="S82" s="82"/>
    </row>
    <row r="83" spans="1:19" ht="15" outlineLevel="1">
      <c r="A83" s="82"/>
      <c r="B83" s="82"/>
      <c r="C83" s="121" t="s">
        <v>70</v>
      </c>
      <c r="D83" s="82"/>
      <c r="E83" s="82"/>
      <c r="F83" s="122"/>
      <c r="G83" s="122"/>
      <c r="H83" s="82"/>
      <c r="I83" s="82"/>
      <c r="J83" s="82"/>
      <c r="K83" s="82"/>
      <c r="L83" s="82"/>
      <c r="M83" s="82"/>
      <c r="N83" s="82"/>
      <c r="O83" s="82"/>
      <c r="P83" s="82"/>
      <c r="Q83" s="82"/>
      <c r="R83" s="82"/>
      <c r="S83" s="82"/>
    </row>
    <row r="84" spans="1:19" ht="15" outlineLevel="1">
      <c r="A84" s="82"/>
      <c r="B84" s="82"/>
      <c r="C84" s="121" t="s">
        <v>22</v>
      </c>
      <c r="D84" s="82"/>
      <c r="E84" s="82"/>
      <c r="F84" s="122"/>
      <c r="G84" s="122"/>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c r="G87" s="122"/>
      <c r="H87" s="82"/>
      <c r="I87" s="82"/>
      <c r="J87" s="82"/>
      <c r="K87" s="82"/>
      <c r="L87" s="82"/>
      <c r="M87" s="82"/>
      <c r="N87" s="82"/>
      <c r="O87" s="82"/>
      <c r="P87" s="82"/>
      <c r="Q87" s="82"/>
      <c r="R87" s="82"/>
      <c r="S87" s="82"/>
    </row>
    <row r="88" spans="1:19" ht="15" outlineLevel="1">
      <c r="A88" s="82"/>
      <c r="B88" s="82"/>
      <c r="C88" s="121" t="s">
        <v>99</v>
      </c>
      <c r="D88" s="82"/>
      <c r="E88" s="82"/>
      <c r="F88" s="122"/>
      <c r="G88" s="122"/>
      <c r="H88" s="82"/>
      <c r="I88" s="82"/>
      <c r="J88" s="82"/>
      <c r="K88" s="82"/>
      <c r="L88" s="82"/>
      <c r="M88" s="82"/>
      <c r="N88" s="82"/>
      <c r="O88" s="82"/>
      <c r="P88" s="82"/>
      <c r="Q88" s="82"/>
      <c r="R88" s="82"/>
      <c r="S88" s="82"/>
    </row>
    <row r="89" spans="1:19" ht="15" outlineLevel="1">
      <c r="A89" s="82"/>
      <c r="B89" s="82"/>
      <c r="C89" s="121" t="s">
        <v>36</v>
      </c>
      <c r="D89" s="82"/>
      <c r="E89" s="82"/>
      <c r="F89" s="122"/>
      <c r="G89" s="122"/>
      <c r="H89" s="82"/>
      <c r="I89" s="82"/>
      <c r="J89" s="82"/>
      <c r="K89" s="82"/>
      <c r="L89" s="82"/>
      <c r="M89" s="82"/>
      <c r="N89" s="82"/>
      <c r="O89" s="82"/>
      <c r="P89" s="82"/>
      <c r="Q89" s="82"/>
      <c r="R89" s="82"/>
      <c r="S89" s="82"/>
    </row>
    <row r="90" spans="1:19" ht="15" outlineLevel="1">
      <c r="A90" s="82"/>
      <c r="B90" s="82"/>
      <c r="C90" s="121" t="s">
        <v>100</v>
      </c>
      <c r="D90" s="82"/>
      <c r="E90" s="82"/>
      <c r="F90" s="122"/>
      <c r="G90" s="122"/>
      <c r="H90" s="82"/>
      <c r="I90" s="82"/>
      <c r="J90" s="82"/>
      <c r="K90" s="82"/>
      <c r="L90" s="82"/>
      <c r="M90" s="82"/>
      <c r="N90" s="82"/>
      <c r="O90" s="82"/>
      <c r="P90" s="82"/>
      <c r="Q90" s="82"/>
      <c r="R90" s="82"/>
      <c r="S90" s="82"/>
    </row>
    <row r="91" spans="1:19" ht="15" outlineLevel="1">
      <c r="A91" s="82"/>
      <c r="B91" s="82"/>
      <c r="C91" s="121" t="s">
        <v>101</v>
      </c>
      <c r="D91" s="82"/>
      <c r="E91" s="82"/>
      <c r="F91" s="122"/>
      <c r="G91" s="122"/>
      <c r="H91" s="82"/>
      <c r="I91" s="82"/>
      <c r="J91" s="82"/>
      <c r="K91" s="82"/>
      <c r="L91" s="82"/>
      <c r="M91" s="82"/>
      <c r="N91" s="82"/>
      <c r="O91" s="82"/>
      <c r="P91" s="82"/>
      <c r="Q91" s="82"/>
      <c r="R91" s="82"/>
      <c r="S91" s="82"/>
    </row>
    <row r="92" spans="1:19" ht="15" outlineLevel="1">
      <c r="A92" s="82"/>
      <c r="B92" s="82"/>
      <c r="C92" s="121" t="s">
        <v>49</v>
      </c>
      <c r="D92" s="82"/>
      <c r="E92" s="82"/>
      <c r="F92" s="122"/>
      <c r="G92" s="122"/>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c r="G95" s="122"/>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BEC-8EEE-4548-9B29-89D1651F8910}">
  <sheetPr>
    <tabColor rgb="FF416D89"/>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55</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t="s">
        <v>62</v>
      </c>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A12" s="125"/>
      <c r="C12" s="59"/>
      <c r="D12" s="59"/>
      <c r="E12" s="59"/>
      <c r="F12" s="60"/>
      <c r="G12" s="60"/>
      <c r="H12" s="60"/>
      <c r="I12" s="60"/>
      <c r="J12" s="60"/>
      <c r="K12" s="60"/>
    </row>
    <row r="13" spans="1:13" ht="13.5" customHeight="1" outlineLevel="1">
      <c r="A13" s="125"/>
      <c r="C13" s="61" t="s">
        <v>7</v>
      </c>
      <c r="D13" s="61"/>
      <c r="E13" s="61"/>
      <c r="F13" s="62">
        <f>'Financials from CIP'!D13/1000</f>
        <v>78.565675999999996</v>
      </c>
      <c r="G13" s="62">
        <f>'Financials from CIP'!E13/1000</f>
        <v>90.614007999999998</v>
      </c>
      <c r="H13" s="60"/>
      <c r="I13" s="60"/>
      <c r="J13" s="60"/>
      <c r="K13" s="60"/>
      <c r="L13" s="60"/>
      <c r="M13" s="60"/>
    </row>
    <row r="14" spans="1:13" ht="13.5" customHeight="1" outlineLevel="1">
      <c r="A14" s="125"/>
      <c r="C14" s="63" t="s">
        <v>66</v>
      </c>
      <c r="D14" s="63"/>
      <c r="E14" s="63"/>
      <c r="F14" s="64">
        <f>SUM('Financials from CIP'!D15:D17)/1000</f>
        <v>51.562188999999996</v>
      </c>
      <c r="G14" s="64">
        <f>SUM('Financials from CIP'!E15:E17)/1000</f>
        <v>61.618676000000001</v>
      </c>
      <c r="H14" s="60"/>
      <c r="I14" s="60"/>
      <c r="J14" s="60"/>
      <c r="K14" s="60"/>
      <c r="L14" s="60"/>
      <c r="M14" s="60"/>
    </row>
    <row r="15" spans="1:13" ht="13.5" customHeight="1" outlineLevel="1">
      <c r="A15" s="125"/>
      <c r="C15" s="65" t="s">
        <v>67</v>
      </c>
      <c r="D15" s="65"/>
      <c r="E15" s="65"/>
      <c r="F15" s="66">
        <f t="shared" ref="F15:G15" si="1">F13-F14</f>
        <v>27.003487</v>
      </c>
      <c r="G15" s="66">
        <f t="shared" si="1"/>
        <v>28.995331999999998</v>
      </c>
      <c r="H15" s="60"/>
      <c r="I15" s="60"/>
      <c r="J15" s="60"/>
      <c r="K15" s="60"/>
      <c r="L15" s="60"/>
      <c r="M15" s="60"/>
    </row>
    <row r="16" spans="1:13" ht="13.5" customHeight="1" outlineLevel="1">
      <c r="A16" s="125"/>
      <c r="C16" s="67" t="s">
        <v>68</v>
      </c>
      <c r="D16" s="68"/>
      <c r="E16" s="68"/>
      <c r="F16" s="69">
        <f>IFERROR(F15/F$13,"N/M")</f>
        <v>0.34370590790818117</v>
      </c>
      <c r="G16" s="69">
        <f>IFERROR(G15/G$13,"N/M")</f>
        <v>0.31998730262543951</v>
      </c>
      <c r="H16" s="60"/>
      <c r="I16" s="60"/>
      <c r="J16" s="60"/>
      <c r="K16" s="60"/>
      <c r="L16" s="60"/>
      <c r="M16" s="60"/>
    </row>
    <row r="17" spans="1:13" ht="13.5" customHeight="1" outlineLevel="1">
      <c r="A17" s="125"/>
      <c r="C17" s="63" t="s">
        <v>69</v>
      </c>
      <c r="D17" s="63"/>
      <c r="E17" s="63"/>
      <c r="F17" s="64">
        <f>SUM('Financials from CIP'!D23:D24,'Financials from CIP'!D28)/1000</f>
        <v>14.179914999999999</v>
      </c>
      <c r="G17" s="64">
        <f>SUM('Financials from CIP'!E23:E24,'Financials from CIP'!E28)/1000</f>
        <v>15.4366889395</v>
      </c>
      <c r="H17" s="60"/>
      <c r="I17" s="60"/>
      <c r="J17" s="60"/>
      <c r="K17" s="60"/>
      <c r="L17" s="60"/>
      <c r="M17" s="60"/>
    </row>
    <row r="18" spans="1:13" ht="13.5" customHeight="1" outlineLevel="1">
      <c r="A18" s="125"/>
      <c r="C18" s="70" t="s">
        <v>70</v>
      </c>
      <c r="D18" s="70"/>
      <c r="E18" s="70"/>
      <c r="F18" s="71">
        <f t="shared" ref="F18:G18" si="2">F15-F17</f>
        <v>12.823572</v>
      </c>
      <c r="G18" s="71">
        <f t="shared" si="2"/>
        <v>13.558643060499998</v>
      </c>
      <c r="H18" s="60"/>
      <c r="I18" s="60"/>
      <c r="J18" s="60"/>
      <c r="K18" s="60"/>
      <c r="L18" s="60"/>
      <c r="M18" s="60"/>
    </row>
    <row r="19" spans="1:13" ht="13.5" customHeight="1" outlineLevel="1">
      <c r="A19" s="125"/>
      <c r="C19" s="67" t="s">
        <v>71</v>
      </c>
      <c r="D19" s="39"/>
      <c r="E19" s="39"/>
      <c r="F19" s="69">
        <f>IFERROR(F18/F$13,"N/M")</f>
        <v>0.16322104833668077</v>
      </c>
      <c r="G19" s="69">
        <f>IFERROR(G18/G$13,"N/M")</f>
        <v>0.1496307619512868</v>
      </c>
      <c r="H19" s="60"/>
      <c r="I19" s="60"/>
      <c r="J19" s="60"/>
      <c r="K19" s="60"/>
      <c r="L19" s="60"/>
      <c r="M19" s="60"/>
    </row>
    <row r="20" spans="1:13" ht="13.5" customHeight="1" outlineLevel="1">
      <c r="A20" s="125"/>
      <c r="C20" s="63" t="s">
        <v>15</v>
      </c>
      <c r="D20" s="63"/>
      <c r="E20" s="63"/>
      <c r="F20" s="64">
        <f>'Financials from CIP'!D25/1000</f>
        <v>1.1801621</v>
      </c>
      <c r="G20" s="64">
        <f>'Financials from CIP'!E25/1000</f>
        <v>1.1617642799999999</v>
      </c>
      <c r="H20" s="60"/>
      <c r="I20" s="60"/>
      <c r="J20" s="60"/>
      <c r="K20" s="60"/>
      <c r="L20" s="60"/>
      <c r="M20" s="60"/>
    </row>
    <row r="21" spans="1:13" ht="13.5" customHeight="1" outlineLevel="1">
      <c r="A21" s="125"/>
      <c r="C21" s="63" t="s">
        <v>16</v>
      </c>
      <c r="D21" s="63"/>
      <c r="E21" s="63"/>
      <c r="F21" s="64">
        <f>'Financials from CIP'!D26/1000</f>
        <v>0.208264</v>
      </c>
      <c r="G21" s="64">
        <f>'Financials from CIP'!E26/1000</f>
        <v>0.237952</v>
      </c>
      <c r="H21" s="60"/>
      <c r="I21" s="60"/>
      <c r="J21" s="60"/>
      <c r="K21" s="60"/>
      <c r="L21" s="60"/>
      <c r="M21" s="60"/>
    </row>
    <row r="22" spans="1:13" ht="13.5" customHeight="1" outlineLevel="1">
      <c r="A22" s="125"/>
      <c r="C22" s="70" t="s">
        <v>72</v>
      </c>
      <c r="D22" s="70"/>
      <c r="E22" s="70"/>
      <c r="F22" s="71">
        <f>F18-SUM(F20:F21)</f>
        <v>11.4351459</v>
      </c>
      <c r="G22" s="71">
        <f>G18-SUM(G20:G21)</f>
        <v>12.158926780499998</v>
      </c>
      <c r="H22" s="60"/>
      <c r="I22" s="60"/>
      <c r="J22" s="60"/>
      <c r="K22" s="60"/>
      <c r="L22" s="60"/>
      <c r="M22" s="60"/>
    </row>
    <row r="23" spans="1:13" ht="13.5" customHeight="1" outlineLevel="1">
      <c r="A23" s="125"/>
      <c r="C23" s="72" t="s">
        <v>73</v>
      </c>
      <c r="D23" s="39"/>
      <c r="E23" s="39"/>
      <c r="F23" s="45"/>
      <c r="G23" s="73"/>
      <c r="H23" s="60"/>
      <c r="I23" s="60"/>
      <c r="J23" s="60"/>
      <c r="K23" s="60"/>
      <c r="L23" s="60"/>
      <c r="M23" s="60"/>
    </row>
    <row r="24" spans="1:13" ht="13.5" customHeight="1" outlineLevel="1">
      <c r="A24" s="125"/>
      <c r="C24" s="74" t="s">
        <v>74</v>
      </c>
      <c r="D24" s="39"/>
      <c r="E24" s="39"/>
      <c r="F24" s="45"/>
      <c r="G24" s="75"/>
      <c r="H24" s="60"/>
      <c r="I24" s="60"/>
      <c r="J24" s="60"/>
      <c r="K24" s="60"/>
      <c r="L24" s="60"/>
      <c r="M24" s="60"/>
    </row>
    <row r="25" spans="1:13" ht="13.5" customHeight="1" outlineLevel="1">
      <c r="A25" s="125"/>
      <c r="C25" s="74" t="s">
        <v>75</v>
      </c>
      <c r="D25" s="39"/>
      <c r="E25" s="39"/>
      <c r="F25" s="45"/>
      <c r="G25" s="75"/>
      <c r="H25" s="60"/>
      <c r="I25" s="60"/>
      <c r="J25" s="60"/>
      <c r="K25" s="60"/>
      <c r="L25" s="60"/>
      <c r="M25" s="60"/>
    </row>
    <row r="26" spans="1:13" ht="13.5" customHeight="1" outlineLevel="1">
      <c r="A26" s="125"/>
      <c r="C26" s="74" t="str">
        <f>+C66</f>
        <v>Term Loan A</v>
      </c>
      <c r="D26" s="39"/>
      <c r="E26" s="39"/>
      <c r="F26" s="45"/>
      <c r="G26" s="75"/>
      <c r="H26" s="60"/>
      <c r="I26" s="60"/>
      <c r="J26" s="60"/>
      <c r="K26" s="60"/>
      <c r="L26" s="60"/>
      <c r="M26" s="60"/>
    </row>
    <row r="27" spans="1:13" ht="13.5" customHeight="1" outlineLevel="1">
      <c r="A27" s="125"/>
      <c r="C27" s="74" t="str">
        <f>+C67</f>
        <v>Subordinated - Note 1</v>
      </c>
      <c r="D27" s="39"/>
      <c r="E27" s="39"/>
      <c r="F27" s="45"/>
      <c r="G27" s="75"/>
      <c r="H27" s="60"/>
      <c r="I27" s="60"/>
      <c r="J27" s="60"/>
      <c r="K27" s="60"/>
      <c r="L27" s="60"/>
      <c r="M27" s="60"/>
    </row>
    <row r="28" spans="1:13" ht="13.5" customHeight="1" outlineLevel="1">
      <c r="A28" s="125"/>
      <c r="C28" s="74" t="str">
        <f>+C68</f>
        <v>Subordinated - Note 2</v>
      </c>
      <c r="D28" s="39"/>
      <c r="E28" s="39"/>
      <c r="F28" s="45"/>
      <c r="G28" s="75"/>
      <c r="H28" s="60"/>
      <c r="I28" s="60"/>
      <c r="J28" s="60"/>
      <c r="K28" s="60"/>
      <c r="L28" s="60"/>
      <c r="M28" s="60"/>
    </row>
    <row r="29" spans="1:13" ht="13.5" customHeight="1" outlineLevel="1">
      <c r="A29" s="125"/>
      <c r="C29" s="76" t="s">
        <v>73</v>
      </c>
      <c r="D29" s="77"/>
      <c r="E29" s="77"/>
      <c r="F29" s="78">
        <f>'Financials from CIP'!D27/1000</f>
        <v>2.224955</v>
      </c>
      <c r="G29" s="78">
        <f>'Financials from CIP'!E27/1000</f>
        <v>1.4727629999999998</v>
      </c>
      <c r="H29" s="60"/>
      <c r="I29" s="60"/>
      <c r="J29" s="60"/>
      <c r="K29" s="60"/>
      <c r="L29" s="60"/>
      <c r="M29" s="60"/>
    </row>
    <row r="30" spans="1:13" ht="13.5" customHeight="1" outlineLevel="1">
      <c r="A30" s="125"/>
      <c r="C30" s="63" t="s">
        <v>76</v>
      </c>
      <c r="D30" s="63"/>
      <c r="E30" s="63"/>
      <c r="F30" s="64">
        <f>'Financials from CIP'!D32/1000</f>
        <v>0.147371</v>
      </c>
      <c r="G30" s="64">
        <f>'Financials from CIP'!E32/1000</f>
        <v>0.27343900000000004</v>
      </c>
      <c r="H30" s="60"/>
      <c r="I30" s="60"/>
      <c r="J30" s="60"/>
      <c r="K30" s="60"/>
      <c r="L30" s="60"/>
      <c r="M30" s="60"/>
    </row>
    <row r="31" spans="1:13" ht="13.5" customHeight="1" outlineLevel="1">
      <c r="A31" s="125"/>
      <c r="C31" s="65" t="s">
        <v>77</v>
      </c>
      <c r="D31" s="65"/>
      <c r="E31" s="65"/>
      <c r="F31" s="66">
        <f>F22-F29-F30</f>
        <v>9.0628199000000009</v>
      </c>
      <c r="G31" s="66">
        <f>G22-G29-G30</f>
        <v>10.412724780499998</v>
      </c>
      <c r="H31" s="60"/>
      <c r="I31" s="60"/>
      <c r="J31" s="60"/>
      <c r="K31" s="60"/>
      <c r="L31" s="60"/>
      <c r="M31" s="60"/>
    </row>
    <row r="32" spans="1:13" ht="13.5" customHeight="1" outlineLevel="1">
      <c r="A32" s="125"/>
      <c r="C32" s="63" t="s">
        <v>78</v>
      </c>
      <c r="D32" s="63"/>
      <c r="E32" s="63"/>
      <c r="F32" s="64">
        <f>'Financials from CIP'!D29/1000</f>
        <v>3.2010390000000002</v>
      </c>
      <c r="G32" s="64">
        <f>'Financials from CIP'!E29/1000</f>
        <v>2.809107</v>
      </c>
      <c r="H32" s="60"/>
      <c r="I32" s="60"/>
      <c r="J32" s="60"/>
      <c r="K32" s="60"/>
      <c r="L32" s="60"/>
      <c r="M32" s="60"/>
    </row>
    <row r="33" spans="1:13" ht="13.5" customHeight="1" outlineLevel="1">
      <c r="A33" s="125"/>
      <c r="C33" s="79" t="s">
        <v>22</v>
      </c>
      <c r="D33" s="79"/>
      <c r="E33" s="79"/>
      <c r="F33" s="71">
        <f>F31-F32</f>
        <v>5.8617809000000012</v>
      </c>
      <c r="G33" s="71">
        <f>G31-G32</f>
        <v>7.6036177804999978</v>
      </c>
      <c r="H33" s="60"/>
      <c r="I33" s="60"/>
      <c r="J33" s="60"/>
      <c r="K33" s="60"/>
      <c r="L33" s="60"/>
      <c r="M33" s="60"/>
    </row>
    <row r="34" spans="1:13" ht="13.5" customHeight="1" outlineLevel="1">
      <c r="A34" s="125"/>
      <c r="C34" s="67" t="s">
        <v>79</v>
      </c>
      <c r="D34" s="39"/>
      <c r="E34" s="39"/>
      <c r="F34" s="69">
        <f>IFERROR(F33/F$13,"N/M")</f>
        <v>7.4609946715153336E-2</v>
      </c>
      <c r="G34" s="69">
        <f>IFERROR(G33/G$13,"N/M")</f>
        <v>8.3912167095621659E-2</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125"/>
      <c r="C47" s="88" t="s">
        <v>82</v>
      </c>
      <c r="F47" s="89">
        <f>'Financials from CIP'!D46/1000</f>
        <v>7.1056520000000001</v>
      </c>
      <c r="G47" s="89">
        <f>'Financials from CIP'!E46/1000</f>
        <v>2.9579920000000004</v>
      </c>
      <c r="H47" s="90"/>
      <c r="I47" s="90"/>
      <c r="J47" s="90"/>
      <c r="K47" s="90"/>
      <c r="L47" s="90"/>
    </row>
    <row r="48" spans="1:13" ht="13.5" customHeight="1" outlineLevel="1">
      <c r="A48" s="125"/>
      <c r="C48" s="91" t="s">
        <v>83</v>
      </c>
      <c r="F48" s="92">
        <f>SUM('Financials from CIP'!D47:D48)/1000</f>
        <v>16.781419000000003</v>
      </c>
      <c r="G48" s="92">
        <f>SUM('Financials from CIP'!E47:E48)/1000</f>
        <v>22.284721999999999</v>
      </c>
      <c r="H48" s="90"/>
      <c r="I48" s="90"/>
      <c r="J48" s="90"/>
      <c r="K48" s="90"/>
      <c r="L48" s="90"/>
    </row>
    <row r="49" spans="1:12" ht="13.5" customHeight="1" outlineLevel="1">
      <c r="A49" s="125"/>
      <c r="C49" s="91" t="s">
        <v>31</v>
      </c>
      <c r="F49" s="92">
        <f>'Financials from CIP'!D49/1000</f>
        <v>0.80490099999999998</v>
      </c>
      <c r="G49" s="92">
        <f>'Financials from CIP'!E49/1000</f>
        <v>1.161057</v>
      </c>
      <c r="H49" s="90"/>
      <c r="I49" s="90"/>
      <c r="J49" s="90"/>
      <c r="K49" s="90"/>
      <c r="L49" s="90"/>
    </row>
    <row r="50" spans="1:12" ht="13.5" customHeight="1" outlineLevel="1">
      <c r="A50" s="125"/>
      <c r="C50" s="91" t="s">
        <v>84</v>
      </c>
      <c r="F50" s="92">
        <f>'Financials from CIP'!D50/1000</f>
        <v>0.26978399999999997</v>
      </c>
      <c r="G50" s="92">
        <f>'Financials from CIP'!E50/1000</f>
        <v>0.34491899999999998</v>
      </c>
      <c r="H50" s="90"/>
      <c r="I50" s="90"/>
      <c r="J50" s="90"/>
      <c r="K50" s="90"/>
      <c r="L50" s="90"/>
    </row>
    <row r="51" spans="1:12" ht="13.5" customHeight="1" outlineLevel="1">
      <c r="A51" s="125"/>
      <c r="C51" s="76" t="s">
        <v>33</v>
      </c>
      <c r="D51" s="77"/>
      <c r="E51" s="77"/>
      <c r="F51" s="93">
        <f>SUM(F47:F50)</f>
        <v>24.961756000000005</v>
      </c>
      <c r="G51" s="93">
        <f>SUM(G47:G50)</f>
        <v>26.74869</v>
      </c>
      <c r="H51" s="94"/>
      <c r="I51" s="94"/>
      <c r="J51" s="94"/>
      <c r="K51" s="94"/>
      <c r="L51" s="94"/>
    </row>
    <row r="52" spans="1:12" ht="13.5" customHeight="1" outlineLevel="1">
      <c r="A52" s="125"/>
      <c r="C52" s="91" t="s">
        <v>85</v>
      </c>
      <c r="D52" s="95"/>
      <c r="E52" s="95"/>
      <c r="F52" s="96"/>
      <c r="G52" s="96"/>
      <c r="H52" s="97"/>
      <c r="I52" s="97"/>
      <c r="J52" s="97"/>
      <c r="K52" s="97"/>
      <c r="L52" s="97"/>
    </row>
    <row r="53" spans="1:12" ht="13.5" customHeight="1" outlineLevel="1">
      <c r="A53" s="125"/>
      <c r="C53" s="91" t="s">
        <v>86</v>
      </c>
      <c r="D53" s="95"/>
      <c r="E53" s="95"/>
      <c r="F53" s="96"/>
      <c r="G53" s="96"/>
      <c r="H53" s="94"/>
      <c r="I53" s="94"/>
      <c r="J53" s="94"/>
      <c r="K53" s="94"/>
      <c r="L53" s="94"/>
    </row>
    <row r="54" spans="1:12" ht="13.5" customHeight="1" outlineLevel="1">
      <c r="A54" s="125"/>
      <c r="C54" s="76" t="s">
        <v>34</v>
      </c>
      <c r="D54" s="77"/>
      <c r="E54" s="77"/>
      <c r="F54" s="78">
        <f>'Financials from CIP'!D53/1000</f>
        <v>54.584699999999998</v>
      </c>
      <c r="G54" s="78">
        <f>'Financials from CIP'!E53/1000</f>
        <v>55.684984</v>
      </c>
      <c r="H54" s="94"/>
      <c r="I54" s="94"/>
      <c r="J54" s="94"/>
      <c r="K54" s="94"/>
      <c r="L54" s="94"/>
    </row>
    <row r="55" spans="1:12" ht="13.5" customHeight="1" outlineLevel="1">
      <c r="A55" s="125"/>
      <c r="C55" s="98" t="s">
        <v>87</v>
      </c>
      <c r="D55" s="95"/>
      <c r="E55" s="95"/>
      <c r="F55" s="99">
        <v>0</v>
      </c>
      <c r="G55" s="99">
        <v>0</v>
      </c>
      <c r="H55" s="94"/>
      <c r="I55" s="94"/>
      <c r="J55" s="94"/>
      <c r="K55" s="94"/>
      <c r="L55" s="94"/>
    </row>
    <row r="56" spans="1:12" ht="13.5" customHeight="1" outlineLevel="1">
      <c r="A56" s="125"/>
      <c r="C56" s="98" t="s">
        <v>88</v>
      </c>
      <c r="D56" s="95"/>
      <c r="E56" s="95"/>
      <c r="F56" s="92">
        <f>'Financials from CIP'!D54/1000</f>
        <v>4.378482</v>
      </c>
      <c r="G56" s="92">
        <f>'Financials from CIP'!E54/1000</f>
        <v>4.5043699999999998</v>
      </c>
      <c r="H56" s="94"/>
      <c r="I56" s="94"/>
      <c r="J56" s="94"/>
      <c r="K56" s="94"/>
      <c r="L56" s="94"/>
    </row>
    <row r="57" spans="1:12" ht="13.5" customHeight="1" outlineLevel="1">
      <c r="A57" s="125"/>
      <c r="C57" s="100" t="s">
        <v>36</v>
      </c>
      <c r="D57" s="101"/>
      <c r="E57" s="101"/>
      <c r="F57" s="102">
        <f>SUM(F51,F54:F56)</f>
        <v>83.924938000000012</v>
      </c>
      <c r="G57" s="102">
        <f>SUM(G51,G54:G56)</f>
        <v>86.938043999999991</v>
      </c>
      <c r="H57" s="103"/>
      <c r="I57" s="103"/>
      <c r="J57" s="103"/>
      <c r="K57" s="103"/>
      <c r="L57" s="103"/>
    </row>
    <row r="58" spans="1:12" ht="13.5" customHeight="1" outlineLevel="1">
      <c r="A58" s="125"/>
      <c r="H58" s="104"/>
      <c r="I58" s="104"/>
      <c r="J58" s="104"/>
      <c r="K58" s="104"/>
      <c r="L58" s="104"/>
    </row>
    <row r="59" spans="1:12" ht="13.5" customHeight="1" outlineLevel="1">
      <c r="A59" s="125"/>
      <c r="C59" s="84" t="s">
        <v>89</v>
      </c>
      <c r="D59" s="85"/>
      <c r="E59" s="86"/>
      <c r="F59" s="86"/>
      <c r="G59" s="86"/>
      <c r="H59" s="86"/>
      <c r="I59" s="86"/>
      <c r="J59" s="86"/>
      <c r="K59" s="86"/>
      <c r="L59" s="87"/>
    </row>
    <row r="60" spans="1:12" ht="13.5" customHeight="1" outlineLevel="1">
      <c r="A60" s="125"/>
      <c r="C60" s="59"/>
      <c r="D60" s="59"/>
      <c r="E60" s="59"/>
      <c r="F60" s="60"/>
      <c r="G60" s="60"/>
      <c r="H60" s="60"/>
      <c r="I60" s="60"/>
      <c r="J60" s="60"/>
      <c r="K60" s="60"/>
    </row>
    <row r="61" spans="1:12" ht="13.5" customHeight="1" outlineLevel="1">
      <c r="A61" s="125"/>
      <c r="C61" s="91" t="s">
        <v>37</v>
      </c>
      <c r="D61" s="95"/>
      <c r="E61" s="95"/>
      <c r="F61" s="92">
        <f>'Financials from CIP'!D58/1000</f>
        <v>2.8058170000000002</v>
      </c>
      <c r="G61" s="92">
        <f>'Financials from CIP'!E58/1000</f>
        <v>2.3607100000000001</v>
      </c>
      <c r="H61" s="90"/>
      <c r="I61" s="90"/>
      <c r="J61" s="90"/>
      <c r="K61" s="90"/>
      <c r="L61" s="90"/>
    </row>
    <row r="62" spans="1:12" ht="13.5" customHeight="1" outlineLevel="1">
      <c r="A62" s="125"/>
      <c r="C62" s="91" t="s">
        <v>38</v>
      </c>
      <c r="D62" s="95"/>
      <c r="E62" s="95"/>
      <c r="F62" s="92">
        <f>'Financials from CIP'!D59/1000</f>
        <v>2.3839329999999999</v>
      </c>
      <c r="G62" s="92">
        <f>'Financials from CIP'!E59/1000</f>
        <v>2.7880379999999998</v>
      </c>
      <c r="H62" s="90"/>
      <c r="I62" s="90"/>
      <c r="J62" s="90"/>
      <c r="K62" s="90"/>
      <c r="L62" s="90"/>
    </row>
    <row r="63" spans="1:12" ht="13.5" customHeight="1" outlineLevel="1">
      <c r="A63" s="125"/>
      <c r="C63" s="91" t="s">
        <v>39</v>
      </c>
      <c r="D63" s="95"/>
      <c r="E63" s="95"/>
      <c r="F63" s="92">
        <f>'Financials from CIP'!D60/1000</f>
        <v>2.0579079999999998</v>
      </c>
      <c r="G63" s="92">
        <f>'Financials from CIP'!E60/1000</f>
        <v>3.2020309999999998</v>
      </c>
      <c r="H63" s="90"/>
      <c r="I63" s="90"/>
      <c r="J63" s="90"/>
      <c r="K63" s="90"/>
      <c r="L63" s="90"/>
    </row>
    <row r="64" spans="1:12" ht="13.5" customHeight="1" outlineLevel="1">
      <c r="A64" s="125"/>
      <c r="C64" s="76" t="s">
        <v>40</v>
      </c>
      <c r="D64" s="77"/>
      <c r="E64" s="77"/>
      <c r="F64" s="93">
        <f>SUM(F61:F63)</f>
        <v>7.2476579999999995</v>
      </c>
      <c r="G64" s="93">
        <f>SUM(G61:G63)</f>
        <v>8.3507789999999993</v>
      </c>
      <c r="H64" s="94"/>
      <c r="I64" s="94"/>
      <c r="J64" s="94"/>
      <c r="K64" s="94"/>
      <c r="L64" s="94"/>
    </row>
    <row r="65" spans="1:19" ht="13.5" customHeight="1" outlineLevel="1">
      <c r="A65" s="125"/>
      <c r="C65" s="91" t="s">
        <v>41</v>
      </c>
      <c r="D65" s="95"/>
      <c r="E65" s="95"/>
      <c r="F65" s="92">
        <f>'Financials from CIP'!D63/1000</f>
        <v>0.64588299999999998</v>
      </c>
      <c r="G65" s="92">
        <f>'Financials from CIP'!E63/1000</f>
        <v>1.2892999999999999</v>
      </c>
      <c r="H65" s="97"/>
      <c r="I65" s="97"/>
      <c r="J65" s="97"/>
      <c r="K65" s="97"/>
      <c r="L65" s="97"/>
    </row>
    <row r="66" spans="1:19" ht="13.5" customHeight="1" outlineLevel="1">
      <c r="A66" s="125"/>
      <c r="C66" s="91" t="s">
        <v>42</v>
      </c>
      <c r="D66" s="95"/>
      <c r="E66" s="95"/>
      <c r="F66" s="92">
        <f>'Financials from CIP'!D64/1000</f>
        <v>18.943222000000002</v>
      </c>
      <c r="G66" s="92">
        <f>'Financials from CIP'!E64/1000</f>
        <v>12.001450999999999</v>
      </c>
      <c r="H66" s="94"/>
      <c r="I66" s="94"/>
      <c r="J66" s="94"/>
      <c r="K66" s="94"/>
      <c r="L66" s="94"/>
    </row>
    <row r="67" spans="1:19" ht="13.5" customHeight="1" outlineLevel="1">
      <c r="A67" s="125"/>
      <c r="C67" s="91" t="s">
        <v>90</v>
      </c>
      <c r="D67" s="95"/>
      <c r="E67" s="95"/>
      <c r="F67" s="92">
        <f>'Financials from CIP'!D65/1000</f>
        <v>0.54533299999999996</v>
      </c>
      <c r="G67" s="92">
        <f>'Financials from CIP'!E65/1000</f>
        <v>8.5337999999999997E-2</v>
      </c>
      <c r="H67" s="97"/>
      <c r="I67" s="97"/>
      <c r="J67" s="97"/>
      <c r="K67" s="97"/>
      <c r="L67" s="97"/>
    </row>
    <row r="68" spans="1:19" ht="13.5" customHeight="1" outlineLevel="1">
      <c r="A68" s="125"/>
      <c r="C68" s="91" t="s">
        <v>91</v>
      </c>
      <c r="D68" s="95"/>
      <c r="E68" s="95"/>
      <c r="F68" s="92">
        <f>'Financials from CIP'!D66/1000</f>
        <v>9.2447999999999989E-2</v>
      </c>
      <c r="G68" s="92">
        <f>'Financials from CIP'!E66/1000</f>
        <v>1.2666999999999999E-2</v>
      </c>
      <c r="H68" s="97"/>
      <c r="I68" s="97"/>
      <c r="J68" s="97"/>
      <c r="K68" s="97"/>
      <c r="L68" s="97"/>
    </row>
    <row r="69" spans="1:19" ht="13.5" customHeight="1" outlineLevel="1">
      <c r="A69" s="125"/>
      <c r="C69" s="76" t="s">
        <v>92</v>
      </c>
      <c r="D69" s="77"/>
      <c r="E69" s="77"/>
      <c r="F69" s="93">
        <f>SUM(F65:F68)</f>
        <v>20.226886000000004</v>
      </c>
      <c r="G69" s="93">
        <f>SUM(G65:G68)</f>
        <v>13.388756000000001</v>
      </c>
      <c r="H69" s="94"/>
      <c r="I69" s="94"/>
      <c r="J69" s="94"/>
      <c r="K69" s="94"/>
      <c r="L69" s="94"/>
    </row>
    <row r="70" spans="1:19" ht="13.5" customHeight="1" outlineLevel="1">
      <c r="A70" s="125"/>
      <c r="C70" s="68" t="s">
        <v>93</v>
      </c>
      <c r="F70" s="92">
        <f>'Financials from CIP'!D67/1000</f>
        <v>0.41787400000000002</v>
      </c>
      <c r="G70" s="92">
        <f>'Financials from CIP'!E67/1000</f>
        <v>0.42988799999999999</v>
      </c>
      <c r="H70" s="97"/>
      <c r="I70" s="97"/>
      <c r="J70" s="97"/>
      <c r="K70" s="97"/>
      <c r="L70" s="97"/>
      <c r="M70" s="82"/>
    </row>
    <row r="71" spans="1:19" ht="13.5" customHeight="1" outlineLevel="1">
      <c r="A71" s="125"/>
      <c r="C71" s="76" t="s">
        <v>94</v>
      </c>
      <c r="D71" s="77"/>
      <c r="E71" s="77"/>
      <c r="F71" s="93">
        <f>SUM(F64,F69:F70)</f>
        <v>27.892418000000003</v>
      </c>
      <c r="G71" s="93">
        <f>SUM(G64,G69:G70)</f>
        <v>22.169422999999998</v>
      </c>
      <c r="H71" s="94"/>
      <c r="I71" s="94"/>
      <c r="J71" s="94"/>
      <c r="K71" s="94"/>
      <c r="L71" s="94"/>
      <c r="M71" s="82"/>
    </row>
    <row r="72" spans="1:19" ht="13.5" customHeight="1" outlineLevel="1">
      <c r="A72" s="125"/>
      <c r="C72" s="98" t="s">
        <v>47</v>
      </c>
      <c r="F72" s="92">
        <f>'Financials from CIP'!D71/1000</f>
        <v>7.7836338279007267</v>
      </c>
      <c r="G72" s="92">
        <f>'Financials from CIP'!E71/1000</f>
        <v>8.9161157153081838</v>
      </c>
      <c r="H72" s="97"/>
      <c r="I72" s="97"/>
      <c r="J72" s="97"/>
      <c r="K72" s="97"/>
      <c r="L72" s="97"/>
      <c r="M72" s="82"/>
    </row>
    <row r="73" spans="1:19" ht="13.5" customHeight="1" outlineLevel="1">
      <c r="A73" s="125"/>
      <c r="C73" s="98" t="s">
        <v>48</v>
      </c>
      <c r="F73" s="92">
        <f>'Financials from CIP'!D72/1000</f>
        <v>48.248887000000003</v>
      </c>
      <c r="G73" s="92">
        <f>'Financials from CIP'!E72/1000</f>
        <v>55.852504780500006</v>
      </c>
      <c r="H73" s="97"/>
      <c r="I73" s="97"/>
      <c r="J73" s="97"/>
      <c r="K73" s="97"/>
      <c r="L73" s="97"/>
      <c r="M73" s="82"/>
    </row>
    <row r="74" spans="1:19" ht="13.5" customHeight="1" outlineLevel="1">
      <c r="A74" s="125"/>
      <c r="C74" s="100" t="s">
        <v>95</v>
      </c>
      <c r="D74" s="101"/>
      <c r="E74" s="101"/>
      <c r="F74" s="105">
        <f>SUM(F71:F73)</f>
        <v>83.924938827900732</v>
      </c>
      <c r="G74" s="105">
        <f>SUM(G71:G73)</f>
        <v>86.938043495808188</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5.75"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f>'Financials from CIP'!D13/1000-'Step 1 Answer Key'!F13</f>
        <v>0</v>
      </c>
      <c r="G81" s="122">
        <f>'Financials from CIP'!E13/1000-'Step 1 Answer Key'!G13</f>
        <v>0</v>
      </c>
      <c r="H81" s="82"/>
      <c r="I81" s="82"/>
      <c r="J81" s="82"/>
      <c r="K81" s="82"/>
      <c r="L81" s="82"/>
      <c r="M81" s="82"/>
      <c r="N81" s="82"/>
      <c r="O81" s="82"/>
      <c r="P81" s="82"/>
      <c r="Q81" s="82"/>
      <c r="R81" s="82"/>
      <c r="S81" s="82"/>
    </row>
    <row r="82" spans="1:19" ht="15" outlineLevel="1">
      <c r="A82" s="82"/>
      <c r="B82" s="82"/>
      <c r="C82" s="121" t="s">
        <v>67</v>
      </c>
      <c r="D82" s="82"/>
      <c r="E82" s="82"/>
      <c r="F82" s="122">
        <f>'Financials from CIP'!D19/1000-'Step 1 Answer Key'!F15</f>
        <v>0</v>
      </c>
      <c r="G82" s="122">
        <f>'Financials from CIP'!E19/1000-'Step 1 Answer Key'!G15</f>
        <v>0</v>
      </c>
      <c r="H82" s="82"/>
      <c r="I82" s="82"/>
      <c r="J82" s="82"/>
      <c r="K82" s="82"/>
      <c r="L82" s="82"/>
      <c r="M82" s="82"/>
      <c r="N82" s="82"/>
      <c r="O82" s="82"/>
      <c r="P82" s="82"/>
      <c r="Q82" s="82"/>
      <c r="R82" s="82"/>
      <c r="S82" s="82"/>
    </row>
    <row r="83" spans="1:19" ht="15" outlineLevel="1">
      <c r="A83" s="82"/>
      <c r="B83" s="82"/>
      <c r="C83" s="121" t="s">
        <v>70</v>
      </c>
      <c r="D83" s="82"/>
      <c r="E83" s="82"/>
      <c r="F83" s="122">
        <f>'Financials from CIP'!D36/1000-'Step 1 Answer Key'!F18</f>
        <v>0</v>
      </c>
      <c r="G83" s="122">
        <f>'Financials from CIP'!E36/1000-'Step 1 Answer Key'!G18</f>
        <v>0</v>
      </c>
      <c r="H83" s="82"/>
      <c r="I83" s="82"/>
      <c r="J83" s="82"/>
      <c r="K83" s="82"/>
      <c r="L83" s="82"/>
      <c r="M83" s="82"/>
      <c r="N83" s="82"/>
      <c r="O83" s="82"/>
      <c r="P83" s="82"/>
      <c r="Q83" s="82"/>
      <c r="R83" s="82"/>
      <c r="S83" s="82"/>
    </row>
    <row r="84" spans="1:19" ht="15" outlineLevel="1">
      <c r="A84" s="82"/>
      <c r="B84" s="82"/>
      <c r="C84" s="121" t="s">
        <v>22</v>
      </c>
      <c r="D84" s="82"/>
      <c r="E84" s="82"/>
      <c r="F84" s="122">
        <f>'Financials from CIP'!D34/1000-'Step 1 Answer Key'!F33</f>
        <v>0</v>
      </c>
      <c r="G84" s="122">
        <f>'Financials from CIP'!E34/1000-'Step 1 Answer Key'!G33</f>
        <v>0</v>
      </c>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f>'Financials from CIP'!D46/1000-'Step 1 Answer Key'!F47</f>
        <v>0</v>
      </c>
      <c r="G87" s="122">
        <f>'Financials from CIP'!E46/1000-'Step 1 Answer Key'!G47</f>
        <v>0</v>
      </c>
      <c r="H87" s="82"/>
      <c r="I87" s="82"/>
      <c r="J87" s="82"/>
      <c r="K87" s="82"/>
      <c r="L87" s="82"/>
      <c r="M87" s="82"/>
      <c r="N87" s="82"/>
      <c r="O87" s="82"/>
      <c r="P87" s="82"/>
      <c r="Q87" s="82"/>
      <c r="R87" s="82"/>
      <c r="S87" s="82"/>
    </row>
    <row r="88" spans="1:19" ht="15" outlineLevel="1">
      <c r="A88" s="82"/>
      <c r="B88" s="82"/>
      <c r="C88" s="121" t="s">
        <v>99</v>
      </c>
      <c r="D88" s="82"/>
      <c r="E88" s="82"/>
      <c r="F88" s="122">
        <f>'Financials from CIP'!D51/1000-'Step 1 Answer Key'!F51</f>
        <v>0</v>
      </c>
      <c r="G88" s="122">
        <f>'Financials from CIP'!E51/1000-'Step 1 Answer Key'!G51</f>
        <v>0</v>
      </c>
      <c r="H88" s="82"/>
      <c r="I88" s="82"/>
      <c r="J88" s="82"/>
      <c r="K88" s="82"/>
      <c r="L88" s="82"/>
      <c r="M88" s="82"/>
      <c r="N88" s="82"/>
      <c r="O88" s="82"/>
      <c r="P88" s="82"/>
      <c r="Q88" s="82"/>
      <c r="R88" s="82"/>
      <c r="S88" s="82"/>
    </row>
    <row r="89" spans="1:19" ht="15" outlineLevel="1">
      <c r="A89" s="82"/>
      <c r="B89" s="82"/>
      <c r="C89" s="121" t="s">
        <v>36</v>
      </c>
      <c r="D89" s="82"/>
      <c r="E89" s="82"/>
      <c r="F89" s="122">
        <f>'Financials from CIP'!D56/1000-'Step 1 Answer Key'!F57</f>
        <v>0</v>
      </c>
      <c r="G89" s="122">
        <f>'Financials from CIP'!E56/1000-'Step 1 Answer Key'!G57</f>
        <v>0</v>
      </c>
      <c r="H89" s="82"/>
      <c r="I89" s="82"/>
      <c r="J89" s="82"/>
      <c r="K89" s="82"/>
      <c r="L89" s="82"/>
      <c r="M89" s="82"/>
      <c r="N89" s="82"/>
      <c r="O89" s="82"/>
      <c r="P89" s="82"/>
      <c r="Q89" s="82"/>
      <c r="R89" s="82"/>
      <c r="S89" s="82"/>
    </row>
    <row r="90" spans="1:19" ht="15" outlineLevel="1">
      <c r="A90" s="82"/>
      <c r="B90" s="82"/>
      <c r="C90" s="121" t="s">
        <v>100</v>
      </c>
      <c r="D90" s="82"/>
      <c r="E90" s="82"/>
      <c r="F90" s="122">
        <f>'Financials from CIP'!D61/1000-'Step 1 Answer Key'!F64</f>
        <v>0</v>
      </c>
      <c r="G90" s="122">
        <f>'Financials from CIP'!E61/1000-'Step 1 Answer Key'!G64</f>
        <v>0</v>
      </c>
      <c r="H90" s="82"/>
      <c r="I90" s="82"/>
      <c r="J90" s="82"/>
      <c r="K90" s="82"/>
      <c r="L90" s="82"/>
      <c r="M90" s="82"/>
      <c r="N90" s="82"/>
      <c r="O90" s="82"/>
      <c r="P90" s="82"/>
      <c r="Q90" s="82"/>
      <c r="R90" s="82"/>
      <c r="S90" s="82"/>
    </row>
    <row r="91" spans="1:19" ht="15" outlineLevel="1">
      <c r="A91" s="82"/>
      <c r="B91" s="82"/>
      <c r="C91" s="121" t="s">
        <v>101</v>
      </c>
      <c r="D91" s="82"/>
      <c r="E91" s="82"/>
      <c r="F91" s="122">
        <f>'Financials from CIP'!D69/1000-'Step 1 Answer Key'!F71</f>
        <v>0</v>
      </c>
      <c r="G91" s="122">
        <f>'Financials from CIP'!E69/1000-'Step 1 Answer Key'!G71</f>
        <v>0</v>
      </c>
      <c r="H91" s="82"/>
      <c r="I91" s="82"/>
      <c r="J91" s="82"/>
      <c r="K91" s="82"/>
      <c r="L91" s="82"/>
      <c r="M91" s="82"/>
      <c r="N91" s="82"/>
      <c r="O91" s="82"/>
      <c r="P91" s="82"/>
      <c r="Q91" s="82"/>
      <c r="R91" s="82"/>
      <c r="S91" s="82"/>
    </row>
    <row r="92" spans="1:19" ht="15" outlineLevel="1">
      <c r="A92" s="82"/>
      <c r="B92" s="82"/>
      <c r="C92" s="121" t="s">
        <v>49</v>
      </c>
      <c r="D92" s="82"/>
      <c r="E92" s="82"/>
      <c r="F92" s="122">
        <f>'Financials from CIP'!D73/1000-SUM('Step 1 Answer Key'!F72:F73)</f>
        <v>0</v>
      </c>
      <c r="G92" s="122">
        <f>'Financials from CIP'!E73/1000-SUM('Step 1 Answer Key'!G72:G73)</f>
        <v>0</v>
      </c>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f>F57-F74</f>
        <v>-8.2790072042371321E-7</v>
      </c>
      <c r="G95" s="122">
        <f>G57-G74</f>
        <v>5.0419180297467392E-7</v>
      </c>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885-9FD1-4B09-BF73-87A2FCC85FCF}">
  <sheetPr>
    <outlinePr summaryBelow="0"/>
    <pageSetUpPr fitToPage="1"/>
  </sheetPr>
  <dimension ref="A1:S147"/>
  <sheetViews>
    <sheetView showGridLines="0" tabSelected="1"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c r="I13" s="127"/>
      <c r="J13" s="127"/>
      <c r="K13" s="127"/>
      <c r="L13" s="127"/>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c r="I14" s="129"/>
      <c r="J14" s="129"/>
      <c r="K14" s="129"/>
      <c r="L14" s="129"/>
      <c r="M14" s="50" t="s">
        <v>106</v>
      </c>
    </row>
    <row r="15" spans="1:13" ht="13.5" customHeight="1" outlineLevel="1">
      <c r="A15" s="125"/>
      <c r="C15" s="65" t="s">
        <v>67</v>
      </c>
      <c r="D15" s="65"/>
      <c r="E15" s="65"/>
      <c r="F15" s="66">
        <f t="shared" ref="F15:L15" si="1">F13-F14</f>
        <v>27.003487</v>
      </c>
      <c r="G15" s="66">
        <f t="shared" si="1"/>
        <v>28.995331999999998</v>
      </c>
      <c r="H15" s="66">
        <f t="shared" si="1"/>
        <v>0</v>
      </c>
      <c r="I15" s="66">
        <f t="shared" si="1"/>
        <v>0</v>
      </c>
      <c r="J15" s="66">
        <f t="shared" si="1"/>
        <v>0</v>
      </c>
      <c r="K15" s="66">
        <f t="shared" si="1"/>
        <v>0</v>
      </c>
      <c r="L15" s="66">
        <f t="shared" si="1"/>
        <v>0</v>
      </c>
      <c r="M15" s="50"/>
    </row>
    <row r="16" spans="1:13" ht="13.5" customHeight="1" outlineLevel="1">
      <c r="A16" s="125"/>
      <c r="C16" s="67" t="s">
        <v>68</v>
      </c>
      <c r="D16" s="68"/>
      <c r="E16" s="68"/>
      <c r="F16" s="69">
        <f>IFERROR(F15/F$13,"N/M")</f>
        <v>0.34370590790818117</v>
      </c>
      <c r="G16" s="69">
        <f>IFERROR(G15/G$13,"N/M")</f>
        <v>0.31998730262543951</v>
      </c>
      <c r="H16" s="69" t="str">
        <f t="shared" ref="H16:L16" si="2">IFERROR(H15/H$13,"N/M")</f>
        <v>N/M</v>
      </c>
      <c r="I16" s="69" t="str">
        <f t="shared" si="2"/>
        <v>N/M</v>
      </c>
      <c r="J16" s="69" t="str">
        <f t="shared" si="2"/>
        <v>N/M</v>
      </c>
      <c r="K16" s="69" t="str">
        <f t="shared" si="2"/>
        <v>N/M</v>
      </c>
      <c r="L16" s="69" t="str">
        <f t="shared" si="2"/>
        <v>N/M</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c r="I17" s="129"/>
      <c r="J17" s="129"/>
      <c r="K17" s="129"/>
      <c r="L17" s="129"/>
      <c r="M17" s="50" t="s">
        <v>108</v>
      </c>
    </row>
    <row r="18" spans="1:13" ht="13.5" customHeight="1" outlineLevel="1">
      <c r="A18" s="125"/>
      <c r="C18" s="70" t="s">
        <v>70</v>
      </c>
      <c r="D18" s="70"/>
      <c r="E18" s="70"/>
      <c r="F18" s="71">
        <f t="shared" ref="F18:L18" si="3">F15-F17</f>
        <v>12.823572</v>
      </c>
      <c r="G18" s="71">
        <f t="shared" si="3"/>
        <v>13.558643060499998</v>
      </c>
      <c r="H18" s="71">
        <f t="shared" si="3"/>
        <v>0</v>
      </c>
      <c r="I18" s="71">
        <f t="shared" si="3"/>
        <v>0</v>
      </c>
      <c r="J18" s="71">
        <f t="shared" si="3"/>
        <v>0</v>
      </c>
      <c r="K18" s="71">
        <f t="shared" si="3"/>
        <v>0</v>
      </c>
      <c r="L18" s="71">
        <f t="shared" si="3"/>
        <v>0</v>
      </c>
      <c r="M18" s="50"/>
    </row>
    <row r="19" spans="1:13" ht="13.5" customHeight="1" outlineLevel="1">
      <c r="A19" s="125"/>
      <c r="C19" s="67" t="s">
        <v>71</v>
      </c>
      <c r="D19" s="39"/>
      <c r="E19" s="39"/>
      <c r="F19" s="69">
        <f>IFERROR(F18/F$13,"N/M")</f>
        <v>0.16322104833668077</v>
      </c>
      <c r="G19" s="69">
        <f>IFERROR(G18/G$13,"N/M")</f>
        <v>0.1496307619512868</v>
      </c>
      <c r="H19" s="69" t="str">
        <f t="shared" ref="H19:L19" si="4">IFERROR(H18/H$13,"N/M")</f>
        <v>N/M</v>
      </c>
      <c r="I19" s="69" t="str">
        <f t="shared" si="4"/>
        <v>N/M</v>
      </c>
      <c r="J19" s="69" t="str">
        <f t="shared" si="4"/>
        <v>N/M</v>
      </c>
      <c r="K19" s="69" t="str">
        <f t="shared" si="4"/>
        <v>N/M</v>
      </c>
      <c r="L19" s="69" t="str">
        <f t="shared" si="4"/>
        <v>N/M</v>
      </c>
      <c r="M19" s="50" t="s">
        <v>109</v>
      </c>
    </row>
    <row r="20" spans="1:13" ht="13.5" customHeight="1" outlineLevel="1">
      <c r="A20" s="125"/>
      <c r="C20" s="63" t="s">
        <v>15</v>
      </c>
      <c r="D20" s="63"/>
      <c r="E20" s="63"/>
      <c r="F20" s="128">
        <f>'Financials from CIP'!D25/1000</f>
        <v>1.1801621</v>
      </c>
      <c r="G20" s="128">
        <f>'Financials from CIP'!E25/1000</f>
        <v>1.1617642799999999</v>
      </c>
      <c r="H20" s="129"/>
      <c r="I20" s="129"/>
      <c r="J20" s="129"/>
      <c r="K20" s="129"/>
      <c r="L20" s="129"/>
      <c r="M20" s="50" t="s">
        <v>110</v>
      </c>
    </row>
    <row r="21" spans="1:13" ht="13.5" customHeight="1" outlineLevel="1">
      <c r="A21" s="125"/>
      <c r="C21" s="63" t="s">
        <v>16</v>
      </c>
      <c r="D21" s="63"/>
      <c r="E21" s="63"/>
      <c r="F21" s="128">
        <f>'Financials from CIP'!D26/1000</f>
        <v>0.208264</v>
      </c>
      <c r="G21" s="128">
        <f>'Financials from CIP'!E26/1000</f>
        <v>0.237952</v>
      </c>
      <c r="H21" s="130"/>
      <c r="I21" s="130"/>
      <c r="J21" s="130"/>
      <c r="K21" s="130"/>
      <c r="L21" s="130"/>
      <c r="M21" s="50" t="s">
        <v>111</v>
      </c>
    </row>
    <row r="22" spans="1:13" ht="13.5" customHeight="1" outlineLevel="1">
      <c r="A22" s="125"/>
      <c r="C22" s="70" t="s">
        <v>72</v>
      </c>
      <c r="D22" s="70"/>
      <c r="E22" s="70"/>
      <c r="F22" s="71">
        <f>F18-SUM(F20:F21)</f>
        <v>11.4351459</v>
      </c>
      <c r="G22" s="71">
        <f>G18-SUM(G20:G21)</f>
        <v>12.158926780499998</v>
      </c>
      <c r="H22" s="71">
        <f t="shared" ref="H22:L22" si="5">H18-SUM(H20:H21)</f>
        <v>0</v>
      </c>
      <c r="I22" s="71">
        <f t="shared" si="5"/>
        <v>0</v>
      </c>
      <c r="J22" s="71">
        <f t="shared" si="5"/>
        <v>0</v>
      </c>
      <c r="K22" s="71">
        <f t="shared" si="5"/>
        <v>0</v>
      </c>
      <c r="L22" s="71">
        <f t="shared" si="5"/>
        <v>0</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6">+C80</f>
        <v>Subordinated - Note 1</v>
      </c>
      <c r="D27" s="39"/>
      <c r="E27" s="39"/>
      <c r="F27" s="45"/>
      <c r="G27" s="75"/>
      <c r="H27" s="43"/>
      <c r="I27" s="43"/>
      <c r="J27" s="43"/>
      <c r="K27" s="43"/>
      <c r="L27" s="43"/>
      <c r="M27" s="60"/>
    </row>
    <row r="28" spans="1:13" ht="13.5" customHeight="1" outlineLevel="1">
      <c r="A28" s="125"/>
      <c r="C28" s="74" t="str">
        <f t="shared" si="6"/>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7">SUM(I24:I28)</f>
        <v>0</v>
      </c>
      <c r="J29" s="93">
        <f t="shared" si="7"/>
        <v>0</v>
      </c>
      <c r="K29" s="93">
        <f t="shared" si="7"/>
        <v>0</v>
      </c>
      <c r="L29" s="93">
        <f t="shared" si="7"/>
        <v>0</v>
      </c>
      <c r="M29" s="60"/>
    </row>
    <row r="30" spans="1:13" ht="13.5" customHeight="1" outlineLevel="1">
      <c r="A30" s="125"/>
      <c r="C30" s="63" t="s">
        <v>76</v>
      </c>
      <c r="D30" s="63"/>
      <c r="E30" s="63"/>
      <c r="F30" s="128">
        <f>'Financials from CIP'!D32/1000</f>
        <v>0.147371</v>
      </c>
      <c r="G30" s="128">
        <f>'Financials from CIP'!E32/1000</f>
        <v>0.27343900000000004</v>
      </c>
      <c r="H30" s="130"/>
      <c r="I30" s="130"/>
      <c r="J30" s="130"/>
      <c r="K30" s="130"/>
      <c r="L30" s="130"/>
      <c r="M30" s="50" t="s">
        <v>112</v>
      </c>
    </row>
    <row r="31" spans="1:13" ht="13.5" customHeight="1" outlineLevel="1">
      <c r="A31" s="125"/>
      <c r="C31" s="65" t="s">
        <v>77</v>
      </c>
      <c r="D31" s="65"/>
      <c r="E31" s="65"/>
      <c r="F31" s="66">
        <f>F22-F29-F30</f>
        <v>9.0628199000000009</v>
      </c>
      <c r="G31" s="66">
        <f>G22-G29-G30</f>
        <v>10.412724780499998</v>
      </c>
      <c r="H31" s="66">
        <f t="shared" ref="H31:L31" si="8">H22-H29-H30</f>
        <v>0</v>
      </c>
      <c r="I31" s="66">
        <f t="shared" si="8"/>
        <v>0</v>
      </c>
      <c r="J31" s="66">
        <f t="shared" si="8"/>
        <v>0</v>
      </c>
      <c r="K31" s="66">
        <f t="shared" si="8"/>
        <v>0</v>
      </c>
      <c r="L31" s="66">
        <f t="shared" si="8"/>
        <v>0</v>
      </c>
      <c r="M31" s="50"/>
    </row>
    <row r="32" spans="1:13" ht="13.5" customHeight="1" outlineLevel="1">
      <c r="A32" s="125"/>
      <c r="C32" s="63" t="s">
        <v>78</v>
      </c>
      <c r="D32" s="63"/>
      <c r="E32" s="63"/>
      <c r="F32" s="128">
        <f>'Financials from CIP'!D29/1000</f>
        <v>3.2010390000000002</v>
      </c>
      <c r="G32" s="128">
        <f>'Financials from CIP'!E29/1000</f>
        <v>2.809107</v>
      </c>
      <c r="H32" s="129"/>
      <c r="I32" s="129"/>
      <c r="J32" s="129"/>
      <c r="K32" s="129"/>
      <c r="L32" s="129"/>
      <c r="M32" s="50" t="s">
        <v>113</v>
      </c>
    </row>
    <row r="33" spans="1:13" ht="13.5" customHeight="1" outlineLevel="1">
      <c r="A33" s="125"/>
      <c r="C33" s="79" t="s">
        <v>22</v>
      </c>
      <c r="D33" s="79"/>
      <c r="E33" s="79"/>
      <c r="F33" s="71">
        <f>F31-F32</f>
        <v>5.8617809000000012</v>
      </c>
      <c r="G33" s="71">
        <f>G31-G32</f>
        <v>7.6036177804999978</v>
      </c>
      <c r="H33" s="71">
        <f t="shared" ref="H33:L33" si="9">H31-H32</f>
        <v>0</v>
      </c>
      <c r="I33" s="71">
        <f t="shared" si="9"/>
        <v>0</v>
      </c>
      <c r="J33" s="71">
        <f t="shared" si="9"/>
        <v>0</v>
      </c>
      <c r="K33" s="71">
        <f t="shared" si="9"/>
        <v>0</v>
      </c>
      <c r="L33" s="71">
        <f t="shared" si="9"/>
        <v>0</v>
      </c>
      <c r="M33" s="60"/>
    </row>
    <row r="34" spans="1:13" ht="13.5" customHeight="1" outlineLevel="1">
      <c r="C34" s="67" t="s">
        <v>79</v>
      </c>
      <c r="D34" s="39"/>
      <c r="E34" s="39"/>
      <c r="F34" s="69">
        <f>IFERROR(F33/F$13,"N/M")</f>
        <v>7.4609946715153336E-2</v>
      </c>
      <c r="G34" s="69">
        <f>IFERROR(G33/G$13,"N/M")</f>
        <v>8.3912167095621659E-2</v>
      </c>
      <c r="H34" s="69" t="str">
        <f t="shared" ref="H34:L34" si="10">IFERROR(H33/H$13,"N/M")</f>
        <v>N/M</v>
      </c>
      <c r="I34" s="69" t="str">
        <f t="shared" si="10"/>
        <v>N/M</v>
      </c>
      <c r="J34" s="69" t="str">
        <f t="shared" si="10"/>
        <v>N/M</v>
      </c>
      <c r="K34" s="69" t="str">
        <f t="shared" si="10"/>
        <v>N/M</v>
      </c>
      <c r="L34" s="69" t="str">
        <f t="shared" si="10"/>
        <v>N/M</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c r="H41" s="135"/>
      <c r="I41" s="135"/>
      <c r="J41" s="135"/>
      <c r="K41" s="135"/>
      <c r="L41" s="135"/>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c r="G43" s="134"/>
      <c r="H43" s="135"/>
      <c r="I43" s="135"/>
      <c r="J43" s="135"/>
      <c r="K43" s="135"/>
      <c r="L43" s="135"/>
      <c r="M43" s="50" t="s">
        <v>118</v>
      </c>
    </row>
    <row r="44" spans="1:13" ht="13.5" customHeight="1" outlineLevel="1">
      <c r="A44" s="125"/>
      <c r="C44" s="68" t="s">
        <v>119</v>
      </c>
      <c r="D44" s="80"/>
      <c r="E44" s="80"/>
      <c r="F44" s="134"/>
      <c r="G44" s="134"/>
      <c r="H44" s="135"/>
      <c r="I44" s="135"/>
      <c r="J44" s="135"/>
      <c r="K44" s="135"/>
      <c r="L44" s="135"/>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c r="G46" s="134"/>
      <c r="H46" s="135"/>
      <c r="I46" s="135"/>
      <c r="J46" s="135"/>
      <c r="K46" s="135"/>
      <c r="L46" s="135"/>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1">G$11</f>
        <v>45657</v>
      </c>
      <c r="H56" s="58">
        <f t="shared" si="11"/>
        <v>46022</v>
      </c>
      <c r="I56" s="58">
        <f t="shared" si="11"/>
        <v>46387</v>
      </c>
      <c r="J56" s="58">
        <f t="shared" si="11"/>
        <v>46752</v>
      </c>
      <c r="K56" s="58">
        <f t="shared" si="11"/>
        <v>47118</v>
      </c>
      <c r="L56" s="58">
        <f t="shared" si="11"/>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2'!F13</f>
        <v>0</v>
      </c>
      <c r="G94" s="122">
        <f>'Financials from CIP'!E13/1000-'Step 2'!G13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2'!F15</f>
        <v>0</v>
      </c>
      <c r="G95" s="122">
        <f>'Financials from CIP'!E19/1000-'Step 2'!G15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2'!F18</f>
        <v>0</v>
      </c>
      <c r="G96" s="122">
        <f>'Financials from CIP'!E36/1000-'Step 2'!G18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2'!F33</f>
        <v>0</v>
      </c>
      <c r="G97" s="122">
        <f>'Financials from CIP'!E34/1000-'Step 2'!G33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2'!F60</f>
        <v>0</v>
      </c>
      <c r="G100" s="122">
        <f>'Financials from CIP'!E46/1000-'Step 2'!G60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2'!F64</f>
        <v>0</v>
      </c>
      <c r="G101" s="122">
        <f>'Financials from CIP'!E51/1000-'Step 2'!G64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2'!F70</f>
        <v>0</v>
      </c>
      <c r="G102" s="122">
        <f>'Financials from CIP'!E56/1000-'Step 2'!G70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2'!F77</f>
        <v>0</v>
      </c>
      <c r="G103" s="122">
        <f>'Financials from CIP'!E61/1000-'Step 2'!G77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2'!F84</f>
        <v>0</v>
      </c>
      <c r="G104" s="122">
        <f>'Financials from CIP'!E69/1000-'Step 2'!G84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2'!F85:F86)</f>
        <v>0</v>
      </c>
      <c r="G105" s="122">
        <f>'Financials from CIP'!E73/1000-SUM('Step 2'!G85:G86)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2">H$11</f>
        <v>46022</v>
      </c>
      <c r="I117" s="58">
        <f t="shared" si="12"/>
        <v>46387</v>
      </c>
      <c r="J117" s="58">
        <f t="shared" si="12"/>
        <v>46752</v>
      </c>
      <c r="K117" s="58">
        <f t="shared" si="12"/>
        <v>47118</v>
      </c>
      <c r="L117" s="58">
        <f t="shared" si="12"/>
        <v>47483</v>
      </c>
      <c r="M117" s="50"/>
    </row>
    <row r="118" spans="1:13" ht="13.5" customHeight="1">
      <c r="A118" s="125"/>
      <c r="M118" s="50"/>
    </row>
    <row r="119" spans="1:13" ht="13.5" customHeight="1">
      <c r="A119" s="125"/>
      <c r="C119" s="146">
        <f>G11</f>
        <v>45657</v>
      </c>
      <c r="D119" s="147">
        <f>G67</f>
        <v>55.684984</v>
      </c>
      <c r="E119" s="148"/>
      <c r="F119" s="149">
        <f>-G20</f>
        <v>-1.1617642799999999</v>
      </c>
      <c r="G119" s="150" t="str">
        <f>IFERROR(-D119/E119,"N/M")</f>
        <v>N/M</v>
      </c>
      <c r="H119" s="151"/>
      <c r="I119" s="151"/>
      <c r="J119" s="151"/>
      <c r="K119" s="151"/>
      <c r="L119" s="151"/>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0</v>
      </c>
      <c r="I126" s="156">
        <f t="shared" ref="I126:L126" si="13">-SUM(I119:I125)</f>
        <v>0</v>
      </c>
      <c r="J126" s="156">
        <f t="shared" si="13"/>
        <v>0</v>
      </c>
      <c r="K126" s="156">
        <f t="shared" si="13"/>
        <v>0</v>
      </c>
      <c r="L126" s="156">
        <f t="shared" si="13"/>
        <v>0</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C4E61526377E47AF828979A7A771F0" ma:contentTypeVersion="12" ma:contentTypeDescription="Create a new document." ma:contentTypeScope="" ma:versionID="0b4d727f8e0090d90ec79830cdf4dda3">
  <xsd:schema xmlns:xsd="http://www.w3.org/2001/XMLSchema" xmlns:xs="http://www.w3.org/2001/XMLSchema" xmlns:p="http://schemas.microsoft.com/office/2006/metadata/properties" xmlns:ns2="2e8f0d28-a7bd-4ba5-af77-49452aacead3" xmlns:ns3="0943dc99-765d-4763-a2da-dd5dd934c3aa" targetNamespace="http://schemas.microsoft.com/office/2006/metadata/properties" ma:root="true" ma:fieldsID="7380d60c0617d7f8fa5f6d960c1f6aa1" ns2:_="" ns3:_="">
    <xsd:import namespace="2e8f0d28-a7bd-4ba5-af77-49452aacead3"/>
    <xsd:import namespace="0943dc99-765d-4763-a2da-dd5dd934c3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8f0d28-a7bd-4ba5-af77-49452aace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a049ea-3849-4ddd-aa67-d6de9634ed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43dc99-765d-4763-a2da-dd5dd934c3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0fe633-aac5-4ebd-8e4d-5a85816953f9}" ma:internalName="TaxCatchAll" ma:showField="CatchAllData" ma:web="0943dc99-765d-4763-a2da-dd5dd934c3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8f0d28-a7bd-4ba5-af77-49452aacead3">
      <Terms xmlns="http://schemas.microsoft.com/office/infopath/2007/PartnerControls"/>
    </lcf76f155ced4ddcb4097134ff3c332f>
    <TaxCatchAll xmlns="0943dc99-765d-4763-a2da-dd5dd934c3aa" xsi:nil="true"/>
  </documentManagement>
</p:properties>
</file>

<file path=customXml/itemProps1.xml><?xml version="1.0" encoding="utf-8"?>
<ds:datastoreItem xmlns:ds="http://schemas.openxmlformats.org/officeDocument/2006/customXml" ds:itemID="{E7198ACC-3699-4396-8BC8-1D5433FE052F}"/>
</file>

<file path=customXml/itemProps2.xml><?xml version="1.0" encoding="utf-8"?>
<ds:datastoreItem xmlns:ds="http://schemas.openxmlformats.org/officeDocument/2006/customXml" ds:itemID="{48644EAE-F2E9-4A41-9DE5-66406FBF2BEE}"/>
</file>

<file path=customXml/itemProps3.xml><?xml version="1.0" encoding="utf-8"?>
<ds:datastoreItem xmlns:ds="http://schemas.openxmlformats.org/officeDocument/2006/customXml" ds:itemID="{2FF94F67-D749-4D7D-BB5B-62A0F4F31C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PART I - MODEL BUILD &gt;&gt;&gt;</vt:lpstr>
      <vt:lpstr>Financials from CIP</vt:lpstr>
      <vt:lpstr>Step 1</vt:lpstr>
      <vt:lpstr>Step 1 Answer Key</vt:lpstr>
      <vt:lpstr>Step 2</vt:lpstr>
      <vt:lpstr>'Financials from CIP'!Print_Area</vt:lpstr>
      <vt:lpstr>'Step 1'!Print_Area</vt:lpstr>
      <vt:lpstr>'Step 1 Answer Key'!Print_Area</vt:lpstr>
      <vt:lpstr>'Step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Wolinsky</dc:creator>
  <cp:lastModifiedBy>David Wolinsky</cp:lastModifiedBy>
  <dcterms:created xsi:type="dcterms:W3CDTF">2026-02-19T01:46:31Z</dcterms:created>
  <dcterms:modified xsi:type="dcterms:W3CDTF">2026-02-19T01:50:10Z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0x010100FFC4E61526377E47AF828979A7A771F0</vt:lpwstr>
  </property>
</Properties>
</file>